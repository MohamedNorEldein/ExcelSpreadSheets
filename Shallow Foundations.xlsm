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gineering\Spreed sheets\"/>
    </mc:Choice>
  </mc:AlternateContent>
  <xr:revisionPtr revIDLastSave="0" documentId="13_ncr:1_{2F2E764A-033B-41CA-8C8F-8C4AFE95A28E}" xr6:coauthVersionLast="47" xr6:coauthVersionMax="47" xr10:uidLastSave="{00000000-0000-0000-0000-000000000000}"/>
  <bookViews>
    <workbookView xWindow="0" yWindow="0" windowWidth="11520" windowHeight="12504" firstSheet="5" activeTab="5" xr2:uid="{091949C4-0F17-47E8-A189-6FD1B32A8BF4}"/>
  </bookViews>
  <sheets>
    <sheet name="Gauss quadreture" sheetId="1" state="hidden" r:id="rId1"/>
    <sheet name="Geotechnical Analysis" sheetId="4" r:id="rId2"/>
    <sheet name="eccentric Isolated Footing " sheetId="6" r:id="rId3"/>
    <sheet name="Compined Footing" sheetId="11" r:id="rId4"/>
    <sheet name="Strap Footing" sheetId="12" r:id="rId5"/>
    <sheet name="Isolated Footings" sheetId="13" r:id="rId6"/>
    <sheet name="PILE (STATIC ANALYSIS)" sheetId="15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0" i="15" l="1"/>
  <c r="K103" i="15"/>
  <c r="I103" i="15"/>
  <c r="D103" i="15"/>
  <c r="G103" i="15" s="1"/>
  <c r="K102" i="15"/>
  <c r="I102" i="15"/>
  <c r="D102" i="15"/>
  <c r="G102" i="15" s="1"/>
  <c r="K101" i="15"/>
  <c r="I101" i="15"/>
  <c r="D101" i="15"/>
  <c r="G101" i="15" s="1"/>
  <c r="K100" i="15"/>
  <c r="I100" i="15"/>
  <c r="D100" i="15"/>
  <c r="F100" i="15" s="1"/>
  <c r="K99" i="15"/>
  <c r="I99" i="15"/>
  <c r="D99" i="15"/>
  <c r="E99" i="15" s="1"/>
  <c r="L99" i="15" s="1"/>
  <c r="K98" i="15"/>
  <c r="I98" i="15"/>
  <c r="D98" i="15"/>
  <c r="F98" i="15" s="1"/>
  <c r="K97" i="15"/>
  <c r="I97" i="15"/>
  <c r="D97" i="15"/>
  <c r="G97" i="15" s="1"/>
  <c r="K96" i="15"/>
  <c r="I96" i="15"/>
  <c r="D96" i="15"/>
  <c r="G96" i="15" s="1"/>
  <c r="K94" i="15"/>
  <c r="I94" i="15"/>
  <c r="D94" i="15"/>
  <c r="G94" i="15" s="1"/>
  <c r="K93" i="15"/>
  <c r="I93" i="15"/>
  <c r="D93" i="15"/>
  <c r="G93" i="15" s="1"/>
  <c r="K92" i="15"/>
  <c r="I92" i="15"/>
  <c r="D92" i="15"/>
  <c r="G92" i="15" s="1"/>
  <c r="K91" i="15"/>
  <c r="I91" i="15"/>
  <c r="D91" i="15"/>
  <c r="G91" i="15" s="1"/>
  <c r="K90" i="15"/>
  <c r="I90" i="15"/>
  <c r="D90" i="15"/>
  <c r="F90" i="15" s="1"/>
  <c r="K89" i="15"/>
  <c r="I89" i="15"/>
  <c r="D89" i="15"/>
  <c r="G89" i="15" s="1"/>
  <c r="K88" i="15"/>
  <c r="I88" i="15"/>
  <c r="D88" i="15"/>
  <c r="G88" i="15" s="1"/>
  <c r="K87" i="15"/>
  <c r="I87" i="15"/>
  <c r="D87" i="15"/>
  <c r="G87" i="15" s="1"/>
  <c r="K85" i="15"/>
  <c r="I85" i="15"/>
  <c r="D85" i="15"/>
  <c r="F85" i="15" s="1"/>
  <c r="K84" i="15"/>
  <c r="I84" i="15"/>
  <c r="D84" i="15"/>
  <c r="G84" i="15" s="1"/>
  <c r="K83" i="15"/>
  <c r="I83" i="15"/>
  <c r="D83" i="15"/>
  <c r="G83" i="15" s="1"/>
  <c r="K82" i="15"/>
  <c r="I82" i="15"/>
  <c r="D82" i="15"/>
  <c r="G82" i="15" s="1"/>
  <c r="K81" i="15"/>
  <c r="I81" i="15"/>
  <c r="D81" i="15"/>
  <c r="G81" i="15" s="1"/>
  <c r="K80" i="15"/>
  <c r="I80" i="15"/>
  <c r="D80" i="15"/>
  <c r="G80" i="15" s="1"/>
  <c r="K79" i="15"/>
  <c r="I79" i="15"/>
  <c r="D79" i="15"/>
  <c r="G79" i="15" s="1"/>
  <c r="K78" i="15"/>
  <c r="I78" i="15"/>
  <c r="D78" i="15"/>
  <c r="G78" i="15" s="1"/>
  <c r="K76" i="15"/>
  <c r="I76" i="15"/>
  <c r="D76" i="15"/>
  <c r="G76" i="15" s="1"/>
  <c r="K75" i="15"/>
  <c r="I75" i="15"/>
  <c r="D75" i="15"/>
  <c r="G75" i="15" s="1"/>
  <c r="K74" i="15"/>
  <c r="I74" i="15"/>
  <c r="D74" i="15"/>
  <c r="G74" i="15" s="1"/>
  <c r="K73" i="15"/>
  <c r="I73" i="15"/>
  <c r="D73" i="15"/>
  <c r="G73" i="15" s="1"/>
  <c r="K72" i="15"/>
  <c r="I72" i="15"/>
  <c r="D72" i="15"/>
  <c r="G72" i="15" s="1"/>
  <c r="K71" i="15"/>
  <c r="I71" i="15"/>
  <c r="D71" i="15"/>
  <c r="G71" i="15" s="1"/>
  <c r="K70" i="15"/>
  <c r="I70" i="15"/>
  <c r="D70" i="15"/>
  <c r="G70" i="15" s="1"/>
  <c r="K69" i="15"/>
  <c r="I69" i="15"/>
  <c r="D69" i="15"/>
  <c r="G69" i="15" s="1"/>
  <c r="D62" i="15"/>
  <c r="E62" i="15" s="1"/>
  <c r="L62" i="15" s="1"/>
  <c r="I62" i="15"/>
  <c r="K62" i="15"/>
  <c r="D63" i="15"/>
  <c r="G63" i="15" s="1"/>
  <c r="H63" i="15" s="1"/>
  <c r="J63" i="15" s="1"/>
  <c r="I63" i="15"/>
  <c r="K63" i="15"/>
  <c r="D64" i="15"/>
  <c r="F64" i="15" s="1"/>
  <c r="I64" i="15"/>
  <c r="K64" i="15"/>
  <c r="D65" i="15"/>
  <c r="G65" i="15" s="1"/>
  <c r="I65" i="15"/>
  <c r="K65" i="15"/>
  <c r="D66" i="15"/>
  <c r="G66" i="15" s="1"/>
  <c r="I66" i="15"/>
  <c r="K66" i="15"/>
  <c r="D67" i="15"/>
  <c r="E67" i="15" s="1"/>
  <c r="L67" i="15" s="1"/>
  <c r="I67" i="15"/>
  <c r="K67" i="15"/>
  <c r="D61" i="15"/>
  <c r="E61" i="15" s="1"/>
  <c r="L61" i="15" s="1"/>
  <c r="I61" i="15"/>
  <c r="K61" i="15"/>
  <c r="K60" i="15"/>
  <c r="D60" i="15"/>
  <c r="F60" i="15" s="1"/>
  <c r="I60" i="15"/>
  <c r="D19" i="15"/>
  <c r="E18" i="15"/>
  <c r="F18" i="15"/>
  <c r="G18" i="15"/>
  <c r="I18" i="15"/>
  <c r="J18" i="15"/>
  <c r="D18" i="15"/>
  <c r="K36" i="12"/>
  <c r="K37" i="12"/>
  <c r="K38" i="12"/>
  <c r="K39" i="12"/>
  <c r="K40" i="12"/>
  <c r="K41" i="12"/>
  <c r="K42" i="12"/>
  <c r="K43" i="12"/>
  <c r="K44" i="12"/>
  <c r="K45" i="12"/>
  <c r="K35" i="12"/>
  <c r="G51" i="12"/>
  <c r="G52" i="12"/>
  <c r="G53" i="12"/>
  <c r="G54" i="12"/>
  <c r="G55" i="12"/>
  <c r="G56" i="12"/>
  <c r="G57" i="12"/>
  <c r="G58" i="12"/>
  <c r="G59" i="12"/>
  <c r="G50" i="12"/>
  <c r="E36" i="12"/>
  <c r="E37" i="12" s="1"/>
  <c r="F51" i="12"/>
  <c r="F52" i="12"/>
  <c r="F53" i="12"/>
  <c r="F54" i="12"/>
  <c r="F55" i="12"/>
  <c r="F56" i="12"/>
  <c r="F57" i="12"/>
  <c r="F58" i="12"/>
  <c r="F59" i="12"/>
  <c r="F50" i="12"/>
  <c r="I36" i="12"/>
  <c r="I37" i="12"/>
  <c r="I38" i="12"/>
  <c r="I39" i="12"/>
  <c r="I40" i="12"/>
  <c r="AA42" i="13"/>
  <c r="Z42" i="13"/>
  <c r="Y42" i="13"/>
  <c r="X42" i="13"/>
  <c r="W42" i="13"/>
  <c r="V42" i="13"/>
  <c r="U42" i="13"/>
  <c r="S42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AA41" i="13"/>
  <c r="Z41" i="13"/>
  <c r="Y41" i="13"/>
  <c r="X41" i="13"/>
  <c r="W41" i="13"/>
  <c r="V41" i="13"/>
  <c r="U41" i="13"/>
  <c r="S41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F41" i="13"/>
  <c r="AA40" i="13"/>
  <c r="Z40" i="13"/>
  <c r="Y40" i="13"/>
  <c r="X40" i="13"/>
  <c r="W40" i="13"/>
  <c r="V40" i="13"/>
  <c r="U40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AA39" i="13"/>
  <c r="Z39" i="13"/>
  <c r="Y39" i="13"/>
  <c r="X39" i="13"/>
  <c r="W39" i="13"/>
  <c r="V39" i="13"/>
  <c r="U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AA38" i="13"/>
  <c r="Z38" i="13"/>
  <c r="Y38" i="13"/>
  <c r="X38" i="13"/>
  <c r="W38" i="13"/>
  <c r="V38" i="13"/>
  <c r="U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AA37" i="13"/>
  <c r="Z37" i="13"/>
  <c r="Y37" i="13"/>
  <c r="X37" i="13"/>
  <c r="W37" i="13"/>
  <c r="V37" i="13"/>
  <c r="U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AA36" i="13"/>
  <c r="Z36" i="13"/>
  <c r="Y36" i="13"/>
  <c r="X36" i="13"/>
  <c r="W36" i="13"/>
  <c r="V36" i="13"/>
  <c r="U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27" i="13"/>
  <c r="E17" i="13"/>
  <c r="E16" i="13"/>
  <c r="E15" i="13"/>
  <c r="E14" i="13"/>
  <c r="E13" i="13"/>
  <c r="I35" i="12"/>
  <c r="E29" i="12"/>
  <c r="E16" i="12"/>
  <c r="E19" i="12" s="1"/>
  <c r="E15" i="12"/>
  <c r="E18" i="12" s="1"/>
  <c r="H159" i="11"/>
  <c r="C159" i="11"/>
  <c r="H158" i="11"/>
  <c r="C158" i="11"/>
  <c r="H157" i="11"/>
  <c r="C157" i="11"/>
  <c r="H155" i="11"/>
  <c r="C155" i="11"/>
  <c r="H153" i="11"/>
  <c r="C153" i="11"/>
  <c r="H152" i="11"/>
  <c r="C152" i="11"/>
  <c r="H150" i="11"/>
  <c r="C150" i="11"/>
  <c r="H149" i="11"/>
  <c r="C149" i="11"/>
  <c r="H148" i="11"/>
  <c r="C148" i="11"/>
  <c r="H147" i="11"/>
  <c r="C147" i="11"/>
  <c r="E137" i="11"/>
  <c r="H136" i="11"/>
  <c r="E135" i="11"/>
  <c r="E133" i="11"/>
  <c r="E132" i="11"/>
  <c r="E130" i="11"/>
  <c r="H129" i="11"/>
  <c r="E128" i="11"/>
  <c r="E125" i="11"/>
  <c r="E124" i="11"/>
  <c r="E121" i="11"/>
  <c r="E120" i="11"/>
  <c r="E119" i="11"/>
  <c r="E118" i="11"/>
  <c r="E117" i="11"/>
  <c r="E116" i="11"/>
  <c r="E114" i="11"/>
  <c r="E113" i="11"/>
  <c r="E112" i="11"/>
  <c r="E111" i="11"/>
  <c r="E110" i="11"/>
  <c r="E109" i="11"/>
  <c r="E107" i="11"/>
  <c r="E87" i="11"/>
  <c r="E86" i="11"/>
  <c r="E85" i="11"/>
  <c r="E85" i="11" a="1"/>
  <c r="H83" i="11"/>
  <c r="G83" i="11"/>
  <c r="E83" i="11"/>
  <c r="H82" i="11"/>
  <c r="G82" i="11"/>
  <c r="F82" i="11"/>
  <c r="E82" i="11"/>
  <c r="H81" i="11"/>
  <c r="G81" i="11"/>
  <c r="F81" i="11"/>
  <c r="E81" i="11"/>
  <c r="H80" i="11"/>
  <c r="G80" i="11"/>
  <c r="E80" i="11"/>
  <c r="H79" i="11"/>
  <c r="G79" i="11"/>
  <c r="F79" i="11"/>
  <c r="E79" i="11"/>
  <c r="H78" i="11"/>
  <c r="G78" i="11"/>
  <c r="F78" i="11"/>
  <c r="E78" i="11"/>
  <c r="H77" i="11"/>
  <c r="E74" i="11"/>
  <c r="E73" i="11"/>
  <c r="E70" i="11"/>
  <c r="E69" i="11"/>
  <c r="E59" i="11"/>
  <c r="E58" i="11"/>
  <c r="E57" i="11"/>
  <c r="E56" i="11"/>
  <c r="E53" i="11"/>
  <c r="H52" i="11"/>
  <c r="E52" i="11"/>
  <c r="H51" i="11"/>
  <c r="E51" i="11"/>
  <c r="E42" i="11"/>
  <c r="E38" i="11"/>
  <c r="E37" i="11"/>
  <c r="E36" i="11"/>
  <c r="E35" i="11"/>
  <c r="E34" i="11"/>
  <c r="E90" i="6"/>
  <c r="E89" i="6"/>
  <c r="E87" i="6"/>
  <c r="H86" i="6"/>
  <c r="E85" i="6"/>
  <c r="E83" i="6"/>
  <c r="E82" i="6"/>
  <c r="E81" i="6"/>
  <c r="E80" i="6"/>
  <c r="E77" i="6"/>
  <c r="E76" i="6"/>
  <c r="E74" i="6"/>
  <c r="H73" i="6"/>
  <c r="E72" i="6"/>
  <c r="E70" i="6"/>
  <c r="E69" i="6"/>
  <c r="E68" i="6"/>
  <c r="E67" i="6"/>
  <c r="E64" i="6"/>
  <c r="E63" i="6"/>
  <c r="E62" i="6"/>
  <c r="H61" i="6"/>
  <c r="E61" i="6"/>
  <c r="H60" i="6"/>
  <c r="E60" i="6"/>
  <c r="H59" i="6"/>
  <c r="E59" i="6"/>
  <c r="E56" i="6"/>
  <c r="E55" i="6"/>
  <c r="E54" i="6"/>
  <c r="E53" i="6"/>
  <c r="E52" i="6"/>
  <c r="E51" i="6"/>
  <c r="E50" i="6"/>
  <c r="E43" i="6"/>
  <c r="E39" i="6"/>
  <c r="E38" i="6"/>
  <c r="E37" i="6"/>
  <c r="E36" i="6"/>
  <c r="E35" i="6"/>
  <c r="G100" i="4"/>
  <c r="E100" i="4"/>
  <c r="G99" i="4"/>
  <c r="E99" i="4"/>
  <c r="E98" i="4"/>
  <c r="E97" i="4"/>
  <c r="E96" i="4"/>
  <c r="E94" i="4"/>
  <c r="E93" i="4"/>
  <c r="E92" i="4"/>
  <c r="E91" i="4"/>
  <c r="H89" i="4"/>
  <c r="F89" i="4"/>
  <c r="I88" i="4"/>
  <c r="H88" i="4"/>
  <c r="G88" i="4"/>
  <c r="F88" i="4"/>
  <c r="E88" i="4"/>
  <c r="E88" i="4" a="1"/>
  <c r="D88" i="4"/>
  <c r="C88" i="4"/>
  <c r="I87" i="4"/>
  <c r="H87" i="4"/>
  <c r="G87" i="4"/>
  <c r="F87" i="4"/>
  <c r="E87" i="4"/>
  <c r="E87" i="4" a="1"/>
  <c r="D87" i="4"/>
  <c r="C87" i="4"/>
  <c r="I86" i="4"/>
  <c r="H86" i="4"/>
  <c r="G86" i="4"/>
  <c r="F86" i="4"/>
  <c r="E86" i="4"/>
  <c r="E86" i="4" a="1"/>
  <c r="D86" i="4"/>
  <c r="C86" i="4"/>
  <c r="I85" i="4"/>
  <c r="H85" i="4"/>
  <c r="G85" i="4"/>
  <c r="F85" i="4"/>
  <c r="E85" i="4"/>
  <c r="E85" i="4" a="1"/>
  <c r="D85" i="4"/>
  <c r="C85" i="4"/>
  <c r="I84" i="4"/>
  <c r="H84" i="4"/>
  <c r="G84" i="4"/>
  <c r="F84" i="4"/>
  <c r="E84" i="4"/>
  <c r="E84" i="4" a="1"/>
  <c r="D84" i="4"/>
  <c r="C84" i="4"/>
  <c r="I83" i="4"/>
  <c r="H83" i="4"/>
  <c r="G83" i="4"/>
  <c r="F83" i="4"/>
  <c r="E83" i="4"/>
  <c r="E83" i="4" a="1"/>
  <c r="D83" i="4"/>
  <c r="C83" i="4"/>
  <c r="I82" i="4"/>
  <c r="H82" i="4"/>
  <c r="G82" i="4"/>
  <c r="F82" i="4"/>
  <c r="E82" i="4"/>
  <c r="E82" i="4" a="1"/>
  <c r="D82" i="4"/>
  <c r="C82" i="4"/>
  <c r="I81" i="4"/>
  <c r="H81" i="4"/>
  <c r="G81" i="4"/>
  <c r="F81" i="4"/>
  <c r="E81" i="4"/>
  <c r="E81" i="4" a="1"/>
  <c r="D81" i="4"/>
  <c r="C81" i="4"/>
  <c r="I80" i="4"/>
  <c r="H80" i="4"/>
  <c r="G80" i="4"/>
  <c r="F80" i="4"/>
  <c r="E80" i="4"/>
  <c r="E80" i="4" a="1"/>
  <c r="D80" i="4"/>
  <c r="C80" i="4"/>
  <c r="I79" i="4"/>
  <c r="H79" i="4"/>
  <c r="G79" i="4"/>
  <c r="F79" i="4"/>
  <c r="E79" i="4"/>
  <c r="E79" i="4" a="1"/>
  <c r="D79" i="4"/>
  <c r="C79" i="4"/>
  <c r="I78" i="4"/>
  <c r="H78" i="4"/>
  <c r="G78" i="4"/>
  <c r="F78" i="4"/>
  <c r="E78" i="4"/>
  <c r="E78" i="4" a="1"/>
  <c r="D78" i="4"/>
  <c r="C78" i="4"/>
  <c r="I77" i="4"/>
  <c r="H77" i="4"/>
  <c r="G77" i="4"/>
  <c r="F77" i="4"/>
  <c r="E77" i="4"/>
  <c r="E77" i="4" a="1"/>
  <c r="D77" i="4"/>
  <c r="C77" i="4"/>
  <c r="I76" i="4"/>
  <c r="H76" i="4"/>
  <c r="G76" i="4"/>
  <c r="F76" i="4"/>
  <c r="E76" i="4"/>
  <c r="E76" i="4" a="1"/>
  <c r="D76" i="4"/>
  <c r="C76" i="4"/>
  <c r="I75" i="4"/>
  <c r="H75" i="4"/>
  <c r="G75" i="4"/>
  <c r="F75" i="4"/>
  <c r="E75" i="4"/>
  <c r="E75" i="4" a="1"/>
  <c r="D75" i="4"/>
  <c r="C75" i="4"/>
  <c r="I74" i="4"/>
  <c r="H74" i="4"/>
  <c r="G74" i="4"/>
  <c r="F74" i="4"/>
  <c r="E74" i="4"/>
  <c r="E74" i="4" a="1"/>
  <c r="D74" i="4"/>
  <c r="C74" i="4"/>
  <c r="I73" i="4"/>
  <c r="H73" i="4"/>
  <c r="G73" i="4"/>
  <c r="F73" i="4"/>
  <c r="E73" i="4"/>
  <c r="E73" i="4" a="1"/>
  <c r="D73" i="4"/>
  <c r="C73" i="4"/>
  <c r="I72" i="4"/>
  <c r="H72" i="4"/>
  <c r="G72" i="4"/>
  <c r="F72" i="4"/>
  <c r="E72" i="4"/>
  <c r="E72" i="4" a="1"/>
  <c r="D72" i="4"/>
  <c r="C72" i="4"/>
  <c r="I71" i="4"/>
  <c r="H71" i="4"/>
  <c r="G71" i="4"/>
  <c r="F71" i="4"/>
  <c r="E71" i="4"/>
  <c r="E71" i="4" a="1"/>
  <c r="D71" i="4"/>
  <c r="C71" i="4"/>
  <c r="I70" i="4"/>
  <c r="H70" i="4"/>
  <c r="G70" i="4"/>
  <c r="F70" i="4"/>
  <c r="E70" i="4"/>
  <c r="E70" i="4" a="1"/>
  <c r="D70" i="4"/>
  <c r="C70" i="4"/>
  <c r="I69" i="4"/>
  <c r="H69" i="4"/>
  <c r="G69" i="4"/>
  <c r="F69" i="4"/>
  <c r="E69" i="4"/>
  <c r="E69" i="4" a="1"/>
  <c r="D69" i="4"/>
  <c r="C69" i="4"/>
  <c r="I68" i="4"/>
  <c r="H68" i="4"/>
  <c r="G68" i="4"/>
  <c r="F68" i="4"/>
  <c r="E68" i="4"/>
  <c r="E68" i="4" a="1"/>
  <c r="D68" i="4"/>
  <c r="C68" i="4"/>
  <c r="I67" i="4"/>
  <c r="H67" i="4"/>
  <c r="G67" i="4"/>
  <c r="F67" i="4"/>
  <c r="E67" i="4"/>
  <c r="E67" i="4" a="1"/>
  <c r="D67" i="4"/>
  <c r="C67" i="4"/>
  <c r="I66" i="4"/>
  <c r="H66" i="4"/>
  <c r="G66" i="4"/>
  <c r="F66" i="4"/>
  <c r="E66" i="4"/>
  <c r="E66" i="4" a="1"/>
  <c r="D66" i="4"/>
  <c r="C66" i="4"/>
  <c r="I65" i="4"/>
  <c r="H65" i="4"/>
  <c r="G65" i="4"/>
  <c r="F65" i="4"/>
  <c r="E65" i="4"/>
  <c r="E65" i="4" a="1"/>
  <c r="D65" i="4"/>
  <c r="C65" i="4"/>
  <c r="L56" i="4"/>
  <c r="K56" i="4"/>
  <c r="K56" i="4" a="1"/>
  <c r="J56" i="4"/>
  <c r="J56" i="4" a="1"/>
  <c r="G56" i="4"/>
  <c r="G56" i="4" a="1"/>
  <c r="F56" i="4"/>
  <c r="F56" i="4" a="1"/>
  <c r="E56" i="4"/>
  <c r="D56" i="4"/>
  <c r="L55" i="4"/>
  <c r="L55" i="4" a="1"/>
  <c r="K55" i="4"/>
  <c r="K55" i="4" a="1"/>
  <c r="G55" i="4"/>
  <c r="G55" i="4" a="1"/>
  <c r="F55" i="4"/>
  <c r="F55" i="4" a="1"/>
  <c r="E55" i="4"/>
  <c r="D55" i="4"/>
  <c r="D55" i="4" a="1"/>
  <c r="C55" i="4"/>
  <c r="L54" i="4"/>
  <c r="L54" i="4" a="1"/>
  <c r="K54" i="4"/>
  <c r="K54" i="4" a="1"/>
  <c r="G54" i="4"/>
  <c r="G54" i="4" a="1"/>
  <c r="F54" i="4"/>
  <c r="F54" i="4" a="1"/>
  <c r="E54" i="4"/>
  <c r="D54" i="4"/>
  <c r="D54" i="4" a="1"/>
  <c r="C54" i="4"/>
  <c r="L53" i="4"/>
  <c r="L53" i="4" a="1"/>
  <c r="K53" i="4"/>
  <c r="K53" i="4" a="1"/>
  <c r="G53" i="4"/>
  <c r="G53" i="4" a="1"/>
  <c r="F53" i="4"/>
  <c r="F53" i="4" a="1"/>
  <c r="E53" i="4"/>
  <c r="D53" i="4"/>
  <c r="D53" i="4" a="1"/>
  <c r="C53" i="4"/>
  <c r="L52" i="4"/>
  <c r="L52" i="4" a="1"/>
  <c r="K52" i="4"/>
  <c r="K52" i="4" a="1"/>
  <c r="G52" i="4"/>
  <c r="G52" i="4" a="1"/>
  <c r="F52" i="4"/>
  <c r="F52" i="4" a="1"/>
  <c r="E52" i="4"/>
  <c r="D52" i="4"/>
  <c r="D52" i="4" a="1"/>
  <c r="C52" i="4"/>
  <c r="L51" i="4"/>
  <c r="L51" i="4" a="1"/>
  <c r="K51" i="4"/>
  <c r="K51" i="4" a="1"/>
  <c r="G51" i="4"/>
  <c r="G51" i="4" a="1"/>
  <c r="F51" i="4"/>
  <c r="F51" i="4" a="1"/>
  <c r="E51" i="4"/>
  <c r="D51" i="4"/>
  <c r="D51" i="4" a="1"/>
  <c r="C51" i="4"/>
  <c r="L50" i="4"/>
  <c r="L50" i="4" a="1"/>
  <c r="K50" i="4"/>
  <c r="K50" i="4" a="1"/>
  <c r="G50" i="4"/>
  <c r="G50" i="4" a="1"/>
  <c r="F50" i="4"/>
  <c r="F50" i="4" a="1"/>
  <c r="E50" i="4"/>
  <c r="D50" i="4"/>
  <c r="D50" i="4" a="1"/>
  <c r="C50" i="4"/>
  <c r="L49" i="4"/>
  <c r="L49" i="4" a="1"/>
  <c r="K49" i="4"/>
  <c r="K49" i="4" a="1"/>
  <c r="G49" i="4"/>
  <c r="G49" i="4" a="1"/>
  <c r="F49" i="4"/>
  <c r="F49" i="4" a="1"/>
  <c r="E49" i="4"/>
  <c r="D49" i="4"/>
  <c r="D49" i="4" a="1"/>
  <c r="C49" i="4"/>
  <c r="L48" i="4"/>
  <c r="L48" i="4" a="1"/>
  <c r="K48" i="4"/>
  <c r="K48" i="4" a="1"/>
  <c r="G48" i="4"/>
  <c r="G48" i="4" a="1"/>
  <c r="F48" i="4"/>
  <c r="F48" i="4" a="1"/>
  <c r="E48" i="4"/>
  <c r="D48" i="4"/>
  <c r="D48" i="4" a="1"/>
  <c r="C48" i="4"/>
  <c r="L47" i="4"/>
  <c r="L47" i="4" a="1"/>
  <c r="K47" i="4"/>
  <c r="K47" i="4" a="1"/>
  <c r="G47" i="4"/>
  <c r="G47" i="4" a="1"/>
  <c r="F47" i="4"/>
  <c r="F47" i="4" a="1"/>
  <c r="E47" i="4"/>
  <c r="D47" i="4"/>
  <c r="D47" i="4" a="1"/>
  <c r="C47" i="4"/>
  <c r="L46" i="4"/>
  <c r="L46" i="4" a="1"/>
  <c r="K46" i="4"/>
  <c r="K46" i="4" a="1"/>
  <c r="G46" i="4"/>
  <c r="G46" i="4" a="1"/>
  <c r="F46" i="4"/>
  <c r="F46" i="4" a="1"/>
  <c r="E46" i="4"/>
  <c r="D46" i="4"/>
  <c r="D46" i="4" a="1"/>
  <c r="C46" i="4"/>
  <c r="L45" i="4"/>
  <c r="L45" i="4" a="1"/>
  <c r="K45" i="4"/>
  <c r="K45" i="4" a="1"/>
  <c r="G45" i="4"/>
  <c r="G45" i="4" a="1"/>
  <c r="F45" i="4"/>
  <c r="F45" i="4" a="1"/>
  <c r="E45" i="4"/>
  <c r="D45" i="4"/>
  <c r="D45" i="4" a="1"/>
  <c r="C45" i="4"/>
  <c r="L44" i="4"/>
  <c r="L44" i="4" a="1"/>
  <c r="K44" i="4"/>
  <c r="K44" i="4" a="1"/>
  <c r="G44" i="4"/>
  <c r="G44" i="4" a="1"/>
  <c r="F44" i="4"/>
  <c r="F44" i="4" a="1"/>
  <c r="E44" i="4"/>
  <c r="D44" i="4"/>
  <c r="D44" i="4" a="1"/>
  <c r="C44" i="4"/>
  <c r="L43" i="4"/>
  <c r="L43" i="4" a="1"/>
  <c r="K43" i="4"/>
  <c r="K43" i="4" a="1"/>
  <c r="G43" i="4"/>
  <c r="G43" i="4" a="1"/>
  <c r="F43" i="4"/>
  <c r="F43" i="4" a="1"/>
  <c r="E43" i="4"/>
  <c r="D43" i="4"/>
  <c r="D43" i="4" a="1"/>
  <c r="C43" i="4"/>
  <c r="L42" i="4"/>
  <c r="L42" i="4" a="1"/>
  <c r="K42" i="4"/>
  <c r="K42" i="4" a="1"/>
  <c r="G42" i="4"/>
  <c r="G42" i="4" a="1"/>
  <c r="F42" i="4"/>
  <c r="F42" i="4" a="1"/>
  <c r="E42" i="4"/>
  <c r="D42" i="4"/>
  <c r="D42" i="4" a="1"/>
  <c r="C42" i="4"/>
  <c r="L41" i="4"/>
  <c r="L41" i="4" a="1"/>
  <c r="K41" i="4"/>
  <c r="K41" i="4" a="1"/>
  <c r="G41" i="4"/>
  <c r="G41" i="4" a="1"/>
  <c r="F41" i="4"/>
  <c r="F41" i="4" a="1"/>
  <c r="E41" i="4"/>
  <c r="D41" i="4"/>
  <c r="D41" i="4" a="1"/>
  <c r="C41" i="4"/>
  <c r="L40" i="4"/>
  <c r="L40" i="4" a="1"/>
  <c r="K40" i="4"/>
  <c r="K40" i="4" a="1"/>
  <c r="G40" i="4"/>
  <c r="G40" i="4" a="1"/>
  <c r="F40" i="4"/>
  <c r="F40" i="4" a="1"/>
  <c r="E40" i="4"/>
  <c r="D40" i="4"/>
  <c r="D40" i="4" a="1"/>
  <c r="C40" i="4"/>
  <c r="L39" i="4"/>
  <c r="L39" i="4" a="1"/>
  <c r="K39" i="4"/>
  <c r="K39" i="4" a="1"/>
  <c r="G39" i="4"/>
  <c r="G39" i="4" a="1"/>
  <c r="F39" i="4"/>
  <c r="F39" i="4" a="1"/>
  <c r="E39" i="4"/>
  <c r="D39" i="4"/>
  <c r="D39" i="4" a="1"/>
  <c r="C39" i="4"/>
  <c r="L38" i="4"/>
  <c r="L38" i="4" a="1"/>
  <c r="K38" i="4"/>
  <c r="K38" i="4" a="1"/>
  <c r="G38" i="4"/>
  <c r="G38" i="4" a="1"/>
  <c r="F38" i="4"/>
  <c r="F38" i="4" a="1"/>
  <c r="E38" i="4"/>
  <c r="D38" i="4"/>
  <c r="D38" i="4" a="1"/>
  <c r="C38" i="4"/>
  <c r="L37" i="4"/>
  <c r="G37" i="4"/>
  <c r="G37" i="4" a="1"/>
  <c r="F37" i="4"/>
  <c r="F37" i="4" a="1"/>
  <c r="E37" i="4"/>
  <c r="C37" i="4"/>
  <c r="I32" i="4"/>
  <c r="H32" i="4"/>
  <c r="I31" i="4"/>
  <c r="H31" i="4"/>
  <c r="M30" i="4"/>
  <c r="I30" i="4"/>
  <c r="H30" i="4"/>
  <c r="M29" i="4"/>
  <c r="I29" i="4"/>
  <c r="H29" i="4"/>
  <c r="M28" i="4"/>
  <c r="I28" i="4"/>
  <c r="H28" i="4"/>
  <c r="M27" i="4"/>
  <c r="I27" i="4"/>
  <c r="H27" i="4"/>
  <c r="M26" i="4"/>
  <c r="I26" i="4"/>
  <c r="H26" i="4"/>
  <c r="I25" i="4"/>
  <c r="H25" i="4"/>
  <c r="M24" i="4"/>
  <c r="I24" i="4"/>
  <c r="H24" i="4"/>
  <c r="M23" i="4"/>
  <c r="I23" i="4"/>
  <c r="H23" i="4"/>
  <c r="M21" i="4"/>
  <c r="F12" i="4"/>
  <c r="E7" i="4"/>
  <c r="H48" i="4" a="1"/>
  <c r="H55" i="4" a="1"/>
  <c r="H45" i="4" a="1"/>
  <c r="H37" i="4" a="1"/>
  <c r="H51" i="4" a="1"/>
  <c r="H52" i="4" a="1"/>
  <c r="H42" i="4" a="1"/>
  <c r="H39" i="4" a="1"/>
  <c r="H54" i="4" a="1"/>
  <c r="H40" i="4" a="1"/>
  <c r="H43" i="4" a="1"/>
  <c r="H46" i="4" a="1"/>
  <c r="H38" i="4" a="1"/>
  <c r="H41" i="4" a="1"/>
  <c r="H47" i="4" a="1"/>
  <c r="H50" i="4" a="1"/>
  <c r="H53" i="4" a="1"/>
  <c r="H44" i="4" a="1"/>
  <c r="H49" i="4" a="1"/>
  <c r="G98" i="15" l="1"/>
  <c r="H98" i="15" s="1"/>
  <c r="J98" i="15" s="1"/>
  <c r="G67" i="15"/>
  <c r="H67" i="15" s="1"/>
  <c r="J67" i="15" s="1"/>
  <c r="E66" i="15"/>
  <c r="L66" i="15" s="1"/>
  <c r="F67" i="15"/>
  <c r="F63" i="15"/>
  <c r="M63" i="15" s="1"/>
  <c r="E88" i="15"/>
  <c r="L88" i="15" s="1"/>
  <c r="G85" i="15"/>
  <c r="H85" i="15" s="1"/>
  <c r="J85" i="15" s="1"/>
  <c r="E63" i="15"/>
  <c r="L63" i="15" s="1"/>
  <c r="G62" i="15"/>
  <c r="H62" i="15" s="1"/>
  <c r="J62" i="15" s="1"/>
  <c r="F62" i="15"/>
  <c r="E98" i="15"/>
  <c r="L98" i="15" s="1"/>
  <c r="G100" i="15"/>
  <c r="H100" i="15" s="1"/>
  <c r="J100" i="15" s="1"/>
  <c r="F99" i="15"/>
  <c r="G99" i="15"/>
  <c r="H99" i="15" s="1"/>
  <c r="J99" i="15" s="1"/>
  <c r="H101" i="15"/>
  <c r="J101" i="15" s="1"/>
  <c r="H96" i="15"/>
  <c r="J96" i="15" s="1"/>
  <c r="H102" i="15"/>
  <c r="J102" i="15" s="1"/>
  <c r="H97" i="15"/>
  <c r="J97" i="15" s="1"/>
  <c r="H103" i="15"/>
  <c r="J103" i="15" s="1"/>
  <c r="E103" i="15"/>
  <c r="L103" i="15" s="1"/>
  <c r="E102" i="15"/>
  <c r="L102" i="15" s="1"/>
  <c r="F103" i="15"/>
  <c r="M103" i="15" s="1"/>
  <c r="E101" i="15"/>
  <c r="L101" i="15" s="1"/>
  <c r="F102" i="15"/>
  <c r="M102" i="15" s="1"/>
  <c r="E100" i="15"/>
  <c r="L100" i="15" s="1"/>
  <c r="F101" i="15"/>
  <c r="M101" i="15" s="1"/>
  <c r="E97" i="15"/>
  <c r="L97" i="15" s="1"/>
  <c r="E96" i="15"/>
  <c r="L96" i="15" s="1"/>
  <c r="F97" i="15"/>
  <c r="M97" i="15" s="1"/>
  <c r="F96" i="15"/>
  <c r="M96" i="15" s="1"/>
  <c r="F89" i="15"/>
  <c r="M89" i="15" s="1"/>
  <c r="G90" i="15"/>
  <c r="H90" i="15" s="1"/>
  <c r="J90" i="15" s="1"/>
  <c r="F84" i="15"/>
  <c r="M84" i="15" s="1"/>
  <c r="E83" i="15"/>
  <c r="L83" i="15" s="1"/>
  <c r="H88" i="15"/>
  <c r="J88" i="15" s="1"/>
  <c r="H91" i="15"/>
  <c r="J91" i="15" s="1"/>
  <c r="H92" i="15"/>
  <c r="J92" i="15" s="1"/>
  <c r="H89" i="15"/>
  <c r="J89" i="15" s="1"/>
  <c r="H93" i="15"/>
  <c r="J93" i="15" s="1"/>
  <c r="H87" i="15"/>
  <c r="J87" i="15" s="1"/>
  <c r="H94" i="15"/>
  <c r="J94" i="15" s="1"/>
  <c r="E94" i="15"/>
  <c r="L94" i="15" s="1"/>
  <c r="E93" i="15"/>
  <c r="L93" i="15" s="1"/>
  <c r="F94" i="15"/>
  <c r="M94" i="15" s="1"/>
  <c r="E92" i="15"/>
  <c r="L92" i="15" s="1"/>
  <c r="F93" i="15"/>
  <c r="M93" i="15" s="1"/>
  <c r="E91" i="15"/>
  <c r="L91" i="15" s="1"/>
  <c r="F92" i="15"/>
  <c r="M92" i="15" s="1"/>
  <c r="E90" i="15"/>
  <c r="L90" i="15" s="1"/>
  <c r="F91" i="15"/>
  <c r="M91" i="15" s="1"/>
  <c r="E89" i="15"/>
  <c r="L89" i="15" s="1"/>
  <c r="E87" i="15"/>
  <c r="L87" i="15" s="1"/>
  <c r="F88" i="15"/>
  <c r="M88" i="15" s="1"/>
  <c r="F87" i="15"/>
  <c r="M87" i="15" s="1"/>
  <c r="H80" i="15"/>
  <c r="J80" i="15" s="1"/>
  <c r="H84" i="15"/>
  <c r="J84" i="15" s="1"/>
  <c r="H81" i="15"/>
  <c r="J81" i="15" s="1"/>
  <c r="H83" i="15"/>
  <c r="J83" i="15" s="1"/>
  <c r="H79" i="15"/>
  <c r="J79" i="15" s="1"/>
  <c r="H78" i="15"/>
  <c r="J78" i="15" s="1"/>
  <c r="H82" i="15"/>
  <c r="J82" i="15" s="1"/>
  <c r="E85" i="15"/>
  <c r="L85" i="15" s="1"/>
  <c r="E84" i="15"/>
  <c r="L84" i="15" s="1"/>
  <c r="E82" i="15"/>
  <c r="L82" i="15" s="1"/>
  <c r="F83" i="15"/>
  <c r="M83" i="15" s="1"/>
  <c r="E81" i="15"/>
  <c r="L81" i="15" s="1"/>
  <c r="F82" i="15"/>
  <c r="M82" i="15" s="1"/>
  <c r="E80" i="15"/>
  <c r="L80" i="15" s="1"/>
  <c r="F81" i="15"/>
  <c r="M81" i="15" s="1"/>
  <c r="E79" i="15"/>
  <c r="L79" i="15" s="1"/>
  <c r="F80" i="15"/>
  <c r="M80" i="15" s="1"/>
  <c r="E78" i="15"/>
  <c r="L78" i="15" s="1"/>
  <c r="F79" i="15"/>
  <c r="M79" i="15" s="1"/>
  <c r="F78" i="15"/>
  <c r="M78" i="15" s="1"/>
  <c r="F66" i="15"/>
  <c r="M66" i="15" s="1"/>
  <c r="E65" i="15"/>
  <c r="L65" i="15" s="1"/>
  <c r="G60" i="15"/>
  <c r="H60" i="15" s="1"/>
  <c r="J60" i="15" s="1"/>
  <c r="H73" i="15"/>
  <c r="J73" i="15" s="1"/>
  <c r="H70" i="15"/>
  <c r="J70" i="15" s="1"/>
  <c r="H74" i="15"/>
  <c r="J74" i="15" s="1"/>
  <c r="H69" i="15"/>
  <c r="J69" i="15" s="1"/>
  <c r="H71" i="15"/>
  <c r="J71" i="15" s="1"/>
  <c r="H75" i="15"/>
  <c r="J75" i="15" s="1"/>
  <c r="H72" i="15"/>
  <c r="J72" i="15" s="1"/>
  <c r="H76" i="15"/>
  <c r="J76" i="15" s="1"/>
  <c r="E76" i="15"/>
  <c r="L76" i="15" s="1"/>
  <c r="E75" i="15"/>
  <c r="L75" i="15" s="1"/>
  <c r="F76" i="15"/>
  <c r="M76" i="15" s="1"/>
  <c r="E74" i="15"/>
  <c r="L74" i="15" s="1"/>
  <c r="F75" i="15"/>
  <c r="M75" i="15" s="1"/>
  <c r="E73" i="15"/>
  <c r="L73" i="15" s="1"/>
  <c r="F74" i="15"/>
  <c r="M74" i="15" s="1"/>
  <c r="E72" i="15"/>
  <c r="L72" i="15" s="1"/>
  <c r="F73" i="15"/>
  <c r="M73" i="15" s="1"/>
  <c r="E71" i="15"/>
  <c r="L71" i="15" s="1"/>
  <c r="F72" i="15"/>
  <c r="M72" i="15" s="1"/>
  <c r="E70" i="15"/>
  <c r="L70" i="15" s="1"/>
  <c r="F71" i="15"/>
  <c r="M71" i="15" s="1"/>
  <c r="E69" i="15"/>
  <c r="L69" i="15" s="1"/>
  <c r="F70" i="15"/>
  <c r="M70" i="15" s="1"/>
  <c r="F69" i="15"/>
  <c r="M69" i="15" s="1"/>
  <c r="H66" i="15"/>
  <c r="J66" i="15" s="1"/>
  <c r="H65" i="15"/>
  <c r="J65" i="15" s="1"/>
  <c r="F65" i="15"/>
  <c r="M65" i="15" s="1"/>
  <c r="E64" i="15"/>
  <c r="L64" i="15" s="1"/>
  <c r="G64" i="15"/>
  <c r="E60" i="15"/>
  <c r="G61" i="15"/>
  <c r="F61" i="15"/>
  <c r="E38" i="12"/>
  <c r="E17" i="12"/>
  <c r="H53" i="4"/>
  <c r="M53" i="4" s="1"/>
  <c r="N53" i="4" s="1"/>
  <c r="O53" i="4" s="1"/>
  <c r="H41" i="4"/>
  <c r="M41" i="4" s="1"/>
  <c r="N41" i="4" s="1"/>
  <c r="O41" i="4" s="1"/>
  <c r="H46" i="4"/>
  <c r="M46" i="4" s="1"/>
  <c r="N46" i="4" s="1"/>
  <c r="O46" i="4" s="1"/>
  <c r="H39" i="4"/>
  <c r="M39" i="4" s="1"/>
  <c r="N39" i="4" s="1"/>
  <c r="H51" i="4"/>
  <c r="M51" i="4" s="1"/>
  <c r="N51" i="4" s="1"/>
  <c r="O51" i="4" s="1"/>
  <c r="H44" i="4"/>
  <c r="M44" i="4" s="1"/>
  <c r="N44" i="4" s="1"/>
  <c r="O44" i="4" s="1"/>
  <c r="H49" i="4"/>
  <c r="M49" i="4" s="1"/>
  <c r="N49" i="4" s="1"/>
  <c r="O49" i="4" s="1"/>
  <c r="H42" i="4"/>
  <c r="M42" i="4" s="1"/>
  <c r="N42" i="4" s="1"/>
  <c r="O42" i="4" s="1"/>
  <c r="H54" i="4"/>
  <c r="M54" i="4" s="1"/>
  <c r="N54" i="4" s="1"/>
  <c r="O54" i="4" s="1"/>
  <c r="H47" i="4"/>
  <c r="M47" i="4" s="1"/>
  <c r="N47" i="4" s="1"/>
  <c r="O47" i="4" s="1"/>
  <c r="H37" i="4"/>
  <c r="M37" i="4" s="1"/>
  <c r="N37" i="4" s="1"/>
  <c r="O37" i="4" s="1"/>
  <c r="H40" i="4"/>
  <c r="M40" i="4" s="1"/>
  <c r="N40" i="4" s="1"/>
  <c r="H52" i="4"/>
  <c r="M52" i="4" s="1"/>
  <c r="N52" i="4" s="1"/>
  <c r="O52" i="4" s="1"/>
  <c r="H45" i="4"/>
  <c r="M45" i="4" s="1"/>
  <c r="N45" i="4" s="1"/>
  <c r="O45" i="4" s="1"/>
  <c r="H38" i="4"/>
  <c r="M38" i="4" s="1"/>
  <c r="N38" i="4" s="1"/>
  <c r="O38" i="4" s="1"/>
  <c r="H50" i="4"/>
  <c r="M50" i="4" s="1"/>
  <c r="N50" i="4" s="1"/>
  <c r="O50" i="4" s="1"/>
  <c r="H43" i="4"/>
  <c r="M43" i="4" s="1"/>
  <c r="N43" i="4" s="1"/>
  <c r="O43" i="4" s="1"/>
  <c r="H55" i="4"/>
  <c r="M55" i="4" s="1"/>
  <c r="N55" i="4" s="1"/>
  <c r="O55" i="4" s="1"/>
  <c r="H48" i="4"/>
  <c r="M48" i="4" s="1"/>
  <c r="N48" i="4" s="1"/>
  <c r="O48" i="4" s="1"/>
  <c r="M98" i="15" l="1"/>
  <c r="N98" i="15" s="1"/>
  <c r="M67" i="15"/>
  <c r="N67" i="15" s="1"/>
  <c r="M100" i="15"/>
  <c r="N100" i="15" s="1"/>
  <c r="M90" i="15"/>
  <c r="N90" i="15" s="1"/>
  <c r="M85" i="15"/>
  <c r="N85" i="15" s="1"/>
  <c r="M62" i="15"/>
  <c r="N62" i="15" s="1"/>
  <c r="N63" i="15"/>
  <c r="M99" i="15"/>
  <c r="N99" i="15" s="1"/>
  <c r="N97" i="15"/>
  <c r="N102" i="15"/>
  <c r="N96" i="15"/>
  <c r="N101" i="15"/>
  <c r="N103" i="15"/>
  <c r="N94" i="15"/>
  <c r="N88" i="15"/>
  <c r="N87" i="15"/>
  <c r="N92" i="15"/>
  <c r="N93" i="15"/>
  <c r="N89" i="15"/>
  <c r="N91" i="15"/>
  <c r="N78" i="15"/>
  <c r="N81" i="15"/>
  <c r="N82" i="15"/>
  <c r="N84" i="15"/>
  <c r="N83" i="15"/>
  <c r="N80" i="15"/>
  <c r="N79" i="15"/>
  <c r="N65" i="15"/>
  <c r="M60" i="15"/>
  <c r="N72" i="15"/>
  <c r="N73" i="15"/>
  <c r="N75" i="15"/>
  <c r="N71" i="15"/>
  <c r="N69" i="15"/>
  <c r="N74" i="15"/>
  <c r="N76" i="15"/>
  <c r="N70" i="15"/>
  <c r="N66" i="15"/>
  <c r="H64" i="15"/>
  <c r="J64" i="15" s="1"/>
  <c r="M64" i="15"/>
  <c r="H61" i="15"/>
  <c r="J61" i="15" s="1"/>
  <c r="M61" i="15"/>
  <c r="L60" i="15"/>
  <c r="E39" i="12"/>
  <c r="O39" i="4"/>
  <c r="H56" i="4" a="1"/>
  <c r="H56" i="4" s="1"/>
  <c r="I56" i="4" a="1"/>
  <c r="I56" i="4" s="1"/>
  <c r="O40" i="4"/>
  <c r="N64" i="15" l="1"/>
  <c r="N61" i="15"/>
  <c r="E40" i="12"/>
  <c r="M57" i="4"/>
  <c r="N5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<sst xmlns="http://schemas.openxmlformats.org/spreadsheetml/2006/main" count="734" uniqueCount="337">
  <si>
    <t>x</t>
  </si>
  <si>
    <t>y</t>
  </si>
  <si>
    <t>stress</t>
  </si>
  <si>
    <t>w</t>
  </si>
  <si>
    <t>b</t>
  </si>
  <si>
    <t xml:space="preserve"> </t>
  </si>
  <si>
    <t>Z</t>
  </si>
  <si>
    <t>depth</t>
  </si>
  <si>
    <t>B</t>
  </si>
  <si>
    <t>L</t>
  </si>
  <si>
    <t>h</t>
  </si>
  <si>
    <t>denisty</t>
  </si>
  <si>
    <t>Nq</t>
  </si>
  <si>
    <t>Ny</t>
  </si>
  <si>
    <t>E</t>
  </si>
  <si>
    <t>q</t>
  </si>
  <si>
    <t>t</t>
  </si>
  <si>
    <t>layer</t>
  </si>
  <si>
    <t>ex</t>
  </si>
  <si>
    <t>ey</t>
  </si>
  <si>
    <t>ton</t>
  </si>
  <si>
    <t>m</t>
  </si>
  <si>
    <t>D</t>
  </si>
  <si>
    <t>GWT</t>
  </si>
  <si>
    <t>dh</t>
  </si>
  <si>
    <t>C</t>
  </si>
  <si>
    <t>phi</t>
  </si>
  <si>
    <t>H</t>
  </si>
  <si>
    <t>f(max)</t>
  </si>
  <si>
    <t>f(min)</t>
  </si>
  <si>
    <t>fmax/fmin</t>
  </si>
  <si>
    <t>2&gt;r&gt;0</t>
  </si>
  <si>
    <t>Ln</t>
  </si>
  <si>
    <t>Bn</t>
  </si>
  <si>
    <t>lmd c</t>
  </si>
  <si>
    <t>lmd y</t>
  </si>
  <si>
    <t>soil strength surfaces</t>
  </si>
  <si>
    <t>surface</t>
  </si>
  <si>
    <t>f</t>
  </si>
  <si>
    <t>Nc</t>
  </si>
  <si>
    <t>c</t>
  </si>
  <si>
    <t>qult</t>
  </si>
  <si>
    <t>qall</t>
  </si>
  <si>
    <t>state</t>
  </si>
  <si>
    <t>qD</t>
  </si>
  <si>
    <t>P_eq</t>
  </si>
  <si>
    <t>y_below</t>
  </si>
  <si>
    <t>safty factor</t>
  </si>
  <si>
    <t>I</t>
  </si>
  <si>
    <t>I/E</t>
  </si>
  <si>
    <t>shape factor</t>
  </si>
  <si>
    <t>depth factor</t>
  </si>
  <si>
    <t>creep factor</t>
  </si>
  <si>
    <t>I0</t>
  </si>
  <si>
    <t>dI</t>
  </si>
  <si>
    <t>index</t>
  </si>
  <si>
    <t>Geotechnical design</t>
  </si>
  <si>
    <t>dis</t>
  </si>
  <si>
    <t>Immediate settelment under footting (Strain influence factor method)</t>
  </si>
  <si>
    <t>soil Profile</t>
  </si>
  <si>
    <t>time</t>
  </si>
  <si>
    <t>year</t>
  </si>
  <si>
    <t>soil Bearing Capacity</t>
  </si>
  <si>
    <t xml:space="preserve">strength </t>
  </si>
  <si>
    <t>Strained depth</t>
  </si>
  <si>
    <t>layer theckness</t>
  </si>
  <si>
    <t>Total vertical load</t>
  </si>
  <si>
    <t>Length</t>
  </si>
  <si>
    <t>Width</t>
  </si>
  <si>
    <t>Depth of foundation</t>
  </si>
  <si>
    <t>concrete weight</t>
  </si>
  <si>
    <t>thickness</t>
  </si>
  <si>
    <t>water weight</t>
  </si>
  <si>
    <t>settelment (SFI)</t>
  </si>
  <si>
    <t>settelment (Elacticity)</t>
  </si>
  <si>
    <t>mm</t>
  </si>
  <si>
    <t>bearing capacity under footing</t>
  </si>
  <si>
    <t>n</t>
  </si>
  <si>
    <t>over burden pressure</t>
  </si>
  <si>
    <t>qd</t>
  </si>
  <si>
    <t>settelment</t>
  </si>
  <si>
    <t>P</t>
  </si>
  <si>
    <t>eccentricity in x</t>
  </si>
  <si>
    <t>eccentricity in y</t>
  </si>
  <si>
    <t>yc</t>
  </si>
  <si>
    <t>tc</t>
  </si>
  <si>
    <t>Ground Water Level</t>
  </si>
  <si>
    <t>yw</t>
  </si>
  <si>
    <t>maxium stress</t>
  </si>
  <si>
    <t>minum stress</t>
  </si>
  <si>
    <t>ton/m3</t>
  </si>
  <si>
    <t>ton/m2</t>
  </si>
  <si>
    <t>stressing ratio</t>
  </si>
  <si>
    <t>Loads</t>
  </si>
  <si>
    <t>SF</t>
  </si>
  <si>
    <t>BC</t>
  </si>
  <si>
    <t>ton/m</t>
  </si>
  <si>
    <t>fmin/fmax</t>
  </si>
  <si>
    <t>fcu</t>
  </si>
  <si>
    <t>fy</t>
  </si>
  <si>
    <t>fs</t>
  </si>
  <si>
    <t>qc</t>
  </si>
  <si>
    <t>fcc</t>
  </si>
  <si>
    <t>fcb</t>
  </si>
  <si>
    <t>kg/cm2</t>
  </si>
  <si>
    <t>ultimate strength</t>
  </si>
  <si>
    <t>compresive strength</t>
  </si>
  <si>
    <t>bending strength</t>
  </si>
  <si>
    <t>yeild strength</t>
  </si>
  <si>
    <t>design strength</t>
  </si>
  <si>
    <t>Steel Strength</t>
  </si>
  <si>
    <t xml:space="preserve">Compresion Strength </t>
  </si>
  <si>
    <t>f1</t>
  </si>
  <si>
    <t>f2</t>
  </si>
  <si>
    <t>f3</t>
  </si>
  <si>
    <t>f4</t>
  </si>
  <si>
    <t>fav</t>
  </si>
  <si>
    <t>&gt;0</t>
  </si>
  <si>
    <t>x1</t>
  </si>
  <si>
    <t>column width</t>
  </si>
  <si>
    <t>column length</t>
  </si>
  <si>
    <t>M</t>
  </si>
  <si>
    <t>Q</t>
  </si>
  <si>
    <t>Punching stress</t>
  </si>
  <si>
    <t>qcp</t>
  </si>
  <si>
    <t>xc</t>
  </si>
  <si>
    <t>d</t>
  </si>
  <si>
    <t>cover</t>
  </si>
  <si>
    <t>cm</t>
  </si>
  <si>
    <t>q1</t>
  </si>
  <si>
    <t>qy</t>
  </si>
  <si>
    <t>qx</t>
  </si>
  <si>
    <t>qp</t>
  </si>
  <si>
    <t>SF punch</t>
  </si>
  <si>
    <t>&gt;1</t>
  </si>
  <si>
    <t>ton.m/m</t>
  </si>
  <si>
    <t>As</t>
  </si>
  <si>
    <t>cm2</t>
  </si>
  <si>
    <t>As (bar)</t>
  </si>
  <si>
    <t>Design section in y Direction</t>
  </si>
  <si>
    <t>As(y)</t>
  </si>
  <si>
    <t>qBond</t>
  </si>
  <si>
    <t>shear Strength</t>
  </si>
  <si>
    <t>Punch strength</t>
  </si>
  <si>
    <t>Bond strength</t>
  </si>
  <si>
    <t>qb</t>
  </si>
  <si>
    <t>Design section in X Direction</t>
  </si>
  <si>
    <t>X2</t>
  </si>
  <si>
    <t>bended arm</t>
  </si>
  <si>
    <t>average stress</t>
  </si>
  <si>
    <t>Bending Moment</t>
  </si>
  <si>
    <t>Shear Force</t>
  </si>
  <si>
    <t>L(x)</t>
  </si>
  <si>
    <t>B(y)</t>
  </si>
  <si>
    <t>Steel Area (bar in X)</t>
  </si>
  <si>
    <t>diameter</t>
  </si>
  <si>
    <t>count/m</t>
  </si>
  <si>
    <t>Bond Stress</t>
  </si>
  <si>
    <t>Bond safty factor</t>
  </si>
  <si>
    <t>Steel Area (bar in Y)</t>
  </si>
  <si>
    <t>section depth</t>
  </si>
  <si>
    <t>Structural Design of Isolated Footing</t>
  </si>
  <si>
    <t xml:space="preserve">Soil Bearing Capacity </t>
  </si>
  <si>
    <t>Bearing Safty Factor</t>
  </si>
  <si>
    <t>use</t>
  </si>
  <si>
    <t xml:space="preserve">Footing </t>
  </si>
  <si>
    <t>coulmn</t>
  </si>
  <si>
    <t xml:space="preserve">weight </t>
  </si>
  <si>
    <t xml:space="preserve">Soil </t>
  </si>
  <si>
    <t>Debth of foundation</t>
  </si>
  <si>
    <t>soil weight</t>
  </si>
  <si>
    <t>ys</t>
  </si>
  <si>
    <t>footing</t>
  </si>
  <si>
    <t>First Coulmn Load</t>
  </si>
  <si>
    <t>P1</t>
  </si>
  <si>
    <t>P2</t>
  </si>
  <si>
    <t>e1</t>
  </si>
  <si>
    <t>Excess Length 1</t>
  </si>
  <si>
    <t>column1 x width</t>
  </si>
  <si>
    <t>column1 y width</t>
  </si>
  <si>
    <t>column2 x width</t>
  </si>
  <si>
    <t>column2 y width</t>
  </si>
  <si>
    <t>Xc1</t>
  </si>
  <si>
    <t>Yc1</t>
  </si>
  <si>
    <t>Xc2</t>
  </si>
  <si>
    <t>Yc2</t>
  </si>
  <si>
    <t>R</t>
  </si>
  <si>
    <t>xr</t>
  </si>
  <si>
    <t>Dis. Between coulmns</t>
  </si>
  <si>
    <t>L footing</t>
  </si>
  <si>
    <t>A footing</t>
  </si>
  <si>
    <t>B footing</t>
  </si>
  <si>
    <t>footing dimminsions</t>
  </si>
  <si>
    <t>e2</t>
  </si>
  <si>
    <t>Xp</t>
  </si>
  <si>
    <t>L clear</t>
  </si>
  <si>
    <t>M/m</t>
  </si>
  <si>
    <t>internal Forces</t>
  </si>
  <si>
    <t>section</t>
  </si>
  <si>
    <t>left edge</t>
  </si>
  <si>
    <t>left face of left colm.</t>
  </si>
  <si>
    <t>right face of left colm.</t>
  </si>
  <si>
    <t>mid span</t>
  </si>
  <si>
    <t>left face of right colm.</t>
  </si>
  <si>
    <t>right face of right colm.</t>
  </si>
  <si>
    <t>right edge</t>
  </si>
  <si>
    <t>M+ve</t>
  </si>
  <si>
    <t>M-ve</t>
  </si>
  <si>
    <t>max shear force</t>
  </si>
  <si>
    <t>max -ve momment</t>
  </si>
  <si>
    <t>max +ve momment</t>
  </si>
  <si>
    <t>structural design</t>
  </si>
  <si>
    <t xml:space="preserve">Check of punching </t>
  </si>
  <si>
    <t>y1</t>
  </si>
  <si>
    <t>Qp1</t>
  </si>
  <si>
    <t>x2</t>
  </si>
  <si>
    <t>y2</t>
  </si>
  <si>
    <t>qp1</t>
  </si>
  <si>
    <t>qp all</t>
  </si>
  <si>
    <t>Check Shear</t>
  </si>
  <si>
    <t>qs</t>
  </si>
  <si>
    <t>Bending in Longtudinal Direction</t>
  </si>
  <si>
    <t>As lower</t>
  </si>
  <si>
    <t>As upper</t>
  </si>
  <si>
    <t>As bar</t>
  </si>
  <si>
    <t>N/m</t>
  </si>
  <si>
    <t>q bond</t>
  </si>
  <si>
    <t>Bending in Transverse Direction</t>
  </si>
  <si>
    <t>M +ve</t>
  </si>
  <si>
    <t>ton.m</t>
  </si>
  <si>
    <t>M -ve</t>
  </si>
  <si>
    <t>resultant force</t>
  </si>
  <si>
    <t>position of resultant</t>
  </si>
  <si>
    <t>length</t>
  </si>
  <si>
    <t>width</t>
  </si>
  <si>
    <t>stress under footing</t>
  </si>
  <si>
    <t>Load on footing</t>
  </si>
  <si>
    <t>clear distance</t>
  </si>
  <si>
    <t>Moment Peak point</t>
  </si>
  <si>
    <t>coulmn dim</t>
  </si>
  <si>
    <t>Shear force</t>
  </si>
  <si>
    <t>Shear stress</t>
  </si>
  <si>
    <t>allowable stress</t>
  </si>
  <si>
    <t>Upper steel area</t>
  </si>
  <si>
    <t>Bar diameter</t>
  </si>
  <si>
    <t>number of bars</t>
  </si>
  <si>
    <t>bond stress</t>
  </si>
  <si>
    <t>Lower steel area</t>
  </si>
  <si>
    <t>Compined Footing</t>
  </si>
  <si>
    <t>Index</t>
  </si>
  <si>
    <t xml:space="preserve">Load </t>
  </si>
  <si>
    <t>Area</t>
  </si>
  <si>
    <t>Stress</t>
  </si>
  <si>
    <t>column</t>
  </si>
  <si>
    <t>punch</t>
  </si>
  <si>
    <t>P(ton)</t>
  </si>
  <si>
    <t>b (cm)</t>
  </si>
  <si>
    <t>t(cm)</t>
  </si>
  <si>
    <t>A (cm2)</t>
  </si>
  <si>
    <t>x(m)</t>
  </si>
  <si>
    <t>B (m)</t>
  </si>
  <si>
    <t>L (m)</t>
  </si>
  <si>
    <t>f (ton/m2)</t>
  </si>
  <si>
    <t>x(cm)</t>
  </si>
  <si>
    <t>y (cm)</t>
  </si>
  <si>
    <t>qb (kg/cm2)</t>
  </si>
  <si>
    <t>Qb</t>
  </si>
  <si>
    <t>Ap</t>
  </si>
  <si>
    <t>q all</t>
  </si>
  <si>
    <t>Bending</t>
  </si>
  <si>
    <t>j</t>
  </si>
  <si>
    <t>D (mm)</t>
  </si>
  <si>
    <t>punch Cone</t>
  </si>
  <si>
    <t>Force</t>
  </si>
  <si>
    <t>punch Stress</t>
  </si>
  <si>
    <t>allowable</t>
  </si>
  <si>
    <t>safty</t>
  </si>
  <si>
    <t>moment</t>
  </si>
  <si>
    <t>area steel</t>
  </si>
  <si>
    <t>Diameter</t>
  </si>
  <si>
    <t>M (ton.m/m)</t>
  </si>
  <si>
    <t>Shear</t>
  </si>
  <si>
    <t>Bond</t>
  </si>
  <si>
    <t xml:space="preserve">Concrete Strength </t>
  </si>
  <si>
    <t>force</t>
  </si>
  <si>
    <t>S</t>
  </si>
  <si>
    <t>e</t>
  </si>
  <si>
    <t>center line position</t>
  </si>
  <si>
    <t>K sp</t>
  </si>
  <si>
    <t>beams</t>
  </si>
  <si>
    <t>L act</t>
  </si>
  <si>
    <t>EI</t>
  </si>
  <si>
    <t>S act</t>
  </si>
  <si>
    <t>Ec</t>
  </si>
  <si>
    <t xml:space="preserve">PILE </t>
  </si>
  <si>
    <t>(STATIC ANALYSIS METHOD)</t>
  </si>
  <si>
    <t>D &lt;= 60 cm</t>
  </si>
  <si>
    <t>SOIL PARAMETERS</t>
  </si>
  <si>
    <t>soil type</t>
  </si>
  <si>
    <t>Cu</t>
  </si>
  <si>
    <t>Lc/D</t>
  </si>
  <si>
    <t>based on shear strength parameters as Cu and Ø , the strength of narrow piles can be approximated</t>
  </si>
  <si>
    <t>Ø</t>
  </si>
  <si>
    <t>CLAY</t>
  </si>
  <si>
    <t>Concrete pile</t>
  </si>
  <si>
    <t>Ca</t>
  </si>
  <si>
    <t>SILT</t>
  </si>
  <si>
    <t>Pile Type</t>
  </si>
  <si>
    <t xml:space="preserve">β </t>
  </si>
  <si>
    <t>driven</t>
  </si>
  <si>
    <t>bored</t>
  </si>
  <si>
    <t>Soil Type</t>
  </si>
  <si>
    <t>fessured Clay</t>
  </si>
  <si>
    <t>yes</t>
  </si>
  <si>
    <t>kn/m2</t>
  </si>
  <si>
    <t>KN/m2</t>
  </si>
  <si>
    <t>adhesion between clay and pile (KN/m2)</t>
  </si>
  <si>
    <t>cohesion</t>
  </si>
  <si>
    <t>CU</t>
  </si>
  <si>
    <t>Ab</t>
  </si>
  <si>
    <t xml:space="preserve">LOOSE SAND </t>
  </si>
  <si>
    <t xml:space="preserve">MEDIUM SAND </t>
  </si>
  <si>
    <t xml:space="preserve">DENSE SAND </t>
  </si>
  <si>
    <t>PILE TYPE</t>
  </si>
  <si>
    <t>any</t>
  </si>
  <si>
    <t>l1</t>
  </si>
  <si>
    <t>σ`1</t>
  </si>
  <si>
    <t>l2</t>
  </si>
  <si>
    <t>σ`2</t>
  </si>
  <si>
    <t>qs1*l1</t>
  </si>
  <si>
    <t>qs2*l2</t>
  </si>
  <si>
    <t>pr</t>
  </si>
  <si>
    <t>Cricital debth</t>
  </si>
  <si>
    <t>adheshion</t>
  </si>
  <si>
    <t>beta</t>
  </si>
  <si>
    <t>cohesion factor</t>
  </si>
  <si>
    <t>Soil weight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</si>
</sst>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000000"/>
    <numFmt numFmtId="166" formatCode="0.0000000000"/>
    <numFmt numFmtId="167" formatCode="0.00000E+00"/>
    <numFmt numFmtId="168" formatCode="0.0000000000000000000"/>
    <numFmt numFmtId="170" formatCode="0.00000"/>
    <numFmt numFmtId="171" formatCode="0.0"/>
    <numFmt numFmtId="172" formatCode="0.000"/>
    <numFmt numFmtId="174" formatCode="0.00000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imes-Roman"/>
    </font>
    <font>
      <sz val="16"/>
      <color rgb="FF000000"/>
      <name val="Times-Roman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7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  <font>
      <b/>
      <i/>
      <sz val="11"/>
      <color rgb="FF3F3F3F"/>
      <name val="Calibri"/>
      <family val="2"/>
      <scheme val="minor"/>
    </font>
    <font>
      <b/>
      <i/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B2B2B2"/>
      </right>
      <top/>
      <bottom/>
      <diagonal/>
    </border>
    <border>
      <left/>
      <right style="thin">
        <color rgb="FFB2B2B2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0" fillId="4" borderId="8" applyNumberFormat="0" applyAlignment="0" applyProtection="0"/>
    <xf numFmtId="0" fontId="11" fillId="5" borderId="9" applyNumberFormat="0" applyAlignment="0" applyProtection="0"/>
    <xf numFmtId="0" fontId="1" fillId="6" borderId="10" applyNumberFormat="0" applyFont="0" applyAlignment="0" applyProtection="0"/>
  </cellStyleXfs>
  <cellXfs count="171">
    <xf numFmtId="0" fontId="0" fillId="0" borderId="0" xfId="0"/>
    <xf numFmtId="2" fontId="2" fillId="0" borderId="0" xfId="1" applyNumberFormat="1" applyFont="1"/>
    <xf numFmtId="2" fontId="0" fillId="0" borderId="0" xfId="0" applyNumberFormat="1"/>
    <xf numFmtId="166" fontId="0" fillId="0" borderId="0" xfId="0" applyNumberFormat="1"/>
    <xf numFmtId="167" fontId="3" fillId="0" borderId="0" xfId="0" applyNumberFormat="1" applyFont="1"/>
    <xf numFmtId="167" fontId="4" fillId="0" borderId="0" xfId="0" applyNumberFormat="1" applyFont="1"/>
    <xf numFmtId="164" fontId="4" fillId="0" borderId="0" xfId="0" applyNumberFormat="1" applyFont="1"/>
    <xf numFmtId="166" fontId="5" fillId="0" borderId="0" xfId="0" applyNumberFormat="1" applyFont="1"/>
    <xf numFmtId="166" fontId="4" fillId="0" borderId="0" xfId="0" applyNumberFormat="1" applyFont="1"/>
    <xf numFmtId="1" fontId="0" fillId="0" borderId="0" xfId="0" applyNumberFormat="1"/>
    <xf numFmtId="0" fontId="6" fillId="0" borderId="0" xfId="0" applyFont="1"/>
    <xf numFmtId="168" fontId="6" fillId="0" borderId="0" xfId="0" applyNumberFormat="1" applyFont="1"/>
    <xf numFmtId="0" fontId="7" fillId="0" borderId="0" xfId="0" applyFont="1" applyAlignment="1">
      <alignment vertical="center" wrapText="1"/>
    </xf>
    <xf numFmtId="0" fontId="8" fillId="0" borderId="0" xfId="0" applyFont="1"/>
    <xf numFmtId="0" fontId="0" fillId="0" borderId="1" xfId="0" applyBorder="1"/>
    <xf numFmtId="0" fontId="10" fillId="4" borderId="1" xfId="2" applyBorder="1"/>
    <xf numFmtId="0" fontId="0" fillId="7" borderId="1" xfId="0" applyFill="1" applyBorder="1"/>
    <xf numFmtId="0" fontId="10" fillId="4" borderId="8" xfId="2" applyAlignment="1">
      <alignment horizontal="center"/>
    </xf>
    <xf numFmtId="0" fontId="0" fillId="8" borderId="2" xfId="0" applyFill="1" applyBorder="1" applyAlignment="1">
      <alignment horizontal="center"/>
    </xf>
    <xf numFmtId="0" fontId="10" fillId="9" borderId="8" xfId="2" applyFill="1" applyAlignment="1">
      <alignment horizontal="center"/>
    </xf>
    <xf numFmtId="0" fontId="0" fillId="3" borderId="0" xfId="0" applyFill="1"/>
    <xf numFmtId="0" fontId="0" fillId="8" borderId="7" xfId="0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1" xfId="0" applyFill="1" applyBorder="1" applyAlignment="1">
      <alignment horizontal="center"/>
    </xf>
    <xf numFmtId="0" fontId="0" fillId="8" borderId="0" xfId="0" applyFill="1" applyAlignment="1">
      <alignment horizontal="left" indent="1"/>
    </xf>
    <xf numFmtId="0" fontId="11" fillId="8" borderId="0" xfId="3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1" fillId="8" borderId="0" xfId="3" applyFill="1" applyBorder="1"/>
    <xf numFmtId="0" fontId="16" fillId="8" borderId="0" xfId="0" applyFont="1" applyFill="1" applyAlignment="1">
      <alignment horizontal="left" indent="1"/>
    </xf>
    <xf numFmtId="0" fontId="0" fillId="8" borderId="0" xfId="4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17" xfId="0" applyFill="1" applyBorder="1" applyAlignment="1">
      <alignment horizontal="center" vertical="center"/>
    </xf>
    <xf numFmtId="0" fontId="0" fillId="8" borderId="17" xfId="0" applyFill="1" applyBorder="1"/>
    <xf numFmtId="0" fontId="0" fillId="8" borderId="18" xfId="0" applyFill="1" applyBorder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2" borderId="9" xfId="3" applyFont="1" applyFill="1" applyAlignment="1">
      <alignment horizontal="center"/>
    </xf>
    <xf numFmtId="0" fontId="12" fillId="2" borderId="24" xfId="3" applyFont="1" applyFill="1" applyBorder="1"/>
    <xf numFmtId="170" fontId="0" fillId="8" borderId="1" xfId="0" applyNumberFormat="1" applyFill="1" applyBorder="1" applyAlignment="1">
      <alignment horizontal="center"/>
    </xf>
    <xf numFmtId="170" fontId="0" fillId="8" borderId="26" xfId="0" applyNumberFormat="1" applyFill="1" applyBorder="1" applyAlignment="1">
      <alignment horizontal="center"/>
    </xf>
    <xf numFmtId="170" fontId="0" fillId="8" borderId="4" xfId="0" applyNumberFormat="1" applyFill="1" applyBorder="1" applyAlignment="1">
      <alignment horizontal="center"/>
    </xf>
    <xf numFmtId="170" fontId="0" fillId="8" borderId="14" xfId="0" applyNumberFormat="1" applyFill="1" applyBorder="1" applyAlignment="1">
      <alignment horizontal="center"/>
    </xf>
    <xf numFmtId="0" fontId="13" fillId="8" borderId="10" xfId="4" applyFont="1" applyFill="1" applyAlignment="1">
      <alignment horizontal="center"/>
    </xf>
    <xf numFmtId="0" fontId="17" fillId="9" borderId="8" xfId="2" applyFont="1" applyFill="1" applyAlignment="1">
      <alignment horizontal="center"/>
    </xf>
    <xf numFmtId="0" fontId="0" fillId="10" borderId="15" xfId="0" applyFill="1" applyBorder="1"/>
    <xf numFmtId="0" fontId="0" fillId="10" borderId="17" xfId="0" applyFill="1" applyBorder="1"/>
    <xf numFmtId="0" fontId="0" fillId="10" borderId="18" xfId="0" applyFill="1" applyBorder="1"/>
    <xf numFmtId="0" fontId="16" fillId="10" borderId="7" xfId="0" applyFont="1" applyFill="1" applyBorder="1" applyAlignment="1">
      <alignment horizontal="left" indent="1"/>
    </xf>
    <xf numFmtId="0" fontId="16" fillId="8" borderId="0" xfId="0" applyFont="1" applyFill="1" applyAlignment="1">
      <alignment horizontal="center"/>
    </xf>
    <xf numFmtId="0" fontId="0" fillId="10" borderId="0" xfId="0" applyFill="1"/>
    <xf numFmtId="0" fontId="16" fillId="10" borderId="0" xfId="0" applyFont="1" applyFill="1" applyAlignment="1">
      <alignment horizontal="center"/>
    </xf>
    <xf numFmtId="0" fontId="0" fillId="10" borderId="17" xfId="0" applyFill="1" applyBorder="1" applyAlignment="1">
      <alignment horizontal="center"/>
    </xf>
    <xf numFmtId="0" fontId="16" fillId="10" borderId="16" xfId="0" applyFont="1" applyFill="1" applyBorder="1" applyAlignment="1">
      <alignment horizontal="left" indent="1"/>
    </xf>
    <xf numFmtId="0" fontId="0" fillId="10" borderId="0" xfId="0" applyFill="1" applyAlignment="1">
      <alignment horizontal="center"/>
    </xf>
    <xf numFmtId="0" fontId="19" fillId="8" borderId="0" xfId="0" applyFont="1" applyFill="1" applyAlignment="1">
      <alignment horizontal="center"/>
    </xf>
    <xf numFmtId="171" fontId="0" fillId="8" borderId="0" xfId="0" applyNumberFormat="1" applyFill="1" applyAlignment="1">
      <alignment horizontal="center"/>
    </xf>
    <xf numFmtId="0" fontId="19" fillId="10" borderId="0" xfId="0" applyFont="1" applyFill="1" applyAlignment="1">
      <alignment horizontal="center"/>
    </xf>
    <xf numFmtId="171" fontId="0" fillId="10" borderId="0" xfId="0" applyNumberFormat="1" applyFill="1" applyAlignment="1">
      <alignment horizontal="center"/>
    </xf>
    <xf numFmtId="172" fontId="0" fillId="10" borderId="0" xfId="0" applyNumberFormat="1" applyFill="1" applyAlignment="1">
      <alignment horizontal="center"/>
    </xf>
    <xf numFmtId="0" fontId="19" fillId="10" borderId="17" xfId="0" applyFont="1" applyFill="1" applyBorder="1" applyAlignment="1">
      <alignment horizontal="center"/>
    </xf>
    <xf numFmtId="171" fontId="0" fillId="10" borderId="17" xfId="0" applyNumberFormat="1" applyFill="1" applyBorder="1" applyAlignment="1">
      <alignment horizontal="center"/>
    </xf>
    <xf numFmtId="0" fontId="0" fillId="10" borderId="12" xfId="0" applyFill="1" applyBorder="1"/>
    <xf numFmtId="0" fontId="19" fillId="10" borderId="12" xfId="0" applyFont="1" applyFill="1" applyBorder="1" applyAlignment="1">
      <alignment horizontal="center"/>
    </xf>
    <xf numFmtId="171" fontId="0" fillId="10" borderId="12" xfId="0" applyNumberFormat="1" applyFill="1" applyBorder="1" applyAlignment="1">
      <alignment horizontal="center"/>
    </xf>
    <xf numFmtId="0" fontId="0" fillId="10" borderId="13" xfId="0" applyFill="1" applyBorder="1"/>
    <xf numFmtId="2" fontId="0" fillId="10" borderId="0" xfId="0" applyNumberFormat="1" applyFill="1" applyAlignment="1">
      <alignment horizontal="center"/>
    </xf>
    <xf numFmtId="0" fontId="16" fillId="8" borderId="0" xfId="0" applyFont="1" applyFill="1"/>
    <xf numFmtId="0" fontId="16" fillId="10" borderId="0" xfId="0" applyFont="1" applyFill="1"/>
    <xf numFmtId="0" fontId="16" fillId="10" borderId="17" xfId="0" applyFont="1" applyFill="1" applyBorder="1"/>
    <xf numFmtId="0" fontId="16" fillId="10" borderId="12" xfId="0" applyFont="1" applyFill="1" applyBorder="1"/>
    <xf numFmtId="0" fontId="16" fillId="10" borderId="11" xfId="0" applyFont="1" applyFill="1" applyBorder="1" applyAlignment="1">
      <alignment horizontal="left" indent="1"/>
    </xf>
    <xf numFmtId="2" fontId="19" fillId="8" borderId="0" xfId="0" applyNumberFormat="1" applyFont="1" applyFill="1" applyAlignment="1">
      <alignment horizontal="center"/>
    </xf>
    <xf numFmtId="2" fontId="0" fillId="10" borderId="17" xfId="0" applyNumberFormat="1" applyFill="1" applyBorder="1" applyAlignment="1">
      <alignment horizontal="center"/>
    </xf>
    <xf numFmtId="2" fontId="0" fillId="8" borderId="0" xfId="0" applyNumberFormat="1" applyFill="1" applyAlignment="1">
      <alignment horizontal="center"/>
    </xf>
    <xf numFmtId="2" fontId="19" fillId="10" borderId="12" xfId="0" applyNumberFormat="1" applyFont="1" applyFill="1" applyBorder="1" applyAlignment="1">
      <alignment horizontal="center"/>
    </xf>
    <xf numFmtId="2" fontId="19" fillId="10" borderId="0" xfId="0" applyNumberFormat="1" applyFont="1" applyFill="1" applyAlignment="1">
      <alignment horizontal="center"/>
    </xf>
    <xf numFmtId="2" fontId="19" fillId="10" borderId="17" xfId="0" applyNumberFormat="1" applyFont="1" applyFill="1" applyBorder="1" applyAlignment="1">
      <alignment horizontal="center"/>
    </xf>
    <xf numFmtId="2" fontId="11" fillId="10" borderId="0" xfId="3" applyNumberFormat="1" applyFill="1" applyBorder="1" applyAlignment="1">
      <alignment horizontal="center"/>
    </xf>
    <xf numFmtId="2" fontId="10" fillId="10" borderId="0" xfId="2" applyNumberFormat="1" applyFill="1" applyBorder="1" applyAlignment="1">
      <alignment horizontal="center"/>
    </xf>
    <xf numFmtId="1" fontId="11" fillId="10" borderId="0" xfId="3" applyNumberFormat="1" applyFill="1" applyBorder="1" applyAlignment="1">
      <alignment horizontal="center"/>
    </xf>
    <xf numFmtId="2" fontId="10" fillId="10" borderId="8" xfId="2" applyNumberFormat="1" applyFill="1" applyAlignment="1">
      <alignment horizontal="center"/>
    </xf>
    <xf numFmtId="0" fontId="10" fillId="10" borderId="8" xfId="2" applyFill="1" applyAlignment="1">
      <alignment horizontal="center"/>
    </xf>
    <xf numFmtId="0" fontId="11" fillId="7" borderId="9" xfId="3" applyFill="1" applyAlignment="1">
      <alignment horizontal="center"/>
    </xf>
    <xf numFmtId="0" fontId="0" fillId="10" borderId="25" xfId="0" applyFill="1" applyBorder="1"/>
    <xf numFmtId="0" fontId="0" fillId="10" borderId="34" xfId="0" applyFill="1" applyBorder="1"/>
    <xf numFmtId="0" fontId="0" fillId="10" borderId="20" xfId="0" applyFill="1" applyBorder="1" applyAlignment="1">
      <alignment horizontal="left" indent="1"/>
    </xf>
    <xf numFmtId="0" fontId="0" fillId="10" borderId="5" xfId="0" applyFill="1" applyBorder="1" applyAlignment="1">
      <alignment horizontal="left" indent="1"/>
    </xf>
    <xf numFmtId="0" fontId="0" fillId="10" borderId="6" xfId="0" applyFill="1" applyBorder="1" applyAlignment="1">
      <alignment horizontal="center"/>
    </xf>
    <xf numFmtId="2" fontId="0" fillId="10" borderId="20" xfId="0" applyNumberFormat="1" applyFill="1" applyBorder="1" applyAlignment="1">
      <alignment horizontal="left" indent="1"/>
    </xf>
    <xf numFmtId="2" fontId="0" fillId="10" borderId="6" xfId="0" applyNumberFormat="1" applyFill="1" applyBorder="1" applyAlignment="1">
      <alignment horizontal="center"/>
    </xf>
    <xf numFmtId="0" fontId="14" fillId="10" borderId="20" xfId="0" applyFont="1" applyFill="1" applyBorder="1" applyAlignment="1">
      <alignment horizontal="left" indent="1"/>
    </xf>
    <xf numFmtId="0" fontId="0" fillId="10" borderId="31" xfId="0" applyFill="1" applyBorder="1"/>
    <xf numFmtId="0" fontId="0" fillId="10" borderId="32" xfId="0" applyFill="1" applyBorder="1"/>
    <xf numFmtId="0" fontId="0" fillId="10" borderId="33" xfId="0" applyFill="1" applyBorder="1"/>
    <xf numFmtId="0" fontId="16" fillId="10" borderId="6" xfId="0" applyFont="1" applyFill="1" applyBorder="1"/>
    <xf numFmtId="0" fontId="16" fillId="10" borderId="32" xfId="0" applyFont="1" applyFill="1" applyBorder="1"/>
    <xf numFmtId="0" fontId="20" fillId="4" borderId="8" xfId="2" applyFont="1" applyAlignment="1">
      <alignment horizontal="center"/>
    </xf>
    <xf numFmtId="0" fontId="21" fillId="7" borderId="9" xfId="3" applyFont="1" applyFill="1" applyAlignment="1">
      <alignment horizontal="center"/>
    </xf>
    <xf numFmtId="0" fontId="16" fillId="10" borderId="6" xfId="0" applyFont="1" applyFill="1" applyBorder="1" applyAlignment="1">
      <alignment horizontal="center"/>
    </xf>
    <xf numFmtId="2" fontId="16" fillId="10" borderId="0" xfId="0" applyNumberFormat="1" applyFont="1" applyFill="1" applyAlignment="1">
      <alignment horizontal="center"/>
    </xf>
    <xf numFmtId="0" fontId="0" fillId="7" borderId="0" xfId="0" applyFill="1" applyAlignment="1">
      <alignment horizontal="center"/>
    </xf>
    <xf numFmtId="2" fontId="0" fillId="7" borderId="0" xfId="0" applyNumberFormat="1" applyFill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22" fillId="4" borderId="35" xfId="2" applyFont="1" applyBorder="1" applyAlignment="1">
      <alignment horizontal="center"/>
    </xf>
    <xf numFmtId="0" fontId="16" fillId="0" borderId="0" xfId="0" applyFont="1" applyAlignment="1">
      <alignment horizontal="left" indent="1"/>
    </xf>
    <xf numFmtId="0" fontId="19" fillId="0" borderId="1" xfId="0" applyFont="1" applyBorder="1" applyAlignment="1">
      <alignment horizontal="left" indent="1"/>
    </xf>
    <xf numFmtId="0" fontId="16" fillId="0" borderId="1" xfId="0" applyFont="1" applyBorder="1" applyAlignment="1">
      <alignment horizontal="left" indent="1"/>
    </xf>
    <xf numFmtId="0" fontId="22" fillId="4" borderId="35" xfId="2" applyFont="1" applyBorder="1" applyAlignment="1">
      <alignment horizontal="left" indent="1"/>
    </xf>
    <xf numFmtId="0" fontId="16" fillId="0" borderId="29" xfId="0" applyFont="1" applyBorder="1"/>
    <xf numFmtId="0" fontId="16" fillId="0" borderId="19" xfId="0" applyFont="1" applyBorder="1"/>
    <xf numFmtId="0" fontId="16" fillId="0" borderId="30" xfId="0" applyFont="1" applyBorder="1"/>
    <xf numFmtId="0" fontId="16" fillId="0" borderId="0" xfId="0" applyFont="1" applyAlignment="1" applyProtection="1">
      <alignment horizontal="center"/>
      <protection locked="0"/>
    </xf>
    <xf numFmtId="0" fontId="19" fillId="7" borderId="0" xfId="0" applyFont="1" applyFill="1" applyAlignment="1" applyProtection="1">
      <alignment horizontal="center"/>
      <protection locked="0"/>
    </xf>
    <xf numFmtId="171" fontId="16" fillId="0" borderId="0" xfId="0" applyNumberFormat="1" applyFont="1" applyAlignment="1" applyProtection="1">
      <alignment horizontal="center"/>
      <protection locked="0"/>
    </xf>
    <xf numFmtId="0" fontId="22" fillId="4" borderId="8" xfId="2" applyFont="1" applyAlignment="1" applyProtection="1">
      <alignment horizontal="center"/>
      <protection locked="0"/>
    </xf>
    <xf numFmtId="11" fontId="16" fillId="0" borderId="0" xfId="0" applyNumberFormat="1" applyFont="1" applyAlignment="1">
      <alignment horizontal="center"/>
    </xf>
    <xf numFmtId="174" fontId="0" fillId="0" borderId="1" xfId="0" applyNumberFormat="1" applyBorder="1"/>
    <xf numFmtId="0" fontId="9" fillId="0" borderId="0" xfId="0" applyFont="1"/>
    <xf numFmtId="0" fontId="9" fillId="0" borderId="1" xfId="0" applyFont="1" applyBorder="1"/>
    <xf numFmtId="1" fontId="0" fillId="0" borderId="1" xfId="0" applyNumberFormat="1" applyBorder="1"/>
    <xf numFmtId="1" fontId="9" fillId="0" borderId="1" xfId="0" applyNumberFormat="1" applyFont="1" applyBorder="1"/>
    <xf numFmtId="0" fontId="0" fillId="0" borderId="1" xfId="0" applyBorder="1" applyAlignment="1">
      <alignment horizontal="center"/>
    </xf>
    <xf numFmtId="0" fontId="0" fillId="8" borderId="7" xfId="0" applyFill="1" applyBorder="1" applyAlignment="1">
      <alignment horizontal="left" indent="2" readingOrder="1"/>
    </xf>
    <xf numFmtId="0" fontId="0" fillId="8" borderId="0" xfId="0" applyFill="1" applyAlignment="1">
      <alignment horizontal="left" indent="2" readingOrder="1"/>
    </xf>
    <xf numFmtId="0" fontId="14" fillId="8" borderId="7" xfId="0" applyFont="1" applyFill="1" applyBorder="1" applyAlignment="1">
      <alignment horizontal="center"/>
    </xf>
    <xf numFmtId="0" fontId="14" fillId="8" borderId="0" xfId="0" applyFont="1" applyFill="1" applyAlignment="1">
      <alignment horizontal="center"/>
    </xf>
    <xf numFmtId="0" fontId="14" fillId="8" borderId="15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15" fillId="8" borderId="0" xfId="0" applyFont="1" applyFill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0" xfId="0" applyFill="1" applyAlignment="1">
      <alignment horizontal="left" indent="1"/>
    </xf>
    <xf numFmtId="0" fontId="16" fillId="8" borderId="0" xfId="0" applyFont="1" applyFill="1" applyAlignment="1">
      <alignment horizontal="left" indent="1"/>
    </xf>
    <xf numFmtId="0" fontId="15" fillId="8" borderId="15" xfId="0" applyFont="1" applyFill="1" applyBorder="1" applyAlignment="1">
      <alignment horizontal="center"/>
    </xf>
    <xf numFmtId="0" fontId="0" fillId="8" borderId="7" xfId="0" applyFill="1" applyBorder="1" applyAlignment="1">
      <alignment horizontal="left" indent="2"/>
    </xf>
    <xf numFmtId="0" fontId="0" fillId="8" borderId="0" xfId="0" applyFill="1" applyAlignment="1">
      <alignment horizontal="left" indent="2"/>
    </xf>
    <xf numFmtId="0" fontId="0" fillId="8" borderId="27" xfId="0" applyFill="1" applyBorder="1" applyAlignment="1">
      <alignment horizontal="left" indent="2"/>
    </xf>
    <xf numFmtId="0" fontId="0" fillId="8" borderId="16" xfId="0" applyFill="1" applyBorder="1" applyAlignment="1">
      <alignment horizontal="left" indent="2"/>
    </xf>
    <xf numFmtId="0" fontId="0" fillId="8" borderId="17" xfId="0" applyFill="1" applyBorder="1" applyAlignment="1">
      <alignment horizontal="left" indent="2"/>
    </xf>
    <xf numFmtId="0" fontId="0" fillId="8" borderId="28" xfId="0" applyFill="1" applyBorder="1" applyAlignment="1">
      <alignment horizontal="left" indent="2"/>
    </xf>
    <xf numFmtId="0" fontId="16" fillId="8" borderId="7" xfId="0" applyFont="1" applyFill="1" applyBorder="1" applyAlignment="1">
      <alignment horizontal="center"/>
    </xf>
    <xf numFmtId="0" fontId="16" fillId="8" borderId="0" xfId="0" applyFont="1" applyFill="1" applyAlignment="1">
      <alignment horizontal="center"/>
    </xf>
    <xf numFmtId="0" fontId="14" fillId="10" borderId="7" xfId="0" applyFont="1" applyFill="1" applyBorder="1" applyAlignment="1">
      <alignment horizontal="center"/>
    </xf>
    <xf numFmtId="0" fontId="14" fillId="10" borderId="0" xfId="0" applyFont="1" applyFill="1" applyAlignment="1">
      <alignment horizontal="center"/>
    </xf>
    <xf numFmtId="0" fontId="19" fillId="10" borderId="21" xfId="0" applyFont="1" applyFill="1" applyBorder="1" applyAlignment="1">
      <alignment horizontal="center"/>
    </xf>
    <xf numFmtId="0" fontId="19" fillId="10" borderId="22" xfId="0" applyFont="1" applyFill="1" applyBorder="1" applyAlignment="1">
      <alignment horizontal="center"/>
    </xf>
    <xf numFmtId="0" fontId="19" fillId="10" borderId="23" xfId="0" applyFont="1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10" borderId="32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9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9" fillId="0" borderId="1" xfId="0" applyFont="1" applyBorder="1" applyAlignment="1">
      <alignment horizontal="center"/>
    </xf>
  </cellXfs>
  <cellStyles count="5">
    <cellStyle name="Comma" xfId="1" builtinId="3"/>
    <cellStyle name="Input" xfId="2" builtinId="20"/>
    <cellStyle name="Normal" xfId="0" builtinId="0"/>
    <cellStyle name="Note" xfId="4" builtinId="10"/>
    <cellStyle name="Output" xfId="3" builtinId="21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Shear</a:t>
            </a:r>
          </a:p>
        </c:rich>
      </c:tx>
      <c:layout>
        <c:manualLayout>
          <c:xMode val="edge"/>
          <c:yMode val="edge"/>
          <c:x val="0.4072877478751652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534027350745385"/>
          <c:y val="0.26076464177621184"/>
          <c:w val="0.77208450469410117"/>
          <c:h val="0.5689181291502913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'Compined Footing'!$F$76</c:f>
              <c:strCache>
                <c:ptCount val="1"/>
                <c:pt idx="0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'Compined Footing'!$E$77:$E$83</c:f>
              <c:numCache>
                <c:formatCode>General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0.8</c:v>
                </c:pt>
                <c:pt idx="3">
                  <c:v>1.9000000000000001</c:v>
                </c:pt>
                <c:pt idx="4">
                  <c:v>3</c:v>
                </c:pt>
                <c:pt idx="5">
                  <c:v>3.3</c:v>
                </c:pt>
                <c:pt idx="6">
                  <c:v>3.8000000000000003</c:v>
                </c:pt>
              </c:numCache>
            </c:numRef>
          </c:xVal>
          <c:yVal>
            <c:numRef>
              <c:f>'Compined Footing'!$F$77:$F$83</c:f>
              <c:numCache>
                <c:formatCode>General</c:formatCode>
                <c:ptCount val="7"/>
                <c:pt idx="0">
                  <c:v>0</c:v>
                </c:pt>
                <c:pt idx="1">
                  <c:v>39.473684210526315</c:v>
                </c:pt>
                <c:pt idx="2">
                  <c:v>-86.84210526315789</c:v>
                </c:pt>
                <c:pt idx="3">
                  <c:v>0</c:v>
                </c:pt>
                <c:pt idx="4">
                  <c:v>86.84210526315789</c:v>
                </c:pt>
                <c:pt idx="5">
                  <c:v>-39.473684210526329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C-4DDC-8D28-190EFD392F41}"/>
            </c:ext>
          </c:extLst>
        </c:ser>
        <c:ser>
          <c:idx val="1"/>
          <c:order val="1"/>
          <c:tx>
            <c:strRef>
              <c:f>'Compined Footing'!$I$76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('Compined Footing'!$E$77,'Compined Footing'!$E$83)</c:f>
              <c:numCache>
                <c:formatCode>General</c:formatCode>
                <c:ptCount val="2"/>
                <c:pt idx="0">
                  <c:v>0</c:v>
                </c:pt>
                <c:pt idx="1">
                  <c:v>3.8000000000000003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B8C-4DDC-8D28-190EFD392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590144"/>
        <c:axId val="1372325472"/>
      </c:scatterChart>
      <c:valAx>
        <c:axId val="169359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325472"/>
        <c:crosses val="autoZero"/>
        <c:crossBetween val="midCat"/>
      </c:valAx>
      <c:valAx>
        <c:axId val="13723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59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</a:t>
            </a:r>
          </a:p>
        </c:rich>
      </c:tx>
      <c:layout>
        <c:manualLayout>
          <c:xMode val="edge"/>
          <c:yMode val="edge"/>
          <c:x val="0.4072877478751652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97041874499637"/>
          <c:y val="0.26972870646429059"/>
          <c:w val="0.71682061283312881"/>
          <c:h val="0.568918129150291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'Compined Footing'!$F$76</c:f>
              <c:strCache>
                <c:ptCount val="1"/>
                <c:pt idx="0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'Compined Footing'!$E$77:$E$83</c:f>
              <c:numCache>
                <c:formatCode>General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0.8</c:v>
                </c:pt>
                <c:pt idx="3">
                  <c:v>1.9000000000000001</c:v>
                </c:pt>
                <c:pt idx="4">
                  <c:v>3</c:v>
                </c:pt>
                <c:pt idx="5">
                  <c:v>3.3</c:v>
                </c:pt>
                <c:pt idx="6">
                  <c:v>3.8000000000000003</c:v>
                </c:pt>
              </c:numCache>
            </c:numRef>
          </c:xVal>
          <c:yVal>
            <c:numRef>
              <c:f>'Compined Footing'!$G$77:$G$83</c:f>
              <c:numCache>
                <c:formatCode>0.000</c:formatCode>
                <c:ptCount val="7"/>
                <c:pt idx="0">
                  <c:v>0</c:v>
                </c:pt>
                <c:pt idx="1">
                  <c:v>-9.8684210526315788</c:v>
                </c:pt>
                <c:pt idx="2">
                  <c:v>-2.7631578947368416</c:v>
                </c:pt>
                <c:pt idx="3">
                  <c:v>45</c:v>
                </c:pt>
                <c:pt idx="4">
                  <c:v>-2.7631578947368354</c:v>
                </c:pt>
                <c:pt idx="5">
                  <c:v>-9.8684210526315645</c:v>
                </c:pt>
                <c:pt idx="6">
                  <c:v>2.6645352591003757E-14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AE-48CF-B81D-CF4B22AEC9F9}"/>
            </c:ext>
          </c:extLst>
        </c:ser>
        <c:ser>
          <c:idx val="1"/>
          <c:order val="1"/>
          <c:tx>
            <c:strRef>
              <c:f>'Compined Footing'!$I$76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('Compined Footing'!$E$77,'Compined Footing'!$E$83)</c:f>
              <c:numCache>
                <c:formatCode>General</c:formatCode>
                <c:ptCount val="2"/>
                <c:pt idx="0">
                  <c:v>0</c:v>
                </c:pt>
                <c:pt idx="1">
                  <c:v>3.8000000000000003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AAE-48CF-B81D-CF4B22AEC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590144"/>
        <c:axId val="1372325472"/>
      </c:scatterChart>
      <c:valAx>
        <c:axId val="169359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325472"/>
        <c:crosses val="autoZero"/>
        <c:crossBetween val="midCat"/>
      </c:valAx>
      <c:valAx>
        <c:axId val="13723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59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541314239929502E-2"/>
          <c:y val="4.2528481470265722E-2"/>
          <c:w val="0.88648535135132156"/>
          <c:h val="0.90612241104316094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'PILE (STATIC ANALYSIS)'!$C$60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'PILE (STATIC ANALYSIS)'!$B$60:$B$67</c:f>
              <c:numCache>
                <c:formatCode>0</c:formatCode>
                <c:ptCount val="8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</c:numCache>
            </c:numRef>
          </c:xVal>
          <c:yVal>
            <c:numRef>
              <c:f>'PILE (STATIC ANALYSIS)'!$N$60:$N$67</c:f>
              <c:numCache>
                <c:formatCode>0</c:formatCode>
                <c:ptCount val="8"/>
                <c:pt idx="0">
                  <c:v>56.52000000000001</c:v>
                </c:pt>
                <c:pt idx="1">
                  <c:v>1905.9800000000002</c:v>
                </c:pt>
                <c:pt idx="2">
                  <c:v>4352.0400000000009</c:v>
                </c:pt>
                <c:pt idx="3">
                  <c:v>7394.7000000000007</c:v>
                </c:pt>
                <c:pt idx="4">
                  <c:v>9499.0275200000015</c:v>
                </c:pt>
                <c:pt idx="5">
                  <c:v>11551.331520000003</c:v>
                </c:pt>
                <c:pt idx="6">
                  <c:v>13603.635520000003</c:v>
                </c:pt>
                <c:pt idx="7">
                  <c:v>15655.93952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C-4D31-BFC6-3F8FC5237E0D}"/>
            </c:ext>
          </c:extLst>
        </c:ser>
        <c:ser>
          <c:idx val="1"/>
          <c:order val="1"/>
          <c:tx>
            <c:strRef>
              <c:f>'PILE (STATIC ANALYSIS)'!$C$69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'PILE (STATIC ANALYSIS)'!$B$69:$B$76</c:f>
              <c:numCache>
                <c:formatCode>0</c:formatCode>
                <c:ptCount val="8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</c:numCache>
            </c:numRef>
          </c:xVal>
          <c:yVal>
            <c:numRef>
              <c:f>'PILE (STATIC ANALYSIS)'!$N$69:$N$76</c:f>
              <c:numCache>
                <c:formatCode>0</c:formatCode>
                <c:ptCount val="8"/>
                <c:pt idx="0">
                  <c:v>71.533124999999998</c:v>
                </c:pt>
                <c:pt idx="1">
                  <c:v>2336.7487500000002</c:v>
                </c:pt>
                <c:pt idx="2">
                  <c:v>5273.1393750000007</c:v>
                </c:pt>
                <c:pt idx="3">
                  <c:v>8880.7050000000017</c:v>
                </c:pt>
                <c:pt idx="4">
                  <c:v>12083.082277500002</c:v>
                </c:pt>
                <c:pt idx="5">
                  <c:v>14646.970777500002</c:v>
                </c:pt>
                <c:pt idx="6">
                  <c:v>17210.859277500003</c:v>
                </c:pt>
                <c:pt idx="7">
                  <c:v>19774.747777500001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C-4D31-BFC6-3F8FC5237E0D}"/>
            </c:ext>
          </c:extLst>
        </c:ser>
        <c:ser>
          <c:idx val="2"/>
          <c:order val="2"/>
          <c:tx>
            <c:strRef>
              <c:f>'PILE (STATIC ANALYSIS)'!$C$78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'PILE (STATIC ANALYSIS)'!$B$78:$B$85</c:f>
              <c:numCache>
                <c:formatCode>0</c:formatCode>
                <c:ptCount val="8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</c:numCache>
            </c:numRef>
          </c:xVal>
          <c:yVal>
            <c:numRef>
              <c:f>'PILE (STATIC ANALYSIS)'!$N$78:$N$85</c:f>
              <c:numCache>
                <c:formatCode>0</c:formatCode>
                <c:ptCount val="8"/>
                <c:pt idx="0">
                  <c:v>88.3125</c:v>
                </c:pt>
                <c:pt idx="1">
                  <c:v>2810.3</c:v>
                </c:pt>
                <c:pt idx="2">
                  <c:v>6278.0375000000004</c:v>
                </c:pt>
                <c:pt idx="3">
                  <c:v>10491.525000000001</c:v>
                </c:pt>
                <c:pt idx="4">
                  <c:v>15025.685000000001</c:v>
                </c:pt>
                <c:pt idx="5">
                  <c:v>18157.835000000003</c:v>
                </c:pt>
                <c:pt idx="6">
                  <c:v>21289.985000000001</c:v>
                </c:pt>
                <c:pt idx="7">
                  <c:v>24422.135000000002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0C-4D31-BFC6-3F8FC5237E0D}"/>
            </c:ext>
          </c:extLst>
        </c:ser>
        <c:ser>
          <c:idx val="3"/>
          <c:order val="3"/>
          <c:tx>
            <c:strRef>
              <c:f>'PILE (STATIC ANALYSIS)'!$C$87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'PILE (STATIC ANALYSIS)'!$B$87:$B$94</c:f>
              <c:numCache>
                <c:formatCode>0</c:formatCode>
                <c:ptCount val="8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</c:numCache>
            </c:numRef>
          </c:xVal>
          <c:yVal>
            <c:numRef>
              <c:f>'PILE (STATIC ANALYSIS)'!$N$87:$N$94</c:f>
              <c:numCache>
                <c:formatCode>0</c:formatCode>
                <c:ptCount val="8"/>
                <c:pt idx="0">
                  <c:v>106.85812500000002</c:v>
                </c:pt>
                <c:pt idx="1">
                  <c:v>3326.6337500000004</c:v>
                </c:pt>
                <c:pt idx="2">
                  <c:v>7366.7343750000018</c:v>
                </c:pt>
                <c:pt idx="3">
                  <c:v>12227.160000000003</c:v>
                </c:pt>
                <c:pt idx="4">
                  <c:v>17907.910625000004</c:v>
                </c:pt>
                <c:pt idx="5">
                  <c:v>22098.376822500002</c:v>
                </c:pt>
                <c:pt idx="6">
                  <c:v>25855.465322500007</c:v>
                </c:pt>
                <c:pt idx="7">
                  <c:v>29612.553822500005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0C-4D31-BFC6-3F8FC5237E0D}"/>
            </c:ext>
          </c:extLst>
        </c:ser>
        <c:ser>
          <c:idx val="4"/>
          <c:order val="4"/>
          <c:tx>
            <c:strRef>
              <c:f>'PILE (STATIC ANALYSIS)'!$C$96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'PILE (STATIC ANALYSIS)'!$B$96:$B$103</c:f>
              <c:numCache>
                <c:formatCode>0</c:formatCode>
                <c:ptCount val="8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</c:numCache>
            </c:numRef>
          </c:xVal>
          <c:yVal>
            <c:numRef>
              <c:f>'PILE (STATIC ANALYSIS)'!$N$96:$N$103</c:f>
              <c:numCache>
                <c:formatCode>0</c:formatCode>
                <c:ptCount val="8"/>
                <c:pt idx="0">
                  <c:v>127.16999999999999</c:v>
                </c:pt>
                <c:pt idx="1">
                  <c:v>3885.7499999999995</c:v>
                </c:pt>
                <c:pt idx="2">
                  <c:v>8539.23</c:v>
                </c:pt>
                <c:pt idx="3">
                  <c:v>14087.609999999997</c:v>
                </c:pt>
                <c:pt idx="4">
                  <c:v>20530.89</c:v>
                </c:pt>
                <c:pt idx="5">
                  <c:v>26483.048879999995</c:v>
                </c:pt>
                <c:pt idx="6">
                  <c:v>30921.75288</c:v>
                </c:pt>
                <c:pt idx="7">
                  <c:v>35360.456879999998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0C-4D31-BFC6-3F8FC5237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57743"/>
        <c:axId val="87618927"/>
      </c:scatterChart>
      <c:valAx>
        <c:axId val="89657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18927"/>
        <c:crosses val="autoZero"/>
        <c:crossBetween val="midCat"/>
      </c:valAx>
      <c:valAx>
        <c:axId val="8761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57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8" orientation="landscape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71717</xdr:colOff>
      <xdr:row>6</xdr:row>
      <xdr:rowOff>134472</xdr:rowOff>
    </xdr:from>
    <xdr:to>
      <xdr:col>9</xdr:col>
      <xdr:colOff>502023</xdr:colOff>
      <xdr:row>25</xdr:row>
      <xdr:rowOff>170330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9317" y="1210237"/>
          <a:ext cx="2259106" cy="3442446"/>
        </a:xfrm>
        <a:prstGeom prst="rect">
          <a:avLst/>
        </a:prstGeom>
      </xdr:spPr>
    </xdr:pic>
    <xdr:clientData/>
  </xdr:twoCellAnchor>
  <xdr:twoCellAnchor editAs="oneCell">
    <xdr:from>
      <xdr:col>3</xdr:col>
      <xdr:colOff>35858</xdr:colOff>
      <xdr:row>96</xdr:row>
      <xdr:rowOff>71719</xdr:rowOff>
    </xdr:from>
    <xdr:to>
      <xdr:col>9</xdr:col>
      <xdr:colOff>376518</xdr:colOff>
      <xdr:row>104</xdr:row>
      <xdr:rowOff>44824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074" t="5419" r="551" b="50503"/>
        <a:stretch/>
      </xdr:blipFill>
      <xdr:spPr>
        <a:xfrm>
          <a:off x="1864658" y="17283954"/>
          <a:ext cx="3998260" cy="1407458"/>
        </a:xfrm>
        <a:prstGeom prst="rect">
          <a:avLst/>
        </a:prstGeom>
      </xdr:spPr>
    </xdr:pic>
    <xdr:clientData/>
  </xdr:twoCellAnchor>
  <xdr:twoCellAnchor>
    <xdr:from>
      <xdr:col>1</xdr:col>
      <xdr:colOff>161365</xdr:colOff>
      <xdr:row>59</xdr:row>
      <xdr:rowOff>121368</xdr:rowOff>
    </xdr:from>
    <xdr:to>
      <xdr:col>5</xdr:col>
      <xdr:colOff>206188</xdr:colOff>
      <xdr:row>67</xdr:row>
      <xdr:rowOff>103783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305491</xdr:colOff>
      <xdr:row>59</xdr:row>
      <xdr:rowOff>120335</xdr:rowOff>
    </xdr:from>
    <xdr:to>
      <xdr:col>9</xdr:col>
      <xdr:colOff>376518</xdr:colOff>
      <xdr:row>67</xdr:row>
      <xdr:rowOff>102750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367553</xdr:colOff>
      <xdr:row>162</xdr:row>
      <xdr:rowOff>71718</xdr:rowOff>
    </xdr:from>
    <xdr:to>
      <xdr:col>9</xdr:col>
      <xdr:colOff>98613</xdr:colOff>
      <xdr:row>184</xdr:row>
      <xdr:rowOff>26894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867" t="5419" r="8000" b="12204"/>
        <a:stretch/>
      </xdr:blipFill>
      <xdr:spPr>
        <a:xfrm>
          <a:off x="726141" y="29117365"/>
          <a:ext cx="4607860" cy="38996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4</xdr:row>
          <xdr:rowOff>137160</xdr:rowOff>
        </xdr:from>
        <xdr:to>
          <xdr:col>8</xdr:col>
          <xdr:colOff>22860</xdr:colOff>
          <xdr:row>5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288589</xdr:colOff>
      <xdr:row>33</xdr:row>
      <xdr:rowOff>55219</xdr:rowOff>
    </xdr:from>
    <xdr:to>
      <xdr:col>13</xdr:col>
      <xdr:colOff>188325</xdr:colOff>
      <xdr:row>57</xdr:row>
      <xdr:rowOff>33131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ngineering\Spreed%20sheets\Book1.xlsm" TargetMode="External"/><Relationship Id="rId1" Type="http://schemas.openxmlformats.org/officeDocument/2006/relationships/externalLinkPath" Target="Book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eotechnical Design"/>
      <sheetName val="Consolidation Analysis"/>
      <sheetName val="Approximate Stress"/>
      <sheetName val="Stress under uniform shapes"/>
      <sheetName val="Stress under nonuniform shapes"/>
      <sheetName val="Geostatic Loads"/>
      <sheetName val="Sheet1"/>
    </sheetNames>
    <sheetDataSet>
      <sheetData sheetId="0"/>
      <sheetData sheetId="1"/>
      <sheetData sheetId="2">
        <row r="8">
          <cell r="E8">
            <v>-1</v>
          </cell>
          <cell r="G8">
            <v>0.64644660940672627</v>
          </cell>
          <cell r="N8">
            <v>0.99676669326000267</v>
          </cell>
          <cell r="S8">
            <v>-1</v>
          </cell>
          <cell r="U8">
            <v>0.24992581187572188</v>
          </cell>
        </row>
        <row r="9">
          <cell r="E9">
            <v>-2</v>
          </cell>
          <cell r="G9">
            <v>0.28445824720006729</v>
          </cell>
          <cell r="N9">
            <v>0.98044117928787278</v>
          </cell>
          <cell r="S9">
            <v>-2</v>
          </cell>
          <cell r="U9">
            <v>0.24919167331500067</v>
          </cell>
        </row>
        <row r="10">
          <cell r="E10">
            <v>-3</v>
          </cell>
          <cell r="G10">
            <v>0.14618503175453768</v>
          </cell>
          <cell r="N10">
            <v>0.94368936418348892</v>
          </cell>
          <cell r="S10">
            <v>-3</v>
          </cell>
          <cell r="U10">
            <v>0.24689875420148746</v>
          </cell>
        </row>
        <row r="11">
          <cell r="E11">
            <v>-4</v>
          </cell>
          <cell r="G11">
            <v>8.6924705745569875E-2</v>
          </cell>
          <cell r="N11">
            <v>0.89281506885192707</v>
          </cell>
          <cell r="S11">
            <v>-4</v>
          </cell>
          <cell r="U11">
            <v>0.24234852581911601</v>
          </cell>
        </row>
        <row r="12">
          <cell r="E12">
            <v>-5</v>
          </cell>
          <cell r="G12">
            <v>5.7133965681807619E-2</v>
          </cell>
          <cell r="N12">
            <v>0.83506151115338823</v>
          </cell>
          <cell r="S12">
            <v>-5</v>
          </cell>
          <cell r="U12">
            <v>0.23528525294436753</v>
          </cell>
        </row>
        <row r="13">
          <cell r="E13">
            <v>-6</v>
          </cell>
          <cell r="G13">
            <v>4.0265371406562833E-2</v>
          </cell>
          <cell r="N13">
            <v>0.77588987129043829</v>
          </cell>
          <cell r="S13">
            <v>-6</v>
          </cell>
          <cell r="U13">
            <v>0.22590072756433158</v>
          </cell>
        </row>
        <row r="14">
          <cell r="E14">
            <v>-7</v>
          </cell>
          <cell r="G14">
            <v>2.9849496212056792E-2</v>
          </cell>
          <cell r="N14">
            <v>0.71860676266302237</v>
          </cell>
          <cell r="S14">
            <v>-7</v>
          </cell>
          <cell r="U14">
            <v>0.2146916618566676</v>
          </cell>
        </row>
        <row r="15">
          <cell r="E15">
            <v>-8</v>
          </cell>
          <cell r="G15">
            <v>2.2987936774235052E-2</v>
          </cell>
          <cell r="N15">
            <v>0.66492083397834567</v>
          </cell>
          <cell r="S15">
            <v>-8</v>
          </cell>
          <cell r="U15">
            <v>0.20228097183773064</v>
          </cell>
        </row>
        <row r="16">
          <cell r="E16">
            <v>-9</v>
          </cell>
          <cell r="G16">
            <v>1.8236798676059429E-2</v>
          </cell>
          <cell r="N16">
            <v>0.61553869646132031</v>
          </cell>
          <cell r="S16">
            <v>-9</v>
          </cell>
          <cell r="U16">
            <v>0.18927614282344418</v>
          </cell>
        </row>
        <row r="17">
          <cell r="E17">
            <v>-10</v>
          </cell>
          <cell r="G17">
            <v>1.48146631584265E-2</v>
          </cell>
          <cell r="N17">
            <v>0.57059443251752351</v>
          </cell>
          <cell r="S17">
            <v>-10</v>
          </cell>
          <cell r="U17">
            <v>0.17618795866065437</v>
          </cell>
        </row>
        <row r="18">
          <cell r="E18">
            <v>-11</v>
          </cell>
          <cell r="G18">
            <v>1.2269852601703435E-2</v>
          </cell>
          <cell r="N18">
            <v>0.52991993875245091</v>
          </cell>
          <cell r="S18">
            <v>-11</v>
          </cell>
          <cell r="U18">
            <v>0.16340120304985242</v>
          </cell>
        </row>
        <row r="19">
          <cell r="E19">
            <v>-12</v>
          </cell>
          <cell r="G19">
            <v>1.0326971122326278E-2</v>
          </cell>
          <cell r="N19">
            <v>0.49320397469621113</v>
          </cell>
          <cell r="S19">
            <v>-12</v>
          </cell>
          <cell r="U19">
            <v>0.15117839562625479</v>
          </cell>
        </row>
        <row r="20">
          <cell r="E20">
            <v>-13</v>
          </cell>
          <cell r="G20">
            <v>8.8105408837219068E-3</v>
          </cell>
          <cell r="N20">
            <v>0.46008156864109118</v>
          </cell>
          <cell r="S20">
            <v>-13</v>
          </cell>
          <cell r="U20">
            <v>0.13967940487245817</v>
          </cell>
        </row>
        <row r="21">
          <cell r="E21">
            <v>-14</v>
          </cell>
          <cell r="G21">
            <v>7.6045423003854307E-3</v>
          </cell>
          <cell r="N21">
            <v>0.43018208470343022</v>
          </cell>
          <cell r="S21">
            <v>-14</v>
          </cell>
          <cell r="U21">
            <v>0.12898553565452942</v>
          </cell>
        </row>
        <row r="22">
          <cell r="E22">
            <v>-15</v>
          </cell>
          <cell r="G22">
            <v>6.6298207179777968E-3</v>
          </cell>
          <cell r="N22">
            <v>0.40315350050145937</v>
          </cell>
          <cell r="S22">
            <v>-15</v>
          </cell>
          <cell r="U22">
            <v>0.11912203752564846</v>
          </cell>
        </row>
        <row r="23">
          <cell r="E23">
            <v>-16</v>
          </cell>
          <cell r="G23">
            <v>5.830894585138191E-3</v>
          </cell>
          <cell r="N23">
            <v>0.37867332247605301</v>
          </cell>
          <cell r="S23">
            <v>-16</v>
          </cell>
          <cell r="U23">
            <v>0.11007659946383938</v>
          </cell>
        </row>
      </sheetData>
      <sheetData sheetId="3"/>
      <sheetData sheetId="4">
        <row r="10">
          <cell r="C10">
            <v>0</v>
          </cell>
          <cell r="D10">
            <v>0</v>
          </cell>
        </row>
        <row r="11">
          <cell r="C11">
            <v>1</v>
          </cell>
          <cell r="D11">
            <v>0</v>
          </cell>
        </row>
        <row r="12">
          <cell r="C12">
            <v>2</v>
          </cell>
          <cell r="D12">
            <v>0</v>
          </cell>
        </row>
        <row r="13">
          <cell r="C13">
            <v>3</v>
          </cell>
          <cell r="D13">
            <v>0</v>
          </cell>
        </row>
        <row r="14">
          <cell r="C14">
            <v>4</v>
          </cell>
          <cell r="D14">
            <v>0</v>
          </cell>
        </row>
        <row r="15">
          <cell r="C15">
            <v>5</v>
          </cell>
          <cell r="D15">
            <v>0</v>
          </cell>
        </row>
        <row r="16">
          <cell r="C16">
            <v>6</v>
          </cell>
          <cell r="D16">
            <v>0</v>
          </cell>
        </row>
        <row r="17">
          <cell r="C17">
            <v>7</v>
          </cell>
          <cell r="D17">
            <v>0</v>
          </cell>
        </row>
        <row r="18">
          <cell r="C18">
            <v>8</v>
          </cell>
          <cell r="D18">
            <v>0</v>
          </cell>
        </row>
        <row r="19">
          <cell r="C19">
            <v>9</v>
          </cell>
          <cell r="D19">
            <v>0</v>
          </cell>
        </row>
        <row r="20">
          <cell r="C20">
            <v>10</v>
          </cell>
          <cell r="D20">
            <v>0</v>
          </cell>
        </row>
        <row r="21">
          <cell r="C21">
            <v>10</v>
          </cell>
          <cell r="D21">
            <v>1</v>
          </cell>
        </row>
        <row r="22">
          <cell r="C22">
            <v>10</v>
          </cell>
          <cell r="D22">
            <v>2</v>
          </cell>
        </row>
        <row r="23">
          <cell r="C23">
            <v>10</v>
          </cell>
          <cell r="D23">
            <v>3</v>
          </cell>
        </row>
        <row r="24">
          <cell r="C24">
            <v>10</v>
          </cell>
          <cell r="D24">
            <v>4</v>
          </cell>
        </row>
        <row r="25">
          <cell r="C25">
            <v>10</v>
          </cell>
          <cell r="D25">
            <v>5</v>
          </cell>
        </row>
        <row r="26">
          <cell r="C26">
            <v>10</v>
          </cell>
          <cell r="D26">
            <v>6</v>
          </cell>
        </row>
        <row r="27">
          <cell r="C27">
            <v>10</v>
          </cell>
          <cell r="D27">
            <v>7</v>
          </cell>
        </row>
        <row r="28">
          <cell r="C28">
            <v>10</v>
          </cell>
          <cell r="D28">
            <v>8</v>
          </cell>
        </row>
        <row r="29">
          <cell r="C29">
            <v>10</v>
          </cell>
          <cell r="D29">
            <v>9</v>
          </cell>
        </row>
        <row r="30">
          <cell r="C30">
            <v>10</v>
          </cell>
          <cell r="D30">
            <v>10</v>
          </cell>
        </row>
        <row r="31">
          <cell r="C31">
            <v>9</v>
          </cell>
          <cell r="D31">
            <v>10</v>
          </cell>
        </row>
        <row r="32">
          <cell r="C32">
            <v>8</v>
          </cell>
          <cell r="D32">
            <v>10</v>
          </cell>
        </row>
        <row r="33">
          <cell r="C33">
            <v>7</v>
          </cell>
          <cell r="D33">
            <v>10</v>
          </cell>
        </row>
        <row r="34">
          <cell r="C34">
            <v>6</v>
          </cell>
          <cell r="D34">
            <v>10</v>
          </cell>
        </row>
        <row r="35">
          <cell r="C35">
            <v>5</v>
          </cell>
          <cell r="D35">
            <v>10</v>
          </cell>
        </row>
        <row r="36">
          <cell r="C36">
            <v>4</v>
          </cell>
          <cell r="D36">
            <v>10</v>
          </cell>
        </row>
        <row r="37">
          <cell r="C37">
            <v>3</v>
          </cell>
          <cell r="D37">
            <v>10</v>
          </cell>
        </row>
        <row r="38">
          <cell r="C38">
            <v>2</v>
          </cell>
          <cell r="D38">
            <v>10</v>
          </cell>
        </row>
        <row r="39">
          <cell r="C39">
            <v>1</v>
          </cell>
          <cell r="D39">
            <v>10</v>
          </cell>
        </row>
        <row r="40">
          <cell r="C40">
            <v>0</v>
          </cell>
          <cell r="D40">
            <v>10</v>
          </cell>
        </row>
        <row r="41">
          <cell r="C41">
            <v>0</v>
          </cell>
          <cell r="D41">
            <v>9</v>
          </cell>
        </row>
        <row r="42">
          <cell r="C42">
            <v>0</v>
          </cell>
          <cell r="D42">
            <v>8</v>
          </cell>
        </row>
        <row r="43">
          <cell r="C43">
            <v>0</v>
          </cell>
          <cell r="D43">
            <v>7</v>
          </cell>
        </row>
        <row r="44">
          <cell r="C44">
            <v>0</v>
          </cell>
          <cell r="D44">
            <v>6</v>
          </cell>
        </row>
        <row r="45">
          <cell r="C45">
            <v>0</v>
          </cell>
          <cell r="D45">
            <v>5</v>
          </cell>
        </row>
        <row r="46">
          <cell r="C46">
            <v>0</v>
          </cell>
          <cell r="D46">
            <v>4</v>
          </cell>
        </row>
        <row r="47">
          <cell r="C47">
            <v>0</v>
          </cell>
          <cell r="D47">
            <v>3</v>
          </cell>
        </row>
        <row r="48">
          <cell r="C48">
            <v>0</v>
          </cell>
          <cell r="D48">
            <v>2</v>
          </cell>
        </row>
        <row r="49">
          <cell r="C49">
            <v>0</v>
          </cell>
          <cell r="D49">
            <v>1</v>
          </cell>
        </row>
        <row r="50">
          <cell r="C50">
            <v>0</v>
          </cell>
          <cell r="D50">
            <v>0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2FDD8-E1E3-4187-8327-922FBDBE5AF8}">
  <sheetPr codeName="Sheet1"/>
  <dimension ref="E5:L67"/>
  <sheetViews>
    <sheetView topLeftCell="E48" zoomScale="112" workbookViewId="0">
      <selection activeCell="F66" sqref="F66"/>
    </sheetView>
  </sheetViews>
  <sheetFormatPr defaultRowHeight="14.4"/>
  <cols>
    <col min="5" max="5" width="27.33203125" bestFit="1" customWidth="1"/>
    <col min="6" max="6" width="25.109375" bestFit="1" customWidth="1"/>
    <col min="7" max="7" width="16.88671875" bestFit="1" customWidth="1"/>
    <col min="8" max="8" width="24" bestFit="1" customWidth="1"/>
    <col min="9" max="9" width="16.88671875" bestFit="1" customWidth="1"/>
    <col min="10" max="10" width="25.109375" bestFit="1" customWidth="1"/>
    <col min="11" max="11" width="17.88671875" bestFit="1" customWidth="1"/>
    <col min="12" max="12" width="24" bestFit="1" customWidth="1"/>
  </cols>
  <sheetData>
    <row r="5" spans="5:12">
      <c r="E5" s="1"/>
      <c r="F5" s="2"/>
      <c r="G5" s="2"/>
      <c r="H5" s="2"/>
      <c r="I5" s="2"/>
      <c r="J5" s="2"/>
      <c r="K5" s="2"/>
      <c r="L5" s="2"/>
    </row>
    <row r="6" spans="5:12" ht="21">
      <c r="E6" s="4"/>
      <c r="F6" s="5"/>
      <c r="I6" s="5"/>
      <c r="J6" s="5"/>
      <c r="K6" s="5"/>
      <c r="L6" s="5"/>
    </row>
    <row r="7" spans="5:12" ht="21">
      <c r="E7" s="4"/>
      <c r="F7" s="5"/>
      <c r="I7" s="5"/>
      <c r="J7" s="5"/>
      <c r="K7" s="5"/>
      <c r="L7" s="5"/>
    </row>
    <row r="8" spans="5:12" ht="21">
      <c r="E8" s="4"/>
      <c r="F8" s="5"/>
      <c r="I8" s="5"/>
      <c r="J8" s="5"/>
      <c r="K8" s="5"/>
      <c r="L8" s="5"/>
    </row>
    <row r="9" spans="5:12" ht="21">
      <c r="E9" s="4"/>
      <c r="F9" s="5"/>
      <c r="I9" s="5"/>
      <c r="J9" s="5"/>
      <c r="K9" s="5"/>
      <c r="L9" s="5"/>
    </row>
    <row r="10" spans="5:12" ht="21">
      <c r="E10" s="4"/>
      <c r="F10" s="5"/>
      <c r="I10" s="5"/>
      <c r="J10" s="5"/>
      <c r="K10" s="5"/>
      <c r="L10" s="5"/>
    </row>
    <row r="11" spans="5:12" ht="21">
      <c r="E11" s="7"/>
      <c r="F11" s="6"/>
      <c r="I11" s="5"/>
      <c r="J11" s="5"/>
      <c r="K11" s="5"/>
      <c r="L11" s="5"/>
    </row>
    <row r="12" spans="5:12" ht="21">
      <c r="E12" s="7"/>
      <c r="F12" s="6"/>
      <c r="I12" s="5"/>
      <c r="J12" s="5"/>
      <c r="K12" s="5"/>
      <c r="L12" s="5"/>
    </row>
    <row r="13" spans="5:12" ht="21">
      <c r="E13" s="7"/>
      <c r="F13" s="6"/>
      <c r="I13" s="5"/>
      <c r="J13" s="5"/>
      <c r="K13" s="5"/>
      <c r="L13" s="5"/>
    </row>
    <row r="14" spans="5:12" ht="21">
      <c r="E14" s="7"/>
      <c r="F14" s="6"/>
      <c r="I14" s="5"/>
      <c r="J14" s="5"/>
      <c r="K14" s="5"/>
      <c r="L14" s="5"/>
    </row>
    <row r="15" spans="5:12" ht="21">
      <c r="E15" s="7"/>
      <c r="F15" s="6"/>
      <c r="I15" s="5"/>
      <c r="J15" s="5"/>
      <c r="K15" s="5"/>
      <c r="L15" s="5"/>
    </row>
    <row r="16" spans="5:12" ht="21">
      <c r="E16" s="7"/>
      <c r="F16" s="6"/>
      <c r="I16" s="5"/>
      <c r="J16" s="5"/>
      <c r="K16" s="5"/>
      <c r="L16" s="5"/>
    </row>
    <row r="17" spans="5:12" ht="21">
      <c r="E17" s="7"/>
      <c r="F17" s="6"/>
      <c r="I17" s="5"/>
      <c r="J17" s="5"/>
      <c r="K17" s="5"/>
      <c r="L17" s="5"/>
    </row>
    <row r="18" spans="5:12" ht="21">
      <c r="E18" s="7"/>
      <c r="F18" s="6"/>
    </row>
    <row r="19" spans="5:12" ht="21">
      <c r="E19" s="7"/>
      <c r="F19" s="6"/>
    </row>
    <row r="20" spans="5:12" ht="21">
      <c r="E20" s="7"/>
      <c r="F20" s="6"/>
    </row>
    <row r="21" spans="5:12" ht="21">
      <c r="E21" s="7"/>
      <c r="F21" s="6"/>
    </row>
    <row r="22" spans="5:12" ht="21">
      <c r="E22" s="7"/>
      <c r="F22" s="6"/>
    </row>
    <row r="23" spans="5:12" ht="21">
      <c r="E23" s="8"/>
      <c r="F23" s="6"/>
    </row>
    <row r="24" spans="5:12" ht="21">
      <c r="E24" s="8"/>
      <c r="F24" s="6"/>
    </row>
    <row r="25" spans="5:12" ht="21">
      <c r="E25" s="8"/>
      <c r="F25" s="6"/>
    </row>
    <row r="26" spans="5:12" ht="21">
      <c r="E26" s="8"/>
      <c r="F26" s="6"/>
    </row>
    <row r="27" spans="5:12" ht="21">
      <c r="E27" s="8"/>
      <c r="F27" s="6"/>
    </row>
    <row r="28" spans="5:12" ht="21">
      <c r="E28" s="8"/>
      <c r="F28" s="6"/>
    </row>
    <row r="29" spans="5:12" ht="21">
      <c r="E29" s="8"/>
      <c r="F29" s="6"/>
    </row>
    <row r="30" spans="5:12" ht="21">
      <c r="E30" s="8"/>
      <c r="F30" s="6"/>
    </row>
    <row r="31" spans="5:12">
      <c r="E31" s="11"/>
      <c r="F31" s="10"/>
      <c r="G31" s="2"/>
    </row>
    <row r="32" spans="5:12">
      <c r="E32" s="10"/>
      <c r="F32" s="10"/>
    </row>
    <row r="33" spans="5:8">
      <c r="E33" s="10"/>
      <c r="F33" s="10"/>
    </row>
    <row r="34" spans="5:8">
      <c r="E34" s="10"/>
      <c r="F34" s="10"/>
    </row>
    <row r="35" spans="5:8">
      <c r="E35" s="10"/>
      <c r="F35" s="10"/>
    </row>
    <row r="36" spans="5:8">
      <c r="E36" s="10"/>
      <c r="F36" s="10"/>
      <c r="G36" s="9"/>
      <c r="H36" s="3"/>
    </row>
    <row r="37" spans="5:8">
      <c r="E37" s="10"/>
      <c r="F37" s="10"/>
    </row>
    <row r="38" spans="5:8">
      <c r="E38" s="10"/>
      <c r="F38" s="10"/>
    </row>
    <row r="39" spans="5:8">
      <c r="E39" s="10"/>
      <c r="F39" s="10"/>
    </row>
    <row r="40" spans="5:8">
      <c r="E40" s="10"/>
      <c r="F40" s="10"/>
    </row>
    <row r="41" spans="5:8">
      <c r="E41" s="10"/>
      <c r="F41" s="10"/>
    </row>
    <row r="42" spans="5:8">
      <c r="E42" s="10"/>
      <c r="F42" s="10"/>
    </row>
    <row r="43" spans="5:8">
      <c r="E43" s="10"/>
      <c r="F43" s="10"/>
    </row>
    <row r="44" spans="5:8">
      <c r="E44" s="10"/>
      <c r="F44" s="10"/>
    </row>
    <row r="45" spans="5:8">
      <c r="E45" s="10"/>
      <c r="F45" s="10"/>
    </row>
    <row r="46" spans="5:8">
      <c r="E46" s="10"/>
      <c r="F46" s="10"/>
    </row>
    <row r="47" spans="5:8">
      <c r="E47" s="10"/>
      <c r="F47" s="10"/>
    </row>
    <row r="48" spans="5:8">
      <c r="E48" s="10"/>
      <c r="F48" s="10"/>
    </row>
    <row r="49" spans="5:6">
      <c r="E49" s="10"/>
      <c r="F49" s="10"/>
    </row>
    <row r="50" spans="5:6">
      <c r="E50" s="10"/>
      <c r="F50" s="10"/>
    </row>
    <row r="51" spans="5:6">
      <c r="E51" s="10"/>
      <c r="F51" s="10"/>
    </row>
    <row r="52" spans="5:6" ht="18">
      <c r="E52" s="13">
        <v>-9.5012509837637399E-2</v>
      </c>
      <c r="F52" s="12">
        <v>0.189450610455068</v>
      </c>
    </row>
    <row r="53" spans="5:6" ht="18">
      <c r="E53" s="13">
        <v>-0.28160355077925803</v>
      </c>
      <c r="F53" s="12">
        <v>0.182603415044923</v>
      </c>
    </row>
    <row r="54" spans="5:6" ht="18">
      <c r="E54" s="13">
        <v>-0.45801677765722698</v>
      </c>
      <c r="F54" s="12">
        <v>0.16915651939500201</v>
      </c>
    </row>
    <row r="55" spans="5:6" ht="18">
      <c r="E55" s="13">
        <v>-0.61787624440264299</v>
      </c>
      <c r="F55" s="12">
        <v>0.14959598881657599</v>
      </c>
    </row>
    <row r="56" spans="5:6" ht="18">
      <c r="E56" s="13">
        <v>-0.755404408355003</v>
      </c>
      <c r="F56" s="12">
        <v>0.124628971255533</v>
      </c>
    </row>
    <row r="57" spans="5:6" ht="18">
      <c r="E57" s="13">
        <v>-0.86563120238783098</v>
      </c>
      <c r="F57" s="12">
        <v>9.5158511682492702E-2</v>
      </c>
    </row>
    <row r="58" spans="5:6" ht="18">
      <c r="E58" s="13">
        <v>-0.94457502307323205</v>
      </c>
      <c r="F58" s="12">
        <v>6.2253523938647803E-2</v>
      </c>
    </row>
    <row r="59" spans="5:6" ht="18">
      <c r="E59" s="13">
        <v>-0.98940093499164905</v>
      </c>
      <c r="F59" s="12">
        <v>2.7152459411753999E-2</v>
      </c>
    </row>
    <row r="60" spans="5:6" ht="18">
      <c r="E60" s="12">
        <v>9.5012509837637399E-2</v>
      </c>
      <c r="F60" s="12">
        <v>0.189450610455068</v>
      </c>
    </row>
    <row r="61" spans="5:6" ht="18">
      <c r="E61" s="12">
        <v>0.28160355077925803</v>
      </c>
      <c r="F61" s="12">
        <v>0.182603415044923</v>
      </c>
    </row>
    <row r="62" spans="5:6" ht="18">
      <c r="E62" s="12">
        <v>0.45801677765722698</v>
      </c>
      <c r="F62" s="12">
        <v>0.16915651939500201</v>
      </c>
    </row>
    <row r="63" spans="5:6" ht="18">
      <c r="E63" s="12">
        <v>0.61787624440264299</v>
      </c>
      <c r="F63" s="12">
        <v>0.14959598881657599</v>
      </c>
    </row>
    <row r="64" spans="5:6" ht="18">
      <c r="E64" s="12">
        <v>0.755404408355003</v>
      </c>
      <c r="F64" s="12">
        <v>0.124628971255533</v>
      </c>
    </row>
    <row r="65" spans="5:6" ht="18">
      <c r="E65" s="12">
        <v>0.86563120238783098</v>
      </c>
      <c r="F65" s="12">
        <v>9.5158511682492702E-2</v>
      </c>
    </row>
    <row r="66" spans="5:6" ht="18">
      <c r="E66" s="12">
        <v>0.94457502307323205</v>
      </c>
      <c r="F66" s="12">
        <v>6.2253523938647803E-2</v>
      </c>
    </row>
    <row r="67" spans="5:6" ht="18">
      <c r="E67" s="12">
        <v>0.98940093499164905</v>
      </c>
      <c r="F67" s="12">
        <v>2.7152459411753999E-2</v>
      </c>
    </row>
  </sheetData>
  <dataConsolidate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36898-EA3D-47AB-80D5-F22A397FBFDD}">
  <sheetPr codeName="Sheet4"/>
  <dimension ref="B3:S100"/>
  <sheetViews>
    <sheetView topLeftCell="D8" zoomScale="88" workbookViewId="0">
      <selection activeCell="W4" sqref="W4"/>
    </sheetView>
  </sheetViews>
  <sheetFormatPr defaultRowHeight="14.4"/>
  <cols>
    <col min="1" max="2" width="8.88671875" style="20"/>
    <col min="3" max="3" width="10.5546875" style="20" bestFit="1" customWidth="1"/>
    <col min="4" max="4" width="9.5546875" style="20" bestFit="1" customWidth="1"/>
    <col min="5" max="5" width="12.5546875" style="20" bestFit="1" customWidth="1"/>
    <col min="6" max="8" width="9.5546875" style="20" bestFit="1" customWidth="1"/>
    <col min="9" max="9" width="11.21875" style="20" bestFit="1" customWidth="1"/>
    <col min="10" max="16384" width="8.88671875" style="20"/>
  </cols>
  <sheetData>
    <row r="3" spans="2:19" ht="15" thickBot="1"/>
    <row r="4" spans="2:19" ht="15" thickBot="1">
      <c r="B4" s="138" t="s">
        <v>56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40"/>
    </row>
    <row r="5" spans="2:19">
      <c r="B5" s="21"/>
      <c r="C5" s="22"/>
      <c r="D5" s="22"/>
      <c r="E5" s="22"/>
      <c r="F5" s="22"/>
      <c r="G5" s="22"/>
      <c r="H5" s="22"/>
      <c r="I5" s="22"/>
      <c r="J5" s="23"/>
      <c r="K5" s="22"/>
      <c r="L5" s="22"/>
      <c r="M5" s="23"/>
      <c r="N5" s="23"/>
      <c r="O5" s="24"/>
    </row>
    <row r="6" spans="2:19">
      <c r="B6" s="21"/>
      <c r="C6" s="22"/>
      <c r="D6" s="22"/>
      <c r="E6" s="22"/>
      <c r="F6" s="22"/>
      <c r="G6" s="22"/>
      <c r="H6" s="22"/>
      <c r="I6" s="22"/>
      <c r="J6" s="23"/>
      <c r="K6" s="22"/>
      <c r="L6" s="22"/>
      <c r="M6" s="23"/>
      <c r="N6" s="23"/>
      <c r="O6" s="24"/>
    </row>
    <row r="7" spans="2:19">
      <c r="B7" s="131" t="s">
        <v>66</v>
      </c>
      <c r="C7" s="132"/>
      <c r="D7" s="132"/>
      <c r="E7" s="19">
        <f>2000</f>
        <v>2000</v>
      </c>
      <c r="F7" s="23" t="s">
        <v>20</v>
      </c>
      <c r="G7" s="22"/>
      <c r="H7" s="22"/>
      <c r="I7" s="22"/>
      <c r="J7" s="22"/>
      <c r="K7" s="23"/>
      <c r="L7" s="23"/>
      <c r="M7" s="23"/>
      <c r="N7" s="23"/>
      <c r="O7" s="24"/>
    </row>
    <row r="8" spans="2:19">
      <c r="B8" s="131" t="s">
        <v>18</v>
      </c>
      <c r="C8" s="132"/>
      <c r="D8" s="132"/>
      <c r="E8" s="19">
        <v>0.5</v>
      </c>
      <c r="F8" s="23" t="s">
        <v>21</v>
      </c>
      <c r="G8" s="22"/>
      <c r="H8" s="22"/>
      <c r="I8" s="22"/>
      <c r="J8" s="22"/>
      <c r="K8" s="23"/>
      <c r="L8" s="23"/>
      <c r="M8" s="23"/>
      <c r="N8" s="23"/>
      <c r="O8" s="24"/>
    </row>
    <row r="9" spans="2:19">
      <c r="B9" s="131" t="s">
        <v>19</v>
      </c>
      <c r="C9" s="132"/>
      <c r="D9" s="132"/>
      <c r="E9" s="19">
        <v>0.25</v>
      </c>
      <c r="F9" s="23" t="s">
        <v>21</v>
      </c>
      <c r="G9" s="22"/>
      <c r="H9" s="22"/>
      <c r="I9" s="22"/>
      <c r="J9" s="22"/>
      <c r="K9" s="23"/>
      <c r="L9" s="23"/>
      <c r="M9" s="23"/>
      <c r="N9" s="23"/>
      <c r="O9" s="24"/>
    </row>
    <row r="10" spans="2:19">
      <c r="B10" s="131" t="s">
        <v>67</v>
      </c>
      <c r="C10" s="132"/>
      <c r="D10" s="132"/>
      <c r="E10" s="19">
        <v>30</v>
      </c>
      <c r="F10" s="23"/>
      <c r="G10" s="22"/>
      <c r="H10" s="22"/>
      <c r="I10" s="22"/>
      <c r="J10" s="22"/>
      <c r="K10" s="22"/>
      <c r="L10" s="22"/>
      <c r="M10" s="22"/>
      <c r="N10" s="22"/>
      <c r="O10" s="25"/>
    </row>
    <row r="11" spans="2:19">
      <c r="B11" s="131" t="s">
        <v>68</v>
      </c>
      <c r="C11" s="132"/>
      <c r="D11" s="132"/>
      <c r="E11" s="19">
        <v>10</v>
      </c>
      <c r="F11" s="23"/>
      <c r="G11" s="22"/>
      <c r="H11" s="22"/>
      <c r="I11" s="22"/>
      <c r="J11" s="22"/>
      <c r="K11" s="22"/>
      <c r="L11" s="22"/>
      <c r="M11" s="22"/>
      <c r="N11" s="22"/>
      <c r="O11" s="25"/>
    </row>
    <row r="12" spans="2:19">
      <c r="B12" s="131" t="s">
        <v>69</v>
      </c>
      <c r="C12" s="132"/>
      <c r="D12" s="132"/>
      <c r="E12" s="19">
        <v>2.5</v>
      </c>
      <c r="F12" s="23">
        <f>-E12</f>
        <v>-2.5</v>
      </c>
      <c r="G12" s="22"/>
      <c r="H12" s="22"/>
      <c r="I12" s="22"/>
      <c r="J12" s="22"/>
      <c r="K12" s="22"/>
      <c r="L12" s="22"/>
      <c r="M12" s="22"/>
      <c r="N12" s="22"/>
      <c r="O12" s="25"/>
    </row>
    <row r="13" spans="2:19">
      <c r="B13" s="131" t="s">
        <v>70</v>
      </c>
      <c r="C13" s="132"/>
      <c r="D13" s="132"/>
      <c r="E13" s="19">
        <v>2.5</v>
      </c>
      <c r="F13" s="22"/>
      <c r="G13" s="22"/>
      <c r="H13" s="22"/>
      <c r="I13" s="22"/>
      <c r="J13" s="22"/>
      <c r="K13" s="22"/>
      <c r="L13" s="22"/>
      <c r="M13" s="22"/>
      <c r="N13" s="22"/>
      <c r="O13" s="25"/>
    </row>
    <row r="14" spans="2:19">
      <c r="B14" s="131" t="s">
        <v>71</v>
      </c>
      <c r="C14" s="132"/>
      <c r="D14" s="132"/>
      <c r="E14" s="19">
        <v>0.5</v>
      </c>
      <c r="F14" s="22"/>
      <c r="G14" s="22"/>
      <c r="H14" s="22"/>
      <c r="I14" s="22"/>
      <c r="J14" s="22"/>
      <c r="K14" s="22"/>
      <c r="L14" s="22"/>
      <c r="M14" s="22"/>
      <c r="N14" s="22"/>
      <c r="O14" s="25"/>
      <c r="S14" s="20" t="s">
        <v>5</v>
      </c>
    </row>
    <row r="15" spans="2:19">
      <c r="B15" s="131" t="s">
        <v>23</v>
      </c>
      <c r="C15" s="132"/>
      <c r="D15" s="132"/>
      <c r="E15" s="19">
        <v>3</v>
      </c>
      <c r="F15" s="22"/>
      <c r="G15" s="22"/>
      <c r="H15" s="22"/>
      <c r="I15" s="22"/>
      <c r="J15" s="22"/>
      <c r="K15" s="22"/>
      <c r="L15" s="22"/>
      <c r="M15" s="22"/>
      <c r="N15" s="22"/>
      <c r="O15" s="25"/>
    </row>
    <row r="16" spans="2:19">
      <c r="B16" s="131" t="s">
        <v>72</v>
      </c>
      <c r="C16" s="132"/>
      <c r="D16" s="132"/>
      <c r="E16" s="19">
        <v>1</v>
      </c>
      <c r="F16" s="22"/>
      <c r="G16" s="22"/>
      <c r="H16" s="22"/>
      <c r="I16" s="22"/>
      <c r="J16" s="22"/>
      <c r="K16" s="22"/>
      <c r="L16" s="22"/>
      <c r="M16" s="22"/>
      <c r="N16" s="22"/>
      <c r="O16" s="25"/>
    </row>
    <row r="17" spans="2:15">
      <c r="B17" s="21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5"/>
    </row>
    <row r="18" spans="2:15">
      <c r="B18" s="133" t="s">
        <v>36</v>
      </c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5"/>
    </row>
    <row r="19" spans="2:15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5"/>
    </row>
    <row r="20" spans="2:15">
      <c r="B20" s="136" t="s">
        <v>59</v>
      </c>
      <c r="C20" s="137"/>
      <c r="D20" s="137"/>
      <c r="E20" s="137"/>
      <c r="F20" s="137"/>
      <c r="G20" s="137"/>
      <c r="H20" s="137"/>
      <c r="I20" s="137"/>
      <c r="J20" s="23"/>
      <c r="K20" s="137" t="s">
        <v>2</v>
      </c>
      <c r="L20" s="137"/>
      <c r="M20" s="137"/>
      <c r="N20" s="137"/>
      <c r="O20" s="143"/>
    </row>
    <row r="21" spans="2:15">
      <c r="B21" s="18" t="s">
        <v>17</v>
      </c>
      <c r="C21" s="26" t="s">
        <v>24</v>
      </c>
      <c r="D21" s="26" t="s">
        <v>25</v>
      </c>
      <c r="E21" s="26" t="s">
        <v>26</v>
      </c>
      <c r="F21" s="26" t="s">
        <v>1</v>
      </c>
      <c r="G21" s="26" t="s">
        <v>14</v>
      </c>
      <c r="H21" s="26" t="s">
        <v>27</v>
      </c>
      <c r="I21" s="26" t="s">
        <v>44</v>
      </c>
      <c r="J21" s="23"/>
      <c r="K21" s="141" t="s">
        <v>28</v>
      </c>
      <c r="L21" s="141"/>
      <c r="M21" s="28">
        <f>E7/E10/E11*(1+6*E8/E10+6*E9/E11)</f>
        <v>8.3333333333333339</v>
      </c>
      <c r="N21" s="22"/>
      <c r="O21" s="25"/>
    </row>
    <row r="22" spans="2:15" hidden="1">
      <c r="B22" s="18"/>
      <c r="C22" s="26"/>
      <c r="D22" s="26"/>
      <c r="E22" s="26"/>
      <c r="F22" s="26"/>
      <c r="G22" s="26"/>
      <c r="H22" s="26">
        <v>0</v>
      </c>
      <c r="I22" s="29">
        <v>0</v>
      </c>
      <c r="J22" s="23"/>
      <c r="K22" s="27"/>
      <c r="L22" s="27"/>
      <c r="M22" s="30"/>
      <c r="N22" s="22"/>
      <c r="O22" s="25"/>
    </row>
    <row r="23" spans="2:15">
      <c r="B23" s="18">
        <v>0</v>
      </c>
      <c r="C23" s="19">
        <v>1</v>
      </c>
      <c r="D23" s="19">
        <v>20</v>
      </c>
      <c r="E23" s="19">
        <v>0</v>
      </c>
      <c r="F23" s="19">
        <v>1.5</v>
      </c>
      <c r="G23" s="19">
        <v>1080</v>
      </c>
      <c r="H23" s="26">
        <f>C23</f>
        <v>1</v>
      </c>
      <c r="I23" s="29">
        <f>F23*C23</f>
        <v>1.5</v>
      </c>
      <c r="J23" s="23"/>
      <c r="K23" s="141" t="s">
        <v>29</v>
      </c>
      <c r="L23" s="141"/>
      <c r="M23" s="28">
        <f>E7/E10/E11*(1-6*E8/E10-6*E9/E11)</f>
        <v>5</v>
      </c>
      <c r="N23" s="23"/>
      <c r="O23" s="25"/>
    </row>
    <row r="24" spans="2:15">
      <c r="B24" s="18">
        <v>1</v>
      </c>
      <c r="C24" s="19">
        <v>3</v>
      </c>
      <c r="D24" s="19">
        <v>5</v>
      </c>
      <c r="E24" s="19">
        <v>15</v>
      </c>
      <c r="F24" s="19">
        <v>2.1</v>
      </c>
      <c r="G24" s="19">
        <v>1240</v>
      </c>
      <c r="H24" s="26">
        <f t="shared" ref="H24:H32" si="0">H23+C24</f>
        <v>4</v>
      </c>
      <c r="I24" s="29">
        <f t="shared" ref="I24:I32" si="1">I23+C24*F24</f>
        <v>7.8000000000000007</v>
      </c>
      <c r="J24" s="23"/>
      <c r="K24" s="141" t="s">
        <v>30</v>
      </c>
      <c r="L24" s="141"/>
      <c r="M24" s="28">
        <f>M21/M23</f>
        <v>1.6666666666666667</v>
      </c>
      <c r="N24" s="23" t="s">
        <v>31</v>
      </c>
      <c r="O24" s="25"/>
    </row>
    <row r="25" spans="2:15">
      <c r="B25" s="18">
        <v>2</v>
      </c>
      <c r="C25" s="19">
        <v>4</v>
      </c>
      <c r="D25" s="19">
        <v>10</v>
      </c>
      <c r="E25" s="19">
        <v>0</v>
      </c>
      <c r="F25" s="19">
        <v>2</v>
      </c>
      <c r="G25" s="19">
        <v>1140</v>
      </c>
      <c r="H25" s="26">
        <f t="shared" si="0"/>
        <v>8</v>
      </c>
      <c r="I25" s="29">
        <f t="shared" si="1"/>
        <v>15.8</v>
      </c>
      <c r="J25" s="23"/>
      <c r="K25" s="137" t="s">
        <v>63</v>
      </c>
      <c r="L25" s="137"/>
      <c r="M25" s="137"/>
      <c r="N25" s="137"/>
      <c r="O25" s="143"/>
    </row>
    <row r="26" spans="2:15">
      <c r="B26" s="18">
        <v>3</v>
      </c>
      <c r="C26" s="19">
        <v>1</v>
      </c>
      <c r="D26" s="19">
        <v>1.9</v>
      </c>
      <c r="E26" s="19">
        <v>0</v>
      </c>
      <c r="F26" s="19">
        <v>1.8</v>
      </c>
      <c r="G26" s="19">
        <v>1320</v>
      </c>
      <c r="H26" s="26">
        <f t="shared" si="0"/>
        <v>9</v>
      </c>
      <c r="I26" s="29">
        <f t="shared" si="1"/>
        <v>17.600000000000001</v>
      </c>
      <c r="J26" s="23"/>
      <c r="K26" s="142" t="s">
        <v>45</v>
      </c>
      <c r="L26" s="142"/>
      <c r="M26" s="32">
        <f>M21*E10*E11</f>
        <v>2500.0000000000005</v>
      </c>
      <c r="N26" s="23"/>
      <c r="O26" s="25"/>
    </row>
    <row r="27" spans="2:15">
      <c r="B27" s="18">
        <v>4</v>
      </c>
      <c r="C27" s="19">
        <v>0.5</v>
      </c>
      <c r="D27" s="19">
        <v>6</v>
      </c>
      <c r="E27" s="19">
        <v>20</v>
      </c>
      <c r="F27" s="19">
        <v>1.9</v>
      </c>
      <c r="G27" s="19">
        <v>1240</v>
      </c>
      <c r="H27" s="26">
        <f t="shared" si="0"/>
        <v>9.5</v>
      </c>
      <c r="I27" s="29">
        <f t="shared" si="1"/>
        <v>18.55</v>
      </c>
      <c r="J27" s="23"/>
      <c r="K27" s="142" t="s">
        <v>32</v>
      </c>
      <c r="L27" s="142"/>
      <c r="M27" s="32">
        <f>E10-E8*2</f>
        <v>29</v>
      </c>
      <c r="N27" s="23"/>
      <c r="O27" s="25"/>
    </row>
    <row r="28" spans="2:15">
      <c r="B28" s="18">
        <v>5</v>
      </c>
      <c r="C28" s="19">
        <v>6</v>
      </c>
      <c r="D28" s="19">
        <v>4</v>
      </c>
      <c r="E28" s="19">
        <v>16</v>
      </c>
      <c r="F28" s="19">
        <v>2</v>
      </c>
      <c r="G28" s="19">
        <v>1240</v>
      </c>
      <c r="H28" s="26">
        <f t="shared" si="0"/>
        <v>15.5</v>
      </c>
      <c r="I28" s="29">
        <f t="shared" si="1"/>
        <v>30.55</v>
      </c>
      <c r="J28" s="23"/>
      <c r="K28" s="142" t="s">
        <v>33</v>
      </c>
      <c r="L28" s="142"/>
      <c r="M28" s="32">
        <f>E11-2*E9</f>
        <v>9.5</v>
      </c>
      <c r="N28" s="23"/>
      <c r="O28" s="25"/>
    </row>
    <row r="29" spans="2:15">
      <c r="B29" s="18">
        <v>6</v>
      </c>
      <c r="C29" s="19">
        <v>2</v>
      </c>
      <c r="D29" s="19">
        <v>14</v>
      </c>
      <c r="E29" s="19">
        <v>20</v>
      </c>
      <c r="F29" s="19">
        <v>2.0533333333333301</v>
      </c>
      <c r="G29" s="19">
        <v>1308</v>
      </c>
      <c r="H29" s="26">
        <f t="shared" si="0"/>
        <v>17.5</v>
      </c>
      <c r="I29" s="29">
        <f t="shared" si="1"/>
        <v>34.656666666666659</v>
      </c>
      <c r="J29" s="23"/>
      <c r="K29" s="142" t="s">
        <v>34</v>
      </c>
      <c r="L29" s="142"/>
      <c r="M29" s="32">
        <f>1+0.3*M28/M27</f>
        <v>1.0982758620689654</v>
      </c>
      <c r="N29" s="23"/>
      <c r="O29" s="25"/>
    </row>
    <row r="30" spans="2:15">
      <c r="B30" s="18">
        <v>7</v>
      </c>
      <c r="C30" s="19">
        <v>3</v>
      </c>
      <c r="D30" s="19">
        <v>4</v>
      </c>
      <c r="E30" s="19">
        <v>3</v>
      </c>
      <c r="F30" s="19">
        <v>2.1019047619047599</v>
      </c>
      <c r="G30" s="19">
        <v>1336</v>
      </c>
      <c r="H30" s="26">
        <f t="shared" si="0"/>
        <v>20.5</v>
      </c>
      <c r="I30" s="29">
        <f t="shared" si="1"/>
        <v>40.96238095238094</v>
      </c>
      <c r="J30" s="23"/>
      <c r="K30" s="142" t="s">
        <v>35</v>
      </c>
      <c r="L30" s="142"/>
      <c r="M30" s="32">
        <f>1-0.3*M28/M27</f>
        <v>0.90172413793103445</v>
      </c>
      <c r="N30" s="23"/>
      <c r="O30" s="25"/>
    </row>
    <row r="31" spans="2:15">
      <c r="B31" s="18">
        <v>8</v>
      </c>
      <c r="C31" s="19">
        <v>5</v>
      </c>
      <c r="D31" s="19">
        <v>9</v>
      </c>
      <c r="E31" s="19">
        <v>5</v>
      </c>
      <c r="F31" s="19">
        <v>2.1504761904761902</v>
      </c>
      <c r="G31" s="19">
        <v>1364</v>
      </c>
      <c r="H31" s="26">
        <f t="shared" si="0"/>
        <v>25.5</v>
      </c>
      <c r="I31" s="29">
        <f t="shared" si="1"/>
        <v>51.714761904761893</v>
      </c>
      <c r="J31" s="23"/>
      <c r="K31" s="31"/>
      <c r="L31" s="31"/>
      <c r="M31" s="23"/>
      <c r="N31" s="23"/>
      <c r="O31" s="25"/>
    </row>
    <row r="32" spans="2:15" ht="15" thickBot="1">
      <c r="B32" s="33">
        <v>9</v>
      </c>
      <c r="C32" s="19">
        <v>1</v>
      </c>
      <c r="D32" s="19">
        <v>3</v>
      </c>
      <c r="E32" s="19">
        <v>0</v>
      </c>
      <c r="F32" s="19">
        <v>2.19904761904762</v>
      </c>
      <c r="G32" s="19">
        <v>1392</v>
      </c>
      <c r="H32" s="34">
        <f t="shared" si="0"/>
        <v>26.5</v>
      </c>
      <c r="I32" s="35">
        <f t="shared" si="1"/>
        <v>53.913809523809512</v>
      </c>
      <c r="J32" s="23"/>
      <c r="K32" s="142" t="s">
        <v>47</v>
      </c>
      <c r="L32" s="142"/>
      <c r="M32" s="17">
        <v>2</v>
      </c>
      <c r="N32" s="22"/>
      <c r="O32" s="25"/>
    </row>
    <row r="33" spans="2:15">
      <c r="B33" s="36"/>
      <c r="C33" s="23"/>
      <c r="D33" s="23"/>
      <c r="E33" s="23"/>
      <c r="F33" s="23"/>
      <c r="G33" s="23"/>
      <c r="H33" s="23"/>
      <c r="I33" s="23"/>
      <c r="J33" s="23"/>
      <c r="K33" s="23"/>
      <c r="L33" s="22"/>
      <c r="M33" s="22"/>
      <c r="N33" s="22"/>
      <c r="O33" s="25"/>
    </row>
    <row r="34" spans="2:15">
      <c r="B34" s="133" t="s">
        <v>62</v>
      </c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5"/>
    </row>
    <row r="35" spans="2:15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5"/>
    </row>
    <row r="36" spans="2:15">
      <c r="B36" s="18" t="s">
        <v>37</v>
      </c>
      <c r="C36" s="26" t="s">
        <v>6</v>
      </c>
      <c r="D36" s="26" t="s">
        <v>27</v>
      </c>
      <c r="E36" s="26" t="s">
        <v>38</v>
      </c>
      <c r="F36" s="26" t="s">
        <v>40</v>
      </c>
      <c r="G36" s="26" t="s">
        <v>26</v>
      </c>
      <c r="H36" s="26" t="s">
        <v>39</v>
      </c>
      <c r="I36" s="26" t="s">
        <v>12</v>
      </c>
      <c r="J36" s="26" t="s">
        <v>13</v>
      </c>
      <c r="K36" s="26" t="s">
        <v>46</v>
      </c>
      <c r="L36" s="26" t="s">
        <v>44</v>
      </c>
      <c r="M36" s="26" t="s">
        <v>41</v>
      </c>
      <c r="N36" s="26" t="s">
        <v>42</v>
      </c>
      <c r="O36" s="29" t="s">
        <v>43</v>
      </c>
    </row>
    <row r="37" spans="2:15">
      <c r="B37" s="18">
        <v>1</v>
      </c>
      <c r="C37" s="26">
        <f>-D37</f>
        <v>0</v>
      </c>
      <c r="D37" s="26">
        <v>0</v>
      </c>
      <c r="E37" s="26">
        <f t="shared" ref="E37:E55" si="2">IF(D37&lt;E$12,0,M$26/(E$10+D37)/(D37+E$11))</f>
        <v>0</v>
      </c>
      <c r="F37" s="26" cm="1">
        <f t="array" ref="F37">INDEX(D$23:D$32,(1+$B37)/2)</f>
        <v>20</v>
      </c>
      <c r="G37" s="26" cm="1">
        <f t="array" ref="G37">INDEX(E$23:E$32,(1+$B37)/2)</f>
        <v>0</v>
      </c>
      <c r="H37" s="26" cm="1">
        <f t="array" ref="H37:J37">Bearing_Capacity_Terzaghis_Factors(RADIANS(G37))</f>
        <v>5.7</v>
      </c>
      <c r="I37" s="26">
        <v>1</v>
      </c>
      <c r="J37" s="26">
        <v>0</v>
      </c>
      <c r="K37" s="26">
        <v>0</v>
      </c>
      <c r="L37" s="26">
        <f>0</f>
        <v>0</v>
      </c>
      <c r="M37" s="26">
        <f>F37*H37*M$29+L37*I37+0.5*K37*(M$28+D37-E$12)*M$30*J37</f>
        <v>125.20344827586206</v>
      </c>
      <c r="N37" s="40">
        <f t="shared" ref="N37:N55" si="3">(M37-L37)/$M$32</f>
        <v>62.601724137931029</v>
      </c>
      <c r="O37" s="29" t="str">
        <f>IF(N37&gt;E37,"SAFE","UNSAFE")</f>
        <v>SAFE</v>
      </c>
    </row>
    <row r="38" spans="2:15">
      <c r="B38" s="18">
        <v>2</v>
      </c>
      <c r="C38" s="26">
        <f t="shared" ref="C38:C55" si="4">-D38</f>
        <v>-1</v>
      </c>
      <c r="D38" s="26" cm="1">
        <f t="array" ref="D38">INDEX(C$23:C$32,B38/2)+D37</f>
        <v>1</v>
      </c>
      <c r="E38" s="26">
        <f t="shared" si="2"/>
        <v>0</v>
      </c>
      <c r="F38" s="26" cm="1">
        <f t="array" ref="F38">INDEX(D$23:D$32,(1+$B38)/2)</f>
        <v>20</v>
      </c>
      <c r="G38" s="26" cm="1">
        <f t="array" ref="G38">INDEX(E$23:E$32,(1+$B38)/2)</f>
        <v>0</v>
      </c>
      <c r="H38" s="26" cm="1">
        <f t="array" ref="H38:J38">Bearing_Capacity_Terzaghis_Factors(RADIANS(G38))</f>
        <v>5.7</v>
      </c>
      <c r="I38" s="26">
        <v>1</v>
      </c>
      <c r="J38" s="26">
        <v>0</v>
      </c>
      <c r="K38" s="26" cm="1">
        <f t="array" ref="K38">INDEX(F$23:F$32,1+$B38/2) - IF(E$15&gt;D38*2+M$28-E$12,0,E$16)</f>
        <v>1.1000000000000001</v>
      </c>
      <c r="L38" s="26" cm="1">
        <f t="array" ref="L38">INDEX(I$23:I$32,B38/2)-MAX(D38-E$15,0)*E$16</f>
        <v>1.5</v>
      </c>
      <c r="M38" s="26">
        <f t="shared" ref="M38:M55" si="5">F38*H38*M$29+L38*I38+0.5*K38*(M$28+D38-E$12)*M$30*J38</f>
        <v>126.70344827586206</v>
      </c>
      <c r="N38" s="40">
        <f t="shared" si="3"/>
        <v>62.601724137931029</v>
      </c>
      <c r="O38" s="29" t="str">
        <f t="shared" ref="O38:O55" si="6">IF(N38&gt;E38,"SAFE","UNSAFE")</f>
        <v>SAFE</v>
      </c>
    </row>
    <row r="39" spans="2:15">
      <c r="B39" s="18">
        <v>3</v>
      </c>
      <c r="C39" s="26">
        <f t="shared" si="4"/>
        <v>-1</v>
      </c>
      <c r="D39" s="26" cm="1">
        <f t="array" ref="D39">INDEX(C$23:C$32,B39/2)+D37</f>
        <v>1</v>
      </c>
      <c r="E39" s="26">
        <f t="shared" si="2"/>
        <v>0</v>
      </c>
      <c r="F39" s="26" cm="1">
        <f t="array" ref="F39">INDEX(D$23:D$32,(1+$B39)/2)</f>
        <v>5</v>
      </c>
      <c r="G39" s="26" cm="1">
        <f t="array" ref="G39">INDEX(E$23:E$32,(1+$B39)/2)</f>
        <v>15</v>
      </c>
      <c r="H39" s="26" cm="1">
        <f t="array" ref="H39:J39">Bearing_Capacity_Terzaghis_Factors(RADIANS(G39))</f>
        <v>12.861270175147231</v>
      </c>
      <c r="I39" s="26">
        <v>4.4461669570691846</v>
      </c>
      <c r="J39" s="26">
        <v>2.1676842313059481</v>
      </c>
      <c r="K39" s="26" cm="1">
        <f t="array" ref="K39">INDEX(F$23:F$32,1+$B39/2) - IF(E$15&gt;D39*2+M$28-E$12,0,E$16)</f>
        <v>1.1000000000000001</v>
      </c>
      <c r="L39" s="26" cm="1">
        <f t="array" ref="L39">INDEX(I$23:I$32,B39/2)-MAX(D39-E$15,0)*E$16</f>
        <v>1.5</v>
      </c>
      <c r="M39" s="26">
        <f t="shared" si="5"/>
        <v>85.895837437198907</v>
      </c>
      <c r="N39" s="40">
        <f t="shared" si="3"/>
        <v>42.197918718599453</v>
      </c>
      <c r="O39" s="29" t="str">
        <f t="shared" si="6"/>
        <v>SAFE</v>
      </c>
    </row>
    <row r="40" spans="2:15">
      <c r="B40" s="18">
        <v>4</v>
      </c>
      <c r="C40" s="26">
        <f t="shared" si="4"/>
        <v>-4</v>
      </c>
      <c r="D40" s="26" cm="1">
        <f t="array" ref="D40">INDEX(C$23:C$32,B40/2)+D39</f>
        <v>4</v>
      </c>
      <c r="E40" s="26">
        <f t="shared" si="2"/>
        <v>5.2521008403361353</v>
      </c>
      <c r="F40" s="26" cm="1">
        <f t="array" ref="F40">INDEX(D$23:D$32,(1+$B40)/2)</f>
        <v>5</v>
      </c>
      <c r="G40" s="26" cm="1">
        <f t="array" ref="G40">INDEX(E$23:E$32,(1+$B40)/2)</f>
        <v>15</v>
      </c>
      <c r="H40" s="26" cm="1">
        <f t="array" ref="H40:J40">Bearing_Capacity_Terzaghis_Factors(RADIANS(G40))</f>
        <v>12.861270175147231</v>
      </c>
      <c r="I40" s="26">
        <v>4.4461669570691846</v>
      </c>
      <c r="J40" s="26">
        <v>2.1676842313059481</v>
      </c>
      <c r="K40" s="26" cm="1">
        <f t="array" ref="K40">INDEX(F$23:F$32,1+$B40/2) - IF(E$15&gt;D40*2+M$28-E$12,0,E$16)</f>
        <v>1</v>
      </c>
      <c r="L40" s="26" cm="1">
        <f t="array" ref="L40">INDEX(I$23:I$32,B40/2)-MAX(D40-E$15,0)*E$16</f>
        <v>6.8000000000000007</v>
      </c>
      <c r="M40" s="26">
        <f t="shared" si="5"/>
        <v>111.61064082392475</v>
      </c>
      <c r="N40" s="40">
        <f t="shared" si="3"/>
        <v>52.405320411962379</v>
      </c>
      <c r="O40" s="29" t="str">
        <f t="shared" si="6"/>
        <v>SAFE</v>
      </c>
    </row>
    <row r="41" spans="2:15">
      <c r="B41" s="18">
        <v>5</v>
      </c>
      <c r="C41" s="26">
        <f t="shared" si="4"/>
        <v>-4</v>
      </c>
      <c r="D41" s="26" cm="1">
        <f t="array" ref="D41">INDEX(C$23:C$32,B41/2)+D39</f>
        <v>4</v>
      </c>
      <c r="E41" s="26">
        <f t="shared" si="2"/>
        <v>5.2521008403361353</v>
      </c>
      <c r="F41" s="26" cm="1">
        <f t="array" ref="F41">INDEX(D$23:D$32,(1+$B41)/2)</f>
        <v>10</v>
      </c>
      <c r="G41" s="26" cm="1">
        <f t="array" ref="G41">INDEX(E$23:E$32,(1+$B41)/2)</f>
        <v>0</v>
      </c>
      <c r="H41" s="26" cm="1">
        <f t="array" ref="H41:J41">Bearing_Capacity_Terzaghis_Factors(RADIANS(G41))</f>
        <v>5.7</v>
      </c>
      <c r="I41" s="26">
        <v>1</v>
      </c>
      <c r="J41" s="26">
        <v>0</v>
      </c>
      <c r="K41" s="26" cm="1">
        <f t="array" ref="K41">INDEX(F$23:F$32,1+$B41/2) - IF(E$15&gt;D41*2+M$28-E$12,0,E$16)</f>
        <v>1</v>
      </c>
      <c r="L41" s="26" cm="1">
        <f t="array" ref="L41">INDEX(I$23:I$32,B41/2)-MAX(D41-E$15,0)*E$16</f>
        <v>6.8000000000000007</v>
      </c>
      <c r="M41" s="26">
        <f t="shared" si="5"/>
        <v>69.401724137931026</v>
      </c>
      <c r="N41" s="40">
        <f t="shared" si="3"/>
        <v>31.300862068965515</v>
      </c>
      <c r="O41" s="29" t="str">
        <f t="shared" si="6"/>
        <v>SAFE</v>
      </c>
    </row>
    <row r="42" spans="2:15">
      <c r="B42" s="18">
        <v>6</v>
      </c>
      <c r="C42" s="26">
        <f t="shared" si="4"/>
        <v>-8</v>
      </c>
      <c r="D42" s="26" cm="1">
        <f t="array" ref="D42">INDEX(C$23:C$32,B42/2)+D41</f>
        <v>8</v>
      </c>
      <c r="E42" s="26">
        <f t="shared" si="2"/>
        <v>3.6549707602339185</v>
      </c>
      <c r="F42" s="26" cm="1">
        <f t="array" ref="F42">INDEX(D$23:D$32,(1+$B42)/2)</f>
        <v>10</v>
      </c>
      <c r="G42" s="26" cm="1">
        <f t="array" ref="G42">INDEX(E$23:E$32,(1+$B42)/2)</f>
        <v>0</v>
      </c>
      <c r="H42" s="26" cm="1">
        <f t="array" ref="H42:J42">Bearing_Capacity_Terzaghis_Factors(RADIANS(G42))</f>
        <v>5.7</v>
      </c>
      <c r="I42" s="26">
        <v>1</v>
      </c>
      <c r="J42" s="26">
        <v>0</v>
      </c>
      <c r="K42" s="26" cm="1">
        <f t="array" ref="K42">INDEX(F$23:F$32,1+$B42/2) - IF(E$15&gt;D42*2+M$28-E$12,0,E$16)</f>
        <v>0.8</v>
      </c>
      <c r="L42" s="26" cm="1">
        <f t="array" ref="L42">INDEX(I$23:I$32,B42/2)-MAX(D42-E$15,0)*E$16</f>
        <v>10.8</v>
      </c>
      <c r="M42" s="26">
        <f t="shared" si="5"/>
        <v>73.401724137931026</v>
      </c>
      <c r="N42" s="40">
        <f t="shared" si="3"/>
        <v>31.300862068965515</v>
      </c>
      <c r="O42" s="29" t="str">
        <f t="shared" si="6"/>
        <v>SAFE</v>
      </c>
    </row>
    <row r="43" spans="2:15">
      <c r="B43" s="18">
        <v>7</v>
      </c>
      <c r="C43" s="26">
        <f t="shared" si="4"/>
        <v>-8</v>
      </c>
      <c r="D43" s="26" cm="1">
        <f t="array" ref="D43">INDEX(C$23:C$32,B43/2)+D41</f>
        <v>8</v>
      </c>
      <c r="E43" s="26">
        <f t="shared" si="2"/>
        <v>3.6549707602339185</v>
      </c>
      <c r="F43" s="26" cm="1">
        <f t="array" ref="F43">INDEX(D$23:D$32,(1+$B43)/2)</f>
        <v>1.9</v>
      </c>
      <c r="G43" s="26" cm="1">
        <f t="array" ref="G43">INDEX(E$23:E$32,(1+$B43)/2)</f>
        <v>0</v>
      </c>
      <c r="H43" s="26" cm="1">
        <f t="array" ref="H43:J43">Bearing_Capacity_Terzaghis_Factors(RADIANS(G43))</f>
        <v>5.7</v>
      </c>
      <c r="I43" s="26">
        <v>1</v>
      </c>
      <c r="J43" s="26">
        <v>0</v>
      </c>
      <c r="K43" s="26" cm="1">
        <f t="array" ref="K43">INDEX(F$23:F$32,1+$B43/2) - IF(E$15&gt;D43*2+M$28-E$12,0,E$16)</f>
        <v>0.8</v>
      </c>
      <c r="L43" s="26" cm="1">
        <f t="array" ref="L43">INDEX(I$23:I$32,B43/2)-MAX(D43-E$15,0)*E$16</f>
        <v>10.8</v>
      </c>
      <c r="M43" s="26">
        <f t="shared" si="5"/>
        <v>22.694327586206896</v>
      </c>
      <c r="N43" s="40">
        <f t="shared" si="3"/>
        <v>5.9471637931034476</v>
      </c>
      <c r="O43" s="29" t="str">
        <f t="shared" si="6"/>
        <v>SAFE</v>
      </c>
    </row>
    <row r="44" spans="2:15">
      <c r="B44" s="18">
        <v>8</v>
      </c>
      <c r="C44" s="26">
        <f t="shared" si="4"/>
        <v>-9</v>
      </c>
      <c r="D44" s="26" cm="1">
        <f t="array" ref="D44">INDEX(C$23:C$32,B44/2)+D43</f>
        <v>9</v>
      </c>
      <c r="E44" s="26">
        <f t="shared" si="2"/>
        <v>3.3738191632928483</v>
      </c>
      <c r="F44" s="26" cm="1">
        <f t="array" ref="F44">INDEX(D$23:D$32,(1+$B44)/2)</f>
        <v>1.9</v>
      </c>
      <c r="G44" s="26" cm="1">
        <f t="array" ref="G44">INDEX(E$23:E$32,(1+$B44)/2)</f>
        <v>0</v>
      </c>
      <c r="H44" s="26" cm="1">
        <f t="array" ref="H44:J44">Bearing_Capacity_Terzaghis_Factors(RADIANS(G44))</f>
        <v>5.7</v>
      </c>
      <c r="I44" s="26">
        <v>1</v>
      </c>
      <c r="J44" s="26">
        <v>0</v>
      </c>
      <c r="K44" s="26" cm="1">
        <f t="array" ref="K44">INDEX(F$23:F$32,1+$B44/2) - IF(E$15&gt;D44*2+M$28-E$12,0,E$16)</f>
        <v>0.89999999999999991</v>
      </c>
      <c r="L44" s="26" cm="1">
        <f t="array" ref="L44">INDEX(I$23:I$32,B44/2)-MAX(D44-E$15,0)*E$16</f>
        <v>11.600000000000001</v>
      </c>
      <c r="M44" s="26">
        <f t="shared" si="5"/>
        <v>23.494327586206897</v>
      </c>
      <c r="N44" s="40">
        <f t="shared" si="3"/>
        <v>5.9471637931034476</v>
      </c>
      <c r="O44" s="29" t="str">
        <f t="shared" si="6"/>
        <v>SAFE</v>
      </c>
    </row>
    <row r="45" spans="2:15">
      <c r="B45" s="18">
        <v>9</v>
      </c>
      <c r="C45" s="26">
        <f t="shared" si="4"/>
        <v>-9</v>
      </c>
      <c r="D45" s="26" cm="1">
        <f t="array" ref="D45">INDEX(C$23:C$32,B45/2)+D43</f>
        <v>9</v>
      </c>
      <c r="E45" s="26">
        <f t="shared" si="2"/>
        <v>3.3738191632928483</v>
      </c>
      <c r="F45" s="26" cm="1">
        <f t="array" ref="F45">INDEX(D$23:D$32,(1+$B45)/2)</f>
        <v>6</v>
      </c>
      <c r="G45" s="26" cm="1">
        <f t="array" ref="G45">INDEX(E$23:E$32,(1+$B45)/2)</f>
        <v>20</v>
      </c>
      <c r="H45" s="26" cm="1">
        <f t="array" ref="H45:J45">Bearing_Capacity_Terzaghis_Factors(RADIANS(G45))</f>
        <v>17.690276884059294</v>
      </c>
      <c r="I45" s="26">
        <v>7.4387342217250456</v>
      </c>
      <c r="J45" s="26">
        <v>4.406911785788723</v>
      </c>
      <c r="K45" s="26" cm="1">
        <f t="array" ref="K45">INDEX(F$23:F$32,1+$B45/2) - IF(E$15&gt;D45*2+M$28-E$12,0,E$16)</f>
        <v>0.89999999999999991</v>
      </c>
      <c r="L45" s="26" cm="1">
        <f t="array" ref="L45">INDEX(I$23:I$32,B45/2)-MAX(D45-E$15,0)*E$16</f>
        <v>11.600000000000001</v>
      </c>
      <c r="M45" s="26">
        <f t="shared" si="5"/>
        <v>231.47363640552885</v>
      </c>
      <c r="N45" s="40">
        <f t="shared" si="3"/>
        <v>109.93681820276443</v>
      </c>
      <c r="O45" s="29" t="str">
        <f t="shared" si="6"/>
        <v>SAFE</v>
      </c>
    </row>
    <row r="46" spans="2:15" hidden="1">
      <c r="B46" s="18">
        <v>10</v>
      </c>
      <c r="C46" s="26">
        <f t="shared" si="4"/>
        <v>-9.5</v>
      </c>
      <c r="D46" s="26" cm="1">
        <f t="array" ref="D46">INDEX(C$23:C$32,B46/2)+D45</f>
        <v>9.5</v>
      </c>
      <c r="E46" s="26">
        <f t="shared" si="2"/>
        <v>3.2456994482310941</v>
      </c>
      <c r="F46" s="26" cm="1">
        <f t="array" ref="F46">INDEX(D$23:D$32,(1+$B46)/2)</f>
        <v>6</v>
      </c>
      <c r="G46" s="26" cm="1">
        <f t="array" ref="G46">INDEX(E$23:E$32,(1+$B46)/2)</f>
        <v>20</v>
      </c>
      <c r="H46" s="26" cm="1">
        <f t="array" ref="H46:J46">Bearing_Capacity_Terzaghis_Factors(RADIANS(G46))</f>
        <v>17.690276884059294</v>
      </c>
      <c r="I46" s="26">
        <v>7.4387342217250456</v>
      </c>
      <c r="J46" s="26">
        <v>4.406911785788723</v>
      </c>
      <c r="K46" s="26" cm="1">
        <f t="array" ref="K46">INDEX(F$23:F$32,1+$B46/2) - IF(E$15&gt;D46*2+M$28-E$12,0,E$16)</f>
        <v>1</v>
      </c>
      <c r="L46" s="26" cm="1">
        <f t="array" ref="L46">INDEX(I$23:I$32,B46/2)-MAX(D46-E$15,0)*E$16</f>
        <v>12.05</v>
      </c>
      <c r="M46" s="26">
        <f t="shared" si="5"/>
        <v>238.9935764728325</v>
      </c>
      <c r="N46" s="40">
        <f t="shared" si="3"/>
        <v>113.47178823641624</v>
      </c>
      <c r="O46" s="29" t="str">
        <f t="shared" si="6"/>
        <v>SAFE</v>
      </c>
    </row>
    <row r="47" spans="2:15">
      <c r="B47" s="18">
        <v>11</v>
      </c>
      <c r="C47" s="26">
        <f t="shared" si="4"/>
        <v>-9.5</v>
      </c>
      <c r="D47" s="26" cm="1">
        <f t="array" ref="D47">INDEX(C$23:C$32,B47/2)+D45</f>
        <v>9.5</v>
      </c>
      <c r="E47" s="26">
        <f t="shared" si="2"/>
        <v>3.2456994482310941</v>
      </c>
      <c r="F47" s="26" cm="1">
        <f t="array" ref="F47">INDEX(D$23:D$32,(1+$B47)/2)</f>
        <v>4</v>
      </c>
      <c r="G47" s="26" cm="1">
        <f t="array" ref="G47">INDEX(E$23:E$32,(1+$B47)/2)</f>
        <v>16</v>
      </c>
      <c r="H47" s="26" cm="1">
        <f t="array" ref="H47:J47">Bearing_Capacity_Terzaghis_Factors(RADIANS(G47))</f>
        <v>13.676430191994742</v>
      </c>
      <c r="I47" s="26">
        <v>4.9216532512069397</v>
      </c>
      <c r="J47" s="26">
        <v>2.4979547491207001</v>
      </c>
      <c r="K47" s="26" cm="1">
        <f t="array" ref="K47">INDEX(F$23:F$32,1+$B47/2) - IF(E$15&gt;D47*2+M$28-E$12,0,E$16)</f>
        <v>1</v>
      </c>
      <c r="L47" s="26" cm="1">
        <f t="array" ref="L47">INDEX(I$23:I$32,B47/2)-MAX(D47-E$15,0)*E$16</f>
        <v>12.05</v>
      </c>
      <c r="M47" s="26">
        <f t="shared" si="5"/>
        <v>137.97073957871802</v>
      </c>
      <c r="N47" s="40">
        <f t="shared" si="3"/>
        <v>62.960369789359014</v>
      </c>
      <c r="O47" s="29" t="str">
        <f t="shared" si="6"/>
        <v>SAFE</v>
      </c>
    </row>
    <row r="48" spans="2:15">
      <c r="B48" s="18">
        <v>12</v>
      </c>
      <c r="C48" s="26">
        <f t="shared" si="4"/>
        <v>-15.5</v>
      </c>
      <c r="D48" s="26" cm="1">
        <f t="array" ref="D48">INDEX(C$23:C$32,B48/2)+D47</f>
        <v>15.5</v>
      </c>
      <c r="E48" s="26">
        <f t="shared" si="2"/>
        <v>2.1547080370609786</v>
      </c>
      <c r="F48" s="26" cm="1">
        <f t="array" ref="F48">INDEX(D$23:D$32,(1+$B48)/2)</f>
        <v>4</v>
      </c>
      <c r="G48" s="26" cm="1">
        <f t="array" ref="G48">INDEX(E$23:E$32,(1+$B48)/2)</f>
        <v>16</v>
      </c>
      <c r="H48" s="26" cm="1">
        <f t="array" ref="H48:J48">Bearing_Capacity_Terzaghis_Factors(RADIANS(G48))</f>
        <v>13.676430191994742</v>
      </c>
      <c r="I48" s="26">
        <v>4.9216532512069397</v>
      </c>
      <c r="J48" s="26">
        <v>2.4979547491207001</v>
      </c>
      <c r="K48" s="26" cm="1">
        <f t="array" ref="K48">INDEX(F$23:F$32,1+$B48/2) - IF(E$15&gt;D48*2+M$28-E$12,0,E$16)</f>
        <v>1.0533333333333301</v>
      </c>
      <c r="L48" s="26" cm="1">
        <f t="array" ref="L48">INDEX(I$23:I$32,B48/2)-MAX(D48-E$15,0)*E$16</f>
        <v>18.05</v>
      </c>
      <c r="M48" s="26">
        <f t="shared" si="5"/>
        <v>175.6095370198293</v>
      </c>
      <c r="N48" s="40">
        <f t="shared" si="3"/>
        <v>78.779768509914646</v>
      </c>
      <c r="O48" s="29" t="str">
        <f t="shared" si="6"/>
        <v>SAFE</v>
      </c>
    </row>
    <row r="49" spans="2:15">
      <c r="B49" s="18">
        <v>13</v>
      </c>
      <c r="C49" s="26">
        <f t="shared" si="4"/>
        <v>-15.5</v>
      </c>
      <c r="D49" s="26" cm="1">
        <f t="array" ref="D49">INDEX(C$23:C$32,B49/2)+D47</f>
        <v>15.5</v>
      </c>
      <c r="E49" s="26">
        <f t="shared" si="2"/>
        <v>2.1547080370609786</v>
      </c>
      <c r="F49" s="26" cm="1">
        <f t="array" ref="F49">INDEX(D$23:D$32,(1+$B49)/2)</f>
        <v>14</v>
      </c>
      <c r="G49" s="26" cm="1">
        <f t="array" ref="G49">INDEX(E$23:E$32,(1+$B49)/2)</f>
        <v>20</v>
      </c>
      <c r="H49" s="26" cm="1">
        <f t="array" ref="H49:J49">Bearing_Capacity_Terzaghis_Factors(RADIANS(G49))</f>
        <v>17.690276884059294</v>
      </c>
      <c r="I49" s="26">
        <v>7.4387342217250456</v>
      </c>
      <c r="J49" s="26">
        <v>4.406911785788723</v>
      </c>
      <c r="K49" s="26" cm="1">
        <f t="array" ref="K49">INDEX(F$23:F$32,1+$B49/2) - IF(E$15&gt;D49*2+M$28-E$12,0,E$16)</f>
        <v>1.0533333333333301</v>
      </c>
      <c r="L49" s="26" cm="1">
        <f t="array" ref="L49">INDEX(I$23:I$32,B49/2)-MAX(D49-E$15,0)*E$16</f>
        <v>18.05</v>
      </c>
      <c r="M49" s="26">
        <f t="shared" si="5"/>
        <v>453.36216199533635</v>
      </c>
      <c r="N49" s="40">
        <f t="shared" si="3"/>
        <v>217.65608099766817</v>
      </c>
      <c r="O49" s="29" t="str">
        <f t="shared" si="6"/>
        <v>SAFE</v>
      </c>
    </row>
    <row r="50" spans="2:15">
      <c r="B50" s="18">
        <v>14</v>
      </c>
      <c r="C50" s="26">
        <f t="shared" si="4"/>
        <v>-17.5</v>
      </c>
      <c r="D50" s="26" cm="1">
        <f t="array" ref="D50">INDEX(C$23:C$32,B50/2)+D49</f>
        <v>17.5</v>
      </c>
      <c r="E50" s="26">
        <f t="shared" si="2"/>
        <v>1.9138755980861248</v>
      </c>
      <c r="F50" s="26" cm="1">
        <f t="array" ref="F50">INDEX(D$23:D$32,(1+$B50)/2)</f>
        <v>14</v>
      </c>
      <c r="G50" s="26" cm="1">
        <f t="array" ref="G50">INDEX(E$23:E$32,(1+$B50)/2)</f>
        <v>20</v>
      </c>
      <c r="H50" s="26" cm="1">
        <f t="array" ref="H50:J50">Bearing_Capacity_Terzaghis_Factors(RADIANS(G50))</f>
        <v>17.690276884059294</v>
      </c>
      <c r="I50" s="26">
        <v>7.4387342217250456</v>
      </c>
      <c r="J50" s="26">
        <v>4.406911785788723</v>
      </c>
      <c r="K50" s="26" cm="1">
        <f t="array" ref="K50">INDEX(F$23:F$32,1+$B50/2) - IF(E$15&gt;D50*2+M$28-E$12,0,E$16)</f>
        <v>1.1019047619047599</v>
      </c>
      <c r="L50" s="26" cm="1">
        <f t="array" ref="L50">INDEX(I$23:I$32,B50/2)-MAX(D50-E$15,0)*E$16</f>
        <v>20.156666666666659</v>
      </c>
      <c r="M50" s="26">
        <f t="shared" si="5"/>
        <v>475.58327329733322</v>
      </c>
      <c r="N50" s="40">
        <f t="shared" si="3"/>
        <v>227.71330331533329</v>
      </c>
      <c r="O50" s="29" t="str">
        <f t="shared" si="6"/>
        <v>SAFE</v>
      </c>
    </row>
    <row r="51" spans="2:15">
      <c r="B51" s="18">
        <v>15</v>
      </c>
      <c r="C51" s="26">
        <f t="shared" si="4"/>
        <v>-17.5</v>
      </c>
      <c r="D51" s="26" cm="1">
        <f t="array" ref="D51">INDEX(C$23:C$32,B51/2)+D49</f>
        <v>17.5</v>
      </c>
      <c r="E51" s="26">
        <f t="shared" si="2"/>
        <v>1.9138755980861248</v>
      </c>
      <c r="F51" s="26" cm="1">
        <f t="array" ref="F51">INDEX(D$23:D$32,(1+$B51)/2)</f>
        <v>4</v>
      </c>
      <c r="G51" s="26" cm="1">
        <f t="array" ref="G51">INDEX(E$23:E$32,(1+$B51)/2)</f>
        <v>3</v>
      </c>
      <c r="H51" s="26" cm="1">
        <f t="array" ref="H51:J51">Bearing_Capacity_Terzaghis_Factors(RADIANS(G51))</f>
        <v>6.6236503214891371</v>
      </c>
      <c r="I51" s="26">
        <v>1.3471308040966476</v>
      </c>
      <c r="J51" s="26">
        <v>0.22712689181599036</v>
      </c>
      <c r="K51" s="26" cm="1">
        <f t="array" ref="K51">INDEX(F$23:F$32,1+$B51/2) - IF(E$15&gt;D51*2+M$28-E$12,0,E$16)</f>
        <v>1.1019047619047599</v>
      </c>
      <c r="L51" s="26" cm="1">
        <f t="array" ref="L51">INDEX(I$23:I$32,B51/2)-MAX(D51-E$15,0)*E$16</f>
        <v>20.156666666666659</v>
      </c>
      <c r="M51" s="26">
        <f t="shared" si="5"/>
        <v>59.016584608851339</v>
      </c>
      <c r="N51" s="40">
        <f t="shared" si="3"/>
        <v>19.42995897109234</v>
      </c>
      <c r="O51" s="29" t="str">
        <f t="shared" si="6"/>
        <v>SAFE</v>
      </c>
    </row>
    <row r="52" spans="2:15">
      <c r="B52" s="18">
        <v>16</v>
      </c>
      <c r="C52" s="26">
        <f t="shared" si="4"/>
        <v>-20.5</v>
      </c>
      <c r="D52" s="26" cm="1">
        <f t="array" ref="D52">INDEX(C$23:C$32,B52/2)+D51</f>
        <v>20.5</v>
      </c>
      <c r="E52" s="26">
        <f t="shared" si="2"/>
        <v>1.62311313098523</v>
      </c>
      <c r="F52" s="26" cm="1">
        <f t="array" ref="F52">INDEX(D$23:D$32,(1+$B52)/2)</f>
        <v>4</v>
      </c>
      <c r="G52" s="26" cm="1">
        <f t="array" ref="G52">INDEX(E$23:E$32,(1+$B52)/2)</f>
        <v>3</v>
      </c>
      <c r="H52" s="26" cm="1">
        <f t="array" ref="H52:J52">Bearing_Capacity_Terzaghis_Factors(RADIANS(G52))</f>
        <v>6.6236503214891371</v>
      </c>
      <c r="I52" s="26">
        <v>1.3471308040966476</v>
      </c>
      <c r="J52" s="26">
        <v>0.22712689181599036</v>
      </c>
      <c r="K52" s="26" cm="1">
        <f t="array" ref="K52">INDEX(F$23:F$32,1+$B52/2) - IF(E$15&gt;D52*2+M$28-E$12,0,E$16)</f>
        <v>1.1504761904761902</v>
      </c>
      <c r="L52" s="26" cm="1">
        <f t="array" ref="L52">INDEX(I$23:I$32,B52/2)-MAX(D52-E$15,0)*E$16</f>
        <v>23.46238095238094</v>
      </c>
      <c r="M52" s="26">
        <f t="shared" si="5"/>
        <v>63.945109900216103</v>
      </c>
      <c r="N52" s="40">
        <f t="shared" si="3"/>
        <v>20.241364473917582</v>
      </c>
      <c r="O52" s="29" t="str">
        <f t="shared" si="6"/>
        <v>SAFE</v>
      </c>
    </row>
    <row r="53" spans="2:15">
      <c r="B53" s="18">
        <v>17</v>
      </c>
      <c r="C53" s="26">
        <f t="shared" si="4"/>
        <v>-20.5</v>
      </c>
      <c r="D53" s="26" cm="1">
        <f t="array" ref="D53">INDEX(C$23:C$32,B53/2)+D51</f>
        <v>20.5</v>
      </c>
      <c r="E53" s="26">
        <f t="shared" si="2"/>
        <v>1.62311313098523</v>
      </c>
      <c r="F53" s="26" cm="1">
        <f t="array" ref="F53">INDEX(D$23:D$32,(1+$B53)/2)</f>
        <v>9</v>
      </c>
      <c r="G53" s="26" cm="1">
        <f t="array" ref="G53">INDEX(E$23:E$32,(1+$B53)/2)</f>
        <v>5</v>
      </c>
      <c r="H53" s="26" cm="1">
        <f t="array" ref="H53:J53">Bearing_Capacity_Terzaghis_Factors(RADIANS(G53))</f>
        <v>7.3366066961192411</v>
      </c>
      <c r="I53" s="26">
        <v>1.6418699146588172</v>
      </c>
      <c r="J53" s="26">
        <v>0.40663622421123891</v>
      </c>
      <c r="K53" s="26" cm="1">
        <f t="array" ref="K53">INDEX(F$23:F$32,1+$B53/2) - IF(E$15&gt;D53*2+M$28-E$12,0,E$16)</f>
        <v>1.1504761904761902</v>
      </c>
      <c r="L53" s="26" cm="1">
        <f t="array" ref="L53">INDEX(I$23:I$32,B53/2)-MAX(D53-E$15,0)*E$16</f>
        <v>23.46238095238094</v>
      </c>
      <c r="M53" s="26">
        <f t="shared" si="5"/>
        <v>116.84116850738712</v>
      </c>
      <c r="N53" s="40">
        <f t="shared" si="3"/>
        <v>46.689393777503092</v>
      </c>
      <c r="O53" s="29" t="str">
        <f t="shared" si="6"/>
        <v>SAFE</v>
      </c>
    </row>
    <row r="54" spans="2:15">
      <c r="B54" s="18">
        <v>18</v>
      </c>
      <c r="C54" s="26">
        <f t="shared" si="4"/>
        <v>-25.5</v>
      </c>
      <c r="D54" s="26" cm="1">
        <f t="array" ref="D54">INDEX(C$23:C$32,B54/2)+D53</f>
        <v>25.5</v>
      </c>
      <c r="E54" s="26">
        <f t="shared" si="2"/>
        <v>1.2688745083111281</v>
      </c>
      <c r="F54" s="26" cm="1">
        <f t="array" ref="F54">INDEX(D$23:D$32,(1+$B54)/2)</f>
        <v>9</v>
      </c>
      <c r="G54" s="26" cm="1">
        <f t="array" ref="G54">INDEX(E$23:E$32,(1+$B54)/2)</f>
        <v>5</v>
      </c>
      <c r="H54" s="26" cm="1">
        <f t="array" ref="H54:J54">Bearing_Capacity_Terzaghis_Factors(RADIANS(G54))</f>
        <v>7.3366066961192411</v>
      </c>
      <c r="I54" s="26">
        <v>1.6418699146588172</v>
      </c>
      <c r="J54" s="26">
        <v>0.40663622421123891</v>
      </c>
      <c r="K54" s="26" cm="1">
        <f t="array" ref="K54">INDEX(F$23:F$32,1+$B54/2) - IF(E$15&gt;D54*2+M$28-E$12,0,E$16)</f>
        <v>1.19904761904762</v>
      </c>
      <c r="L54" s="26" cm="1">
        <f t="array" ref="L54">INDEX(I$23:I$32,B54/2)-MAX(D54-E$15,0)*E$16</f>
        <v>29.214761904761893</v>
      </c>
      <c r="M54" s="26">
        <f t="shared" si="5"/>
        <v>127.62986344312068</v>
      </c>
      <c r="N54" s="40">
        <f t="shared" si="3"/>
        <v>49.207550769179392</v>
      </c>
      <c r="O54" s="29" t="str">
        <f t="shared" si="6"/>
        <v>SAFE</v>
      </c>
    </row>
    <row r="55" spans="2:15" ht="15" thickBot="1">
      <c r="B55" s="33">
        <v>19</v>
      </c>
      <c r="C55" s="34">
        <f t="shared" si="4"/>
        <v>-25.5</v>
      </c>
      <c r="D55" s="34" cm="1">
        <f t="array" ref="D55">INDEX(C$23:C$32,B55/2)+D53</f>
        <v>25.5</v>
      </c>
      <c r="E55" s="34">
        <f t="shared" si="2"/>
        <v>1.2688745083111281</v>
      </c>
      <c r="F55" s="34" cm="1">
        <f t="array" ref="F55">INDEX(D$23:D$32,(1+$B55)/2)</f>
        <v>3</v>
      </c>
      <c r="G55" s="34" cm="1">
        <f t="array" ref="G55">INDEX(E$23:E$32,(1+$B55)/2)</f>
        <v>0</v>
      </c>
      <c r="H55" s="34" cm="1">
        <f t="array" ref="H55:J55">Bearing_Capacity_Terzaghis_Factors(RADIANS(G55))</f>
        <v>5.7</v>
      </c>
      <c r="I55" s="34">
        <v>1</v>
      </c>
      <c r="J55" s="34">
        <v>0</v>
      </c>
      <c r="K55" s="34" cm="1">
        <f t="array" ref="K55">INDEX(F$23:F$32,1+$B55/2) - IF(E$15&gt;D55*2+M$28-E$12,0,E$16)</f>
        <v>1.19904761904762</v>
      </c>
      <c r="L55" s="34" cm="1">
        <f t="array" ref="L55">INDEX(I$23:I$32,B55/2)-MAX(D55-E$15,0)*E$16</f>
        <v>29.214761904761893</v>
      </c>
      <c r="M55" s="34">
        <f t="shared" si="5"/>
        <v>47.9952791461412</v>
      </c>
      <c r="N55" s="41">
        <f t="shared" si="3"/>
        <v>9.3902586206896537</v>
      </c>
      <c r="O55" s="35" t="str">
        <f t="shared" si="6"/>
        <v>SAFE</v>
      </c>
    </row>
    <row r="56" spans="2:15" hidden="1">
      <c r="B56" s="36"/>
      <c r="C56" s="23"/>
      <c r="D56" s="23">
        <f>E12</f>
        <v>2.5</v>
      </c>
      <c r="E56" s="23">
        <f>MATCH(D56,D37:D55,1)</f>
        <v>3</v>
      </c>
      <c r="F56" s="23" cm="1">
        <f t="array" ref="F56">INDEX(D37:D55,E56)</f>
        <v>1</v>
      </c>
      <c r="G56" s="23" cm="1">
        <f t="array" ref="G56">INDEX(D37:D55,E56+1)</f>
        <v>4</v>
      </c>
      <c r="H56" s="23" cm="1">
        <f t="array" ref="H56">INDEX(N37:N55,E56)</f>
        <v>42.197918718599453</v>
      </c>
      <c r="I56" s="23" cm="1">
        <f t="array" ref="I56">INDEX(N37:N55,E56+1)</f>
        <v>52.405320411962379</v>
      </c>
      <c r="J56" s="23" cm="1">
        <f t="array" ref="J56">INDEX(L37:L55,E56)</f>
        <v>1.5</v>
      </c>
      <c r="K56" s="23" cm="1">
        <f t="array" ref="K56">INDEX(L37:L55,E56+1)</f>
        <v>6.8000000000000007</v>
      </c>
      <c r="L56" s="23">
        <f>_xlfn.FORECAST.LINEAR(D56,J56:K56,F56:G56)</f>
        <v>4.1500000000000004</v>
      </c>
      <c r="M56" s="23">
        <v>0</v>
      </c>
      <c r="N56" s="23">
        <v>0</v>
      </c>
      <c r="O56" s="24">
        <v>0</v>
      </c>
    </row>
    <row r="57" spans="2:15">
      <c r="B57" s="150" t="s">
        <v>76</v>
      </c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23">
        <f>_xlfn.FORECAST.LINEAR(E56,H56:I56,F56:G56)</f>
        <v>49.002853180841406</v>
      </c>
      <c r="N57" s="23" t="str">
        <f>IF(M57&gt;M21,"SAFE","UNSAFE")</f>
        <v>SAFE</v>
      </c>
      <c r="O57" s="24"/>
    </row>
    <row r="58" spans="2:15">
      <c r="B58" s="150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23"/>
      <c r="N58" s="23"/>
      <c r="O58" s="24"/>
    </row>
    <row r="59" spans="2:15">
      <c r="B59" s="36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4"/>
    </row>
    <row r="60" spans="2:15">
      <c r="B60" s="36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4"/>
    </row>
    <row r="61" spans="2:15">
      <c r="B61" s="36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4"/>
    </row>
    <row r="62" spans="2:15">
      <c r="B62" s="133" t="s">
        <v>58</v>
      </c>
      <c r="C62" s="134"/>
      <c r="D62" s="134"/>
      <c r="E62" s="134"/>
      <c r="F62" s="134"/>
      <c r="G62" s="134"/>
      <c r="H62" s="134"/>
      <c r="I62" s="134"/>
      <c r="J62" s="22"/>
      <c r="K62" s="22"/>
      <c r="L62" s="22"/>
      <c r="M62" s="22"/>
      <c r="N62" s="22"/>
      <c r="O62" s="25"/>
    </row>
    <row r="63" spans="2:1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5"/>
    </row>
    <row r="64" spans="2:15">
      <c r="B64" s="26" t="s">
        <v>17</v>
      </c>
      <c r="C64" s="26" t="s">
        <v>10</v>
      </c>
      <c r="D64" s="26" t="s">
        <v>48</v>
      </c>
      <c r="E64" s="26" t="s">
        <v>14</v>
      </c>
      <c r="F64" s="26" t="s">
        <v>49</v>
      </c>
      <c r="G64" s="26" t="s">
        <v>38</v>
      </c>
      <c r="H64" s="26" t="s">
        <v>57</v>
      </c>
      <c r="I64" s="26" t="s">
        <v>6</v>
      </c>
      <c r="J64" s="23"/>
      <c r="K64" s="22"/>
      <c r="L64" s="22"/>
      <c r="M64" s="23"/>
      <c r="N64" s="23"/>
      <c r="O64" s="24"/>
    </row>
    <row r="65" spans="2:15">
      <c r="B65" s="18">
        <v>1</v>
      </c>
      <c r="C65" s="44">
        <f>E12+E92/2</f>
        <v>2.9166666666666665</v>
      </c>
      <c r="D65" s="44">
        <f>E93+0.5*E94</f>
        <v>0.125</v>
      </c>
      <c r="E65" s="44" cm="1">
        <f t="array" ref="E65">INDEX(G$22:G$32, MATCH(C65,H$22:H$32,1)+1)</f>
        <v>1240</v>
      </c>
      <c r="F65" s="44">
        <f>D65/E65</f>
        <v>1.0080645161290323E-4</v>
      </c>
      <c r="G65" s="44">
        <f t="shared" ref="G65:G88" si="7">IF(C65&lt;E$12,0,M$26/(E$10+C65)/(C65+E$11))</f>
        <v>5.8799510004083322</v>
      </c>
      <c r="H65" s="44">
        <f>G65/E65</f>
        <v>4.7418959680712355E-3</v>
      </c>
      <c r="I65" s="45">
        <f>-C65</f>
        <v>-2.9166666666666665</v>
      </c>
      <c r="J65" s="23"/>
      <c r="K65" s="22"/>
      <c r="L65" s="22"/>
      <c r="M65" s="23"/>
      <c r="N65" s="23"/>
      <c r="O65" s="24"/>
    </row>
    <row r="66" spans="2:15">
      <c r="B66" s="18">
        <v>2</v>
      </c>
      <c r="C66" s="44">
        <f t="shared" ref="C66:C88" si="8">C65+E$92</f>
        <v>3.75</v>
      </c>
      <c r="D66" s="44">
        <f t="shared" ref="D66:D72" si="9">D65+E$94</f>
        <v>0.17499999999999999</v>
      </c>
      <c r="E66" s="44" cm="1">
        <f t="array" ref="E66">INDEX(G$22:G$32, MATCH(C66,H$22:H$32,1)+1)</f>
        <v>1240</v>
      </c>
      <c r="F66" s="44">
        <f t="shared" ref="F66:F88" si="10">D66/E66</f>
        <v>1.411290322580645E-4</v>
      </c>
      <c r="G66" s="44">
        <f t="shared" si="7"/>
        <v>5.3872053872053884</v>
      </c>
      <c r="H66" s="44">
        <f t="shared" ref="H66:H88" si="11">G66/E66</f>
        <v>4.3445204735527328E-3</v>
      </c>
      <c r="I66" s="45">
        <f t="shared" ref="I66:I88" si="12">-C66</f>
        <v>-3.75</v>
      </c>
      <c r="J66" s="23"/>
      <c r="K66" s="22"/>
      <c r="L66" s="22"/>
      <c r="M66" s="23"/>
      <c r="N66" s="23"/>
      <c r="O66" s="24"/>
    </row>
    <row r="67" spans="2:15">
      <c r="B67" s="18">
        <v>3</v>
      </c>
      <c r="C67" s="44">
        <f t="shared" si="8"/>
        <v>4.583333333333333</v>
      </c>
      <c r="D67" s="44">
        <f t="shared" si="9"/>
        <v>0.22499999999999998</v>
      </c>
      <c r="E67" s="44" cm="1">
        <f t="array" ref="E67">INDEX(G$22:G$32, MATCH(C67,H$22:H$32,1)+1)</f>
        <v>1140</v>
      </c>
      <c r="F67" s="44">
        <f t="shared" si="10"/>
        <v>1.9736842105263155E-4</v>
      </c>
      <c r="G67" s="44">
        <f t="shared" si="7"/>
        <v>4.9569707401032712</v>
      </c>
      <c r="H67" s="44">
        <f t="shared" si="11"/>
        <v>4.3482199474590101E-3</v>
      </c>
      <c r="I67" s="45">
        <f t="shared" si="12"/>
        <v>-4.583333333333333</v>
      </c>
      <c r="J67" s="23"/>
      <c r="K67" s="22"/>
      <c r="L67" s="22"/>
      <c r="M67" s="23"/>
      <c r="N67" s="23"/>
      <c r="O67" s="24"/>
    </row>
    <row r="68" spans="2:15">
      <c r="B68" s="18">
        <v>4</v>
      </c>
      <c r="C68" s="44">
        <f t="shared" si="8"/>
        <v>5.4166666666666661</v>
      </c>
      <c r="D68" s="44">
        <f t="shared" si="9"/>
        <v>0.27499999999999997</v>
      </c>
      <c r="E68" s="44" cm="1">
        <f t="array" ref="E68">INDEX(G$22:G$32, MATCH(C68,H$22:H$32,1)+1)</f>
        <v>1140</v>
      </c>
      <c r="F68" s="44">
        <f t="shared" si="10"/>
        <v>2.4122807017543855E-4</v>
      </c>
      <c r="G68" s="44">
        <f t="shared" si="7"/>
        <v>4.5786963434022274</v>
      </c>
      <c r="H68" s="44">
        <f t="shared" si="11"/>
        <v>4.0164003012300243E-3</v>
      </c>
      <c r="I68" s="45">
        <f t="shared" si="12"/>
        <v>-5.4166666666666661</v>
      </c>
      <c r="J68" s="23"/>
      <c r="K68" s="22"/>
      <c r="L68" s="22"/>
      <c r="M68" s="23"/>
      <c r="N68" s="23"/>
      <c r="O68" s="24"/>
    </row>
    <row r="69" spans="2:15">
      <c r="B69" s="18">
        <v>5</v>
      </c>
      <c r="C69" s="44">
        <f t="shared" si="8"/>
        <v>6.2499999999999991</v>
      </c>
      <c r="D69" s="44">
        <f t="shared" si="9"/>
        <v>0.32499999999999996</v>
      </c>
      <c r="E69" s="44" cm="1">
        <f t="array" ref="E69">INDEX(G$22:G$32, MATCH(C69,H$22:H$32,1)+1)</f>
        <v>1140</v>
      </c>
      <c r="F69" s="44">
        <f t="shared" si="10"/>
        <v>2.8508771929824559E-4</v>
      </c>
      <c r="G69" s="44">
        <f t="shared" si="7"/>
        <v>4.2440318302387272</v>
      </c>
      <c r="H69" s="44">
        <f t="shared" si="11"/>
        <v>3.722834938805901E-3</v>
      </c>
      <c r="I69" s="45">
        <f t="shared" si="12"/>
        <v>-6.2499999999999991</v>
      </c>
      <c r="J69" s="23"/>
      <c r="K69" s="23"/>
      <c r="L69" s="23"/>
      <c r="M69" s="23"/>
      <c r="N69" s="23"/>
      <c r="O69" s="24"/>
    </row>
    <row r="70" spans="2:15">
      <c r="B70" s="18">
        <v>6</v>
      </c>
      <c r="C70" s="44">
        <f t="shared" si="8"/>
        <v>7.0833333333333321</v>
      </c>
      <c r="D70" s="44">
        <f t="shared" si="9"/>
        <v>0.37499999999999994</v>
      </c>
      <c r="E70" s="44" cm="1">
        <f t="array" ref="E70">INDEX(G$22:G$32, MATCH(C70,H$22:H$32,1)+1)</f>
        <v>1140</v>
      </c>
      <c r="F70" s="44">
        <f t="shared" si="10"/>
        <v>3.2894736842105257E-4</v>
      </c>
      <c r="G70" s="44">
        <f t="shared" si="7"/>
        <v>3.9462866538777761</v>
      </c>
      <c r="H70" s="44">
        <f t="shared" si="11"/>
        <v>3.4616549595419088E-3</v>
      </c>
      <c r="I70" s="45">
        <f t="shared" si="12"/>
        <v>-7.0833333333333321</v>
      </c>
      <c r="J70" s="23"/>
      <c r="K70" s="23"/>
      <c r="L70" s="23"/>
      <c r="M70" s="23"/>
      <c r="N70" s="23"/>
      <c r="O70" s="24"/>
    </row>
    <row r="71" spans="2:15" hidden="1">
      <c r="B71" s="18">
        <v>7</v>
      </c>
      <c r="C71" s="44">
        <f t="shared" si="8"/>
        <v>7.9166666666666652</v>
      </c>
      <c r="D71" s="44">
        <f t="shared" si="9"/>
        <v>0.42499999999999993</v>
      </c>
      <c r="E71" s="44" cm="1">
        <f t="array" ref="E71">INDEX(G$22:G$32, MATCH(C71,H$22:H$32,1)+1)</f>
        <v>1140</v>
      </c>
      <c r="F71" s="44">
        <f t="shared" si="10"/>
        <v>3.728070175438596E-4</v>
      </c>
      <c r="G71" s="44">
        <f t="shared" si="7"/>
        <v>3.6800408893432168</v>
      </c>
      <c r="H71" s="44">
        <f t="shared" si="11"/>
        <v>3.2281060432835236E-3</v>
      </c>
      <c r="I71" s="45">
        <f t="shared" si="12"/>
        <v>-7.9166666666666652</v>
      </c>
      <c r="J71" s="23"/>
      <c r="K71" s="23"/>
      <c r="L71" s="23"/>
      <c r="M71" s="23"/>
      <c r="N71" s="23"/>
      <c r="O71" s="24"/>
    </row>
    <row r="72" spans="2:15">
      <c r="B72" s="18">
        <v>8</v>
      </c>
      <c r="C72" s="44">
        <f t="shared" si="8"/>
        <v>8.7499999999999982</v>
      </c>
      <c r="D72" s="44">
        <f t="shared" si="9"/>
        <v>0.47499999999999992</v>
      </c>
      <c r="E72" s="44" cm="1">
        <f t="array" ref="E72">INDEX(G$22:G$32, MATCH(C72,H$22:H$32,1)+1)</f>
        <v>1320</v>
      </c>
      <c r="F72" s="44">
        <f t="shared" si="10"/>
        <v>3.5984848484848478E-4</v>
      </c>
      <c r="G72" s="44">
        <f t="shared" si="7"/>
        <v>3.4408602150537644</v>
      </c>
      <c r="H72" s="44">
        <f t="shared" si="11"/>
        <v>2.6067122841316398E-3</v>
      </c>
      <c r="I72" s="45">
        <f t="shared" si="12"/>
        <v>-8.7499999999999982</v>
      </c>
      <c r="J72" s="23"/>
      <c r="K72" s="23"/>
      <c r="L72" s="23"/>
      <c r="M72" s="23"/>
      <c r="N72" s="23"/>
      <c r="O72" s="24"/>
    </row>
    <row r="73" spans="2:15">
      <c r="B73" s="18">
        <v>9</v>
      </c>
      <c r="C73" s="44">
        <f t="shared" si="8"/>
        <v>9.5833333333333321</v>
      </c>
      <c r="D73" s="44">
        <f>0.484375</f>
        <v>0.484375</v>
      </c>
      <c r="E73" s="44" cm="1">
        <f t="array" ref="E73">INDEX(G$22:G$32, MATCH(C73,H$22:H$32,1)+1)</f>
        <v>1240</v>
      </c>
      <c r="F73" s="44">
        <f t="shared" si="10"/>
        <v>3.9062500000000002E-4</v>
      </c>
      <c r="G73" s="44">
        <f t="shared" si="7"/>
        <v>3.2250839865621512</v>
      </c>
      <c r="H73" s="44">
        <f t="shared" si="11"/>
        <v>2.6008741827114124E-3</v>
      </c>
      <c r="I73" s="45">
        <f t="shared" si="12"/>
        <v>-9.5833333333333321</v>
      </c>
      <c r="J73" s="23"/>
      <c r="K73" s="23"/>
      <c r="L73" s="23"/>
      <c r="M73" s="23"/>
      <c r="N73" s="23"/>
      <c r="O73" s="24"/>
    </row>
    <row r="74" spans="2:15">
      <c r="B74" s="18">
        <v>10</v>
      </c>
      <c r="C74" s="44">
        <f t="shared" si="8"/>
        <v>10.416666666666666</v>
      </c>
      <c r="D74" s="44">
        <f>D73-0.03125</f>
        <v>0.453125</v>
      </c>
      <c r="E74" s="44" cm="1">
        <f t="array" ref="E74">INDEX(G$22:G$32, MATCH(C74,H$22:H$32,1)+1)</f>
        <v>1240</v>
      </c>
      <c r="F74" s="44">
        <f t="shared" si="10"/>
        <v>3.6542338709677421E-4</v>
      </c>
      <c r="G74" s="44">
        <f t="shared" si="7"/>
        <v>3.0296654744371985</v>
      </c>
      <c r="H74" s="44">
        <f t="shared" si="11"/>
        <v>2.4432786084170955E-3</v>
      </c>
      <c r="I74" s="45">
        <f t="shared" si="12"/>
        <v>-10.416666666666666</v>
      </c>
      <c r="J74" s="23"/>
      <c r="K74" s="23"/>
      <c r="L74" s="23"/>
      <c r="M74" s="23"/>
      <c r="N74" s="23"/>
      <c r="O74" s="24"/>
    </row>
    <row r="75" spans="2:15">
      <c r="B75" s="18">
        <v>11</v>
      </c>
      <c r="C75" s="44">
        <f t="shared" si="8"/>
        <v>11.25</v>
      </c>
      <c r="D75" s="44">
        <f t="shared" ref="D75:D88" si="13">D74-0.03125</f>
        <v>0.421875</v>
      </c>
      <c r="E75" s="44" cm="1">
        <f t="array" ref="E75">INDEX(G$22:G$32, MATCH(C75,H$22:H$32,1)+1)</f>
        <v>1240</v>
      </c>
      <c r="F75" s="44">
        <f t="shared" si="10"/>
        <v>3.4022177419354839E-4</v>
      </c>
      <c r="G75" s="44">
        <f t="shared" si="7"/>
        <v>2.8520499108734407</v>
      </c>
      <c r="H75" s="44">
        <f t="shared" si="11"/>
        <v>2.3000402507043875E-3</v>
      </c>
      <c r="I75" s="45">
        <f t="shared" si="12"/>
        <v>-11.25</v>
      </c>
      <c r="J75" s="23"/>
      <c r="K75" s="23"/>
      <c r="L75" s="23"/>
      <c r="M75" s="23"/>
      <c r="N75" s="23"/>
      <c r="O75" s="24"/>
    </row>
    <row r="76" spans="2:15">
      <c r="B76" s="18">
        <v>12</v>
      </c>
      <c r="C76" s="44">
        <f t="shared" si="8"/>
        <v>12.083333333333334</v>
      </c>
      <c r="D76" s="44">
        <f t="shared" si="13"/>
        <v>0.390625</v>
      </c>
      <c r="E76" s="44" cm="1">
        <f t="array" ref="E76">INDEX(G$22:G$32, MATCH(C76,H$22:H$32,1)+1)</f>
        <v>1240</v>
      </c>
      <c r="F76" s="44">
        <f t="shared" si="10"/>
        <v>3.1502016129032257E-4</v>
      </c>
      <c r="G76" s="44">
        <f t="shared" si="7"/>
        <v>2.6900803287875958</v>
      </c>
      <c r="H76" s="44">
        <f t="shared" si="11"/>
        <v>2.1694196199899965E-3</v>
      </c>
      <c r="I76" s="45">
        <f t="shared" si="12"/>
        <v>-12.083333333333334</v>
      </c>
      <c r="J76" s="23"/>
      <c r="K76" s="23"/>
      <c r="L76" s="23"/>
      <c r="M76" s="23"/>
      <c r="N76" s="23"/>
      <c r="O76" s="24"/>
    </row>
    <row r="77" spans="2:15">
      <c r="B77" s="18">
        <v>13</v>
      </c>
      <c r="C77" s="44">
        <f t="shared" si="8"/>
        <v>12.916666666666668</v>
      </c>
      <c r="D77" s="44">
        <f t="shared" si="13"/>
        <v>0.359375</v>
      </c>
      <c r="E77" s="44" cm="1">
        <f t="array" ref="E77">INDEX(G$22:G$32, MATCH(C77,H$22:H$32,1)+1)</f>
        <v>1240</v>
      </c>
      <c r="F77" s="44">
        <f t="shared" si="10"/>
        <v>2.8981854838709676E-4</v>
      </c>
      <c r="G77" s="44">
        <f t="shared" si="7"/>
        <v>2.5419240953221536</v>
      </c>
      <c r="H77" s="44">
        <f t="shared" si="11"/>
        <v>2.0499387865501239E-3</v>
      </c>
      <c r="I77" s="45">
        <f t="shared" si="12"/>
        <v>-12.916666666666668</v>
      </c>
      <c r="J77" s="23"/>
      <c r="K77" s="23"/>
      <c r="L77" s="23"/>
      <c r="M77" s="23"/>
      <c r="N77" s="23"/>
      <c r="O77" s="24"/>
    </row>
    <row r="78" spans="2:15">
      <c r="B78" s="18">
        <v>14</v>
      </c>
      <c r="C78" s="44">
        <f t="shared" si="8"/>
        <v>13.750000000000002</v>
      </c>
      <c r="D78" s="44">
        <f t="shared" si="13"/>
        <v>0.328125</v>
      </c>
      <c r="E78" s="44" cm="1">
        <f t="array" ref="E78">INDEX(G$22:G$32, MATCH(C78,H$22:H$32,1)+1)</f>
        <v>1240</v>
      </c>
      <c r="F78" s="44">
        <f t="shared" si="10"/>
        <v>2.6461693548387099E-4</v>
      </c>
      <c r="G78" s="44">
        <f t="shared" si="7"/>
        <v>2.4060150375939853</v>
      </c>
      <c r="H78" s="44">
        <f t="shared" si="11"/>
        <v>1.9403347077370848E-3</v>
      </c>
      <c r="I78" s="45">
        <f t="shared" si="12"/>
        <v>-13.750000000000002</v>
      </c>
      <c r="J78" s="23"/>
      <c r="K78" s="23"/>
      <c r="L78" s="23"/>
      <c r="M78" s="23"/>
      <c r="N78" s="23"/>
      <c r="O78" s="24"/>
    </row>
    <row r="79" spans="2:15">
      <c r="B79" s="18">
        <v>15</v>
      </c>
      <c r="C79" s="44">
        <f t="shared" si="8"/>
        <v>14.583333333333336</v>
      </c>
      <c r="D79" s="44">
        <f t="shared" si="13"/>
        <v>0.296875</v>
      </c>
      <c r="E79" s="44" cm="1">
        <f t="array" ref="E79">INDEX(G$22:G$32, MATCH(C79,H$22:H$32,1)+1)</f>
        <v>1240</v>
      </c>
      <c r="F79" s="44">
        <f t="shared" si="10"/>
        <v>2.3941532258064515E-4</v>
      </c>
      <c r="G79" s="44">
        <f t="shared" si="7"/>
        <v>2.281007444954855</v>
      </c>
      <c r="H79" s="44">
        <f t="shared" si="11"/>
        <v>1.8395221330281088E-3</v>
      </c>
      <c r="I79" s="45">
        <f t="shared" si="12"/>
        <v>-14.583333333333336</v>
      </c>
      <c r="J79" s="23"/>
      <c r="K79" s="23"/>
      <c r="L79" s="23"/>
      <c r="M79" s="23"/>
      <c r="N79" s="23"/>
      <c r="O79" s="24"/>
    </row>
    <row r="80" spans="2:15">
      <c r="B80" s="18">
        <v>16</v>
      </c>
      <c r="C80" s="44">
        <f t="shared" si="8"/>
        <v>15.41666666666667</v>
      </c>
      <c r="D80" s="44">
        <f t="shared" si="13"/>
        <v>0.265625</v>
      </c>
      <c r="E80" s="44" cm="1">
        <f t="array" ref="E80">INDEX(G$22:G$32, MATCH(C80,H$22:H$32,1)+1)</f>
        <v>1240</v>
      </c>
      <c r="F80" s="44">
        <f t="shared" si="10"/>
        <v>2.1421370967741936E-4</v>
      </c>
      <c r="G80" s="44">
        <f t="shared" si="7"/>
        <v>2.1657392089035943</v>
      </c>
      <c r="H80" s="44">
        <f t="shared" si="11"/>
        <v>1.7465638781480599E-3</v>
      </c>
      <c r="I80" s="45">
        <f t="shared" si="12"/>
        <v>-15.41666666666667</v>
      </c>
      <c r="J80" s="23"/>
      <c r="K80" s="23"/>
      <c r="L80" s="23"/>
      <c r="M80" s="23"/>
      <c r="N80" s="23"/>
      <c r="O80" s="24"/>
    </row>
    <row r="81" spans="2:15">
      <c r="B81" s="18">
        <v>17</v>
      </c>
      <c r="C81" s="44">
        <f t="shared" si="8"/>
        <v>16.250000000000004</v>
      </c>
      <c r="D81" s="44">
        <f t="shared" si="13"/>
        <v>0.234375</v>
      </c>
      <c r="E81" s="44" cm="1">
        <f t="array" ref="E81">INDEX(G$22:G$32, MATCH(C81,H$22:H$32,1)+1)</f>
        <v>1308</v>
      </c>
      <c r="F81" s="44">
        <f t="shared" si="10"/>
        <v>1.7918577981651377E-4</v>
      </c>
      <c r="G81" s="44">
        <f t="shared" si="7"/>
        <v>2.0592020592020592</v>
      </c>
      <c r="H81" s="44">
        <f t="shared" si="11"/>
        <v>1.5743135009190054E-3</v>
      </c>
      <c r="I81" s="45">
        <f t="shared" si="12"/>
        <v>-16.250000000000004</v>
      </c>
      <c r="J81" s="23"/>
      <c r="K81" s="23"/>
      <c r="L81" s="23"/>
      <c r="M81" s="23"/>
      <c r="N81" s="23"/>
      <c r="O81" s="24"/>
    </row>
    <row r="82" spans="2:15">
      <c r="B82" s="18">
        <v>18</v>
      </c>
      <c r="C82" s="44">
        <f t="shared" si="8"/>
        <v>17.083333333333336</v>
      </c>
      <c r="D82" s="44">
        <f t="shared" si="13"/>
        <v>0.203125</v>
      </c>
      <c r="E82" s="44" cm="1">
        <f t="array" ref="E82">INDEX(G$22:G$32, MATCH(C82,H$22:H$32,1)+1)</f>
        <v>1308</v>
      </c>
      <c r="F82" s="44">
        <f t="shared" si="10"/>
        <v>1.5529434250764526E-4</v>
      </c>
      <c r="G82" s="44">
        <f t="shared" si="7"/>
        <v>1.9605173587474474</v>
      </c>
      <c r="H82" s="44">
        <f t="shared" si="11"/>
        <v>1.4988664822228191E-3</v>
      </c>
      <c r="I82" s="45">
        <f t="shared" si="12"/>
        <v>-17.083333333333336</v>
      </c>
      <c r="J82" s="23"/>
      <c r="K82" s="23"/>
      <c r="L82" s="23"/>
      <c r="M82" s="23"/>
      <c r="N82" s="23"/>
      <c r="O82" s="24"/>
    </row>
    <row r="83" spans="2:15">
      <c r="B83" s="18">
        <v>19</v>
      </c>
      <c r="C83" s="44">
        <f t="shared" si="8"/>
        <v>17.916666666666668</v>
      </c>
      <c r="D83" s="44">
        <f t="shared" si="13"/>
        <v>0.171875</v>
      </c>
      <c r="E83" s="44" cm="1">
        <f t="array" ref="E83">INDEX(G$22:G$32, MATCH(C83,H$22:H$32,1)+1)</f>
        <v>1336</v>
      </c>
      <c r="F83" s="44">
        <f t="shared" si="10"/>
        <v>1.2864895209580839E-4</v>
      </c>
      <c r="G83" s="44">
        <f t="shared" si="7"/>
        <v>1.8689162881245944</v>
      </c>
      <c r="H83" s="44">
        <f t="shared" si="11"/>
        <v>1.3988894372190079E-3</v>
      </c>
      <c r="I83" s="45">
        <f t="shared" si="12"/>
        <v>-17.916666666666668</v>
      </c>
      <c r="J83" s="23"/>
      <c r="K83" s="23"/>
      <c r="L83" s="23"/>
      <c r="M83" s="23"/>
      <c r="N83" s="23"/>
      <c r="O83" s="24"/>
    </row>
    <row r="84" spans="2:15">
      <c r="B84" s="18">
        <v>20</v>
      </c>
      <c r="C84" s="44">
        <f t="shared" si="8"/>
        <v>18.75</v>
      </c>
      <c r="D84" s="44">
        <f t="shared" si="13"/>
        <v>0.140625</v>
      </c>
      <c r="E84" s="44" cm="1">
        <f t="array" ref="E84">INDEX(G$22:G$32, MATCH(C84,H$22:H$32,1)+1)</f>
        <v>1336</v>
      </c>
      <c r="F84" s="44">
        <f t="shared" si="10"/>
        <v>1.0525823353293413E-4</v>
      </c>
      <c r="G84" s="44">
        <f t="shared" si="7"/>
        <v>1.7837235228539581</v>
      </c>
      <c r="H84" s="44">
        <f t="shared" si="11"/>
        <v>1.3351223973457769E-3</v>
      </c>
      <c r="I84" s="45">
        <f t="shared" si="12"/>
        <v>-18.75</v>
      </c>
      <c r="J84" s="23"/>
      <c r="K84" s="23"/>
      <c r="L84" s="23"/>
      <c r="M84" s="23"/>
      <c r="N84" s="23"/>
      <c r="O84" s="24"/>
    </row>
    <row r="85" spans="2:15">
      <c r="B85" s="18">
        <v>21</v>
      </c>
      <c r="C85" s="44">
        <f t="shared" si="8"/>
        <v>19.583333333333332</v>
      </c>
      <c r="D85" s="44">
        <f t="shared" si="13"/>
        <v>0.109375</v>
      </c>
      <c r="E85" s="44" cm="1">
        <f t="array" ref="E85">INDEX(G$22:G$32, MATCH(C85,H$22:H$32,1)+1)</f>
        <v>1336</v>
      </c>
      <c r="F85" s="44">
        <f t="shared" si="10"/>
        <v>8.1867514970059875E-5</v>
      </c>
      <c r="G85" s="44">
        <f t="shared" si="7"/>
        <v>1.7043437093147122</v>
      </c>
      <c r="H85" s="44">
        <f t="shared" si="11"/>
        <v>1.2757063692475392E-3</v>
      </c>
      <c r="I85" s="45">
        <f t="shared" si="12"/>
        <v>-19.583333333333332</v>
      </c>
      <c r="J85" s="23"/>
      <c r="K85" s="23"/>
      <c r="L85" s="23"/>
      <c r="M85" s="23"/>
      <c r="N85" s="23"/>
      <c r="O85" s="24"/>
    </row>
    <row r="86" spans="2:15">
      <c r="B86" s="18">
        <v>22</v>
      </c>
      <c r="C86" s="44">
        <f t="shared" si="8"/>
        <v>20.416666666666664</v>
      </c>
      <c r="D86" s="44">
        <f t="shared" si="13"/>
        <v>7.8125E-2</v>
      </c>
      <c r="E86" s="44" cm="1">
        <f t="array" ref="E86">INDEX(G$22:G$32, MATCH(C86,H$22:H$32,1)+1)</f>
        <v>1336</v>
      </c>
      <c r="F86" s="44">
        <f t="shared" si="10"/>
        <v>5.8476796407185629E-5</v>
      </c>
      <c r="G86" s="44">
        <f t="shared" si="7"/>
        <v>1.6302501981206843</v>
      </c>
      <c r="H86" s="44">
        <f t="shared" si="11"/>
        <v>1.2202471542819492E-3</v>
      </c>
      <c r="I86" s="45">
        <f t="shared" si="12"/>
        <v>-20.416666666666664</v>
      </c>
      <c r="J86" s="23"/>
      <c r="K86" s="23"/>
      <c r="L86" s="23"/>
      <c r="M86" s="23"/>
      <c r="N86" s="23"/>
      <c r="O86" s="24"/>
    </row>
    <row r="87" spans="2:15">
      <c r="B87" s="18">
        <v>23</v>
      </c>
      <c r="C87" s="44">
        <f t="shared" si="8"/>
        <v>21.249999999999996</v>
      </c>
      <c r="D87" s="44">
        <f t="shared" si="13"/>
        <v>4.6875E-2</v>
      </c>
      <c r="E87" s="44" cm="1">
        <f t="array" ref="E87">INDEX(G$22:G$32, MATCH(C87,H$22:H$32,1)+1)</f>
        <v>1364</v>
      </c>
      <c r="F87" s="44">
        <f t="shared" si="10"/>
        <v>3.4365835777126103E-5</v>
      </c>
      <c r="G87" s="44">
        <f t="shared" si="7"/>
        <v>1.5609756097560981</v>
      </c>
      <c r="H87" s="44">
        <f t="shared" si="11"/>
        <v>1.1444102710821834E-3</v>
      </c>
      <c r="I87" s="45">
        <f t="shared" si="12"/>
        <v>-21.249999999999996</v>
      </c>
      <c r="J87" s="23"/>
      <c r="K87" s="23"/>
      <c r="L87" s="23"/>
      <c r="M87" s="23"/>
      <c r="N87" s="23"/>
      <c r="O87" s="24"/>
    </row>
    <row r="88" spans="2:15" ht="15" thickBot="1">
      <c r="B88" s="33">
        <v>24</v>
      </c>
      <c r="C88" s="46">
        <f t="shared" si="8"/>
        <v>22.083333333333329</v>
      </c>
      <c r="D88" s="46">
        <f t="shared" si="13"/>
        <v>1.5625E-2</v>
      </c>
      <c r="E88" s="46" cm="1">
        <f t="array" ref="E88">INDEX(G$22:G$32, MATCH(C88,H$22:H$32,1)+1)</f>
        <v>1364</v>
      </c>
      <c r="F88" s="46">
        <f t="shared" si="10"/>
        <v>1.1455278592375367E-5</v>
      </c>
      <c r="G88" s="46">
        <f t="shared" si="7"/>
        <v>1.4961038961038968</v>
      </c>
      <c r="H88" s="46">
        <f t="shared" si="11"/>
        <v>1.0968503637125344E-3</v>
      </c>
      <c r="I88" s="47">
        <f t="shared" si="12"/>
        <v>-22.083333333333329</v>
      </c>
      <c r="J88" s="23"/>
      <c r="K88" s="23"/>
      <c r="L88" s="23"/>
      <c r="M88" s="23"/>
      <c r="N88" s="23"/>
      <c r="O88" s="24"/>
    </row>
    <row r="89" spans="2:15">
      <c r="B89" s="36"/>
      <c r="C89" s="23"/>
      <c r="D89" s="23"/>
      <c r="E89" s="23"/>
      <c r="F89" s="23">
        <f>SUM(F65:F88)</f>
        <v>5.2011301376200065E-3</v>
      </c>
      <c r="G89" s="23"/>
      <c r="H89" s="23">
        <f>SUM(H65:H88)</f>
        <v>5.8104723059393057E-2</v>
      </c>
      <c r="I89" s="23"/>
      <c r="J89" s="23"/>
      <c r="K89" s="23"/>
      <c r="L89" s="23"/>
      <c r="M89" s="23"/>
      <c r="N89" s="23"/>
      <c r="O89" s="24"/>
    </row>
    <row r="90" spans="2:15">
      <c r="B90" s="36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4"/>
    </row>
    <row r="91" spans="2:15">
      <c r="B91" s="144" t="s">
        <v>64</v>
      </c>
      <c r="C91" s="145"/>
      <c r="D91" s="146"/>
      <c r="E91" s="48">
        <f>IF(E10/E11&lt;5,2*E11,4*E11)</f>
        <v>20</v>
      </c>
      <c r="F91" s="22"/>
      <c r="G91" s="23"/>
      <c r="H91" s="23"/>
      <c r="I91" s="23"/>
      <c r="J91" s="23"/>
      <c r="K91" s="23"/>
      <c r="L91" s="22"/>
      <c r="M91" s="22"/>
      <c r="N91" s="23"/>
      <c r="O91" s="24"/>
    </row>
    <row r="92" spans="2:15">
      <c r="B92" s="144" t="s">
        <v>65</v>
      </c>
      <c r="C92" s="145"/>
      <c r="D92" s="146"/>
      <c r="E92" s="48">
        <f>E91/24</f>
        <v>0.83333333333333337</v>
      </c>
      <c r="F92" s="22"/>
      <c r="G92" s="23"/>
      <c r="H92" s="23"/>
      <c r="I92" s="23"/>
      <c r="J92" s="23"/>
      <c r="K92" s="23"/>
      <c r="L92" s="22"/>
      <c r="M92" s="22"/>
      <c r="N92" s="23"/>
      <c r="O92" s="24"/>
    </row>
    <row r="93" spans="2:15">
      <c r="B93" s="144" t="s">
        <v>53</v>
      </c>
      <c r="C93" s="145"/>
      <c r="D93" s="146"/>
      <c r="E93" s="48">
        <f>IF(E10/E11&lt;5,0.1,0.2)</f>
        <v>0.1</v>
      </c>
      <c r="F93" s="22"/>
      <c r="G93" s="23"/>
      <c r="H93" s="23"/>
      <c r="I93" s="23"/>
      <c r="J93" s="23"/>
      <c r="K93" s="23"/>
      <c r="L93" s="22"/>
      <c r="M93" s="22"/>
      <c r="N93" s="23"/>
      <c r="O93" s="24"/>
    </row>
    <row r="94" spans="2:15">
      <c r="B94" s="144" t="s">
        <v>54</v>
      </c>
      <c r="C94" s="145"/>
      <c r="D94" s="146"/>
      <c r="E94" s="48">
        <f>IF(E10/E11&lt;5,0.05,0.0375)</f>
        <v>0.05</v>
      </c>
      <c r="F94" s="22"/>
      <c r="G94" s="23"/>
      <c r="H94" s="23"/>
      <c r="I94" s="23"/>
      <c r="J94" s="23"/>
      <c r="K94" s="23"/>
      <c r="L94" s="22"/>
      <c r="M94" s="22"/>
      <c r="N94" s="23"/>
      <c r="O94" s="24"/>
    </row>
    <row r="95" spans="2:15">
      <c r="B95" s="144" t="s">
        <v>60</v>
      </c>
      <c r="C95" s="145"/>
      <c r="D95" s="146"/>
      <c r="E95" s="49">
        <v>10</v>
      </c>
      <c r="F95" s="23" t="s">
        <v>61</v>
      </c>
      <c r="G95" s="23"/>
      <c r="H95" s="23"/>
      <c r="I95" s="23"/>
      <c r="J95" s="23"/>
      <c r="K95" s="23"/>
      <c r="L95" s="23"/>
      <c r="M95" s="22"/>
      <c r="N95" s="23"/>
      <c r="O95" s="24"/>
    </row>
    <row r="96" spans="2:15">
      <c r="B96" s="144" t="s">
        <v>50</v>
      </c>
      <c r="C96" s="145"/>
      <c r="D96" s="146"/>
      <c r="E96" s="48">
        <f>1-0.3*E11/E10</f>
        <v>0.9</v>
      </c>
      <c r="F96" s="23"/>
      <c r="G96" s="22"/>
      <c r="H96" s="22"/>
      <c r="I96" s="22"/>
      <c r="J96" s="22"/>
      <c r="K96" s="22"/>
      <c r="L96" s="22"/>
      <c r="M96" s="22"/>
      <c r="N96" s="22"/>
      <c r="O96" s="25"/>
    </row>
    <row r="97" spans="2:15">
      <c r="B97" s="144" t="s">
        <v>51</v>
      </c>
      <c r="C97" s="145"/>
      <c r="D97" s="146"/>
      <c r="E97" s="48">
        <f>1-0.5*L56/M21</f>
        <v>0.751</v>
      </c>
      <c r="F97" s="23"/>
      <c r="G97" s="22"/>
      <c r="H97" s="22"/>
      <c r="I97" s="22"/>
      <c r="J97" s="22"/>
      <c r="K97" s="22"/>
      <c r="L97" s="22"/>
      <c r="M97" s="22"/>
      <c r="N97" s="22"/>
      <c r="O97" s="25"/>
    </row>
    <row r="98" spans="2:15">
      <c r="B98" s="144" t="s">
        <v>52</v>
      </c>
      <c r="C98" s="145"/>
      <c r="D98" s="146"/>
      <c r="E98" s="48">
        <f>IF(E95&gt;1,1+0.2*LOG10(10*E95),1)</f>
        <v>1.4</v>
      </c>
      <c r="F98" s="23"/>
      <c r="G98" s="22"/>
      <c r="H98" s="22"/>
      <c r="I98" s="22"/>
      <c r="J98" s="22"/>
      <c r="K98" s="22"/>
      <c r="L98" s="22"/>
      <c r="M98" s="22"/>
      <c r="N98" s="22"/>
      <c r="O98" s="25"/>
    </row>
    <row r="99" spans="2:15">
      <c r="B99" s="144" t="s">
        <v>73</v>
      </c>
      <c r="C99" s="145"/>
      <c r="D99" s="146"/>
      <c r="E99" s="42">
        <f>E98*E97*E96*F89*E92*M21</f>
        <v>3.4177926416835466E-2</v>
      </c>
      <c r="F99" s="23" t="s">
        <v>21</v>
      </c>
      <c r="G99" s="16">
        <f>E99*1000</f>
        <v>34.177926416835469</v>
      </c>
      <c r="H99" s="22" t="s">
        <v>75</v>
      </c>
      <c r="I99" s="22"/>
      <c r="J99" s="22"/>
      <c r="K99" s="22"/>
      <c r="L99" s="22"/>
      <c r="M99" s="22"/>
      <c r="N99" s="22"/>
      <c r="O99" s="25"/>
    </row>
    <row r="100" spans="2:15" ht="15" thickBot="1">
      <c r="B100" s="147" t="s">
        <v>74</v>
      </c>
      <c r="C100" s="148"/>
      <c r="D100" s="149"/>
      <c r="E100" s="43">
        <f>H89</f>
        <v>5.8104723059393057E-2</v>
      </c>
      <c r="F100" s="37" t="s">
        <v>21</v>
      </c>
      <c r="G100" s="16">
        <f>E100*1000</f>
        <v>58.104723059393059</v>
      </c>
      <c r="H100" s="38" t="s">
        <v>75</v>
      </c>
      <c r="I100" s="38"/>
      <c r="J100" s="38"/>
      <c r="K100" s="38"/>
      <c r="L100" s="38"/>
      <c r="M100" s="38"/>
      <c r="N100" s="38"/>
      <c r="O100" s="39"/>
    </row>
  </sheetData>
  <mergeCells count="38">
    <mergeCell ref="B62:I62"/>
    <mergeCell ref="B57:L57"/>
    <mergeCell ref="B58:L58"/>
    <mergeCell ref="B97:D97"/>
    <mergeCell ref="B98:D98"/>
    <mergeCell ref="B99:D99"/>
    <mergeCell ref="B100:D100"/>
    <mergeCell ref="B91:D91"/>
    <mergeCell ref="B92:D92"/>
    <mergeCell ref="B93:D93"/>
    <mergeCell ref="B94:D94"/>
    <mergeCell ref="B95:D95"/>
    <mergeCell ref="B96:D96"/>
    <mergeCell ref="B34:O34"/>
    <mergeCell ref="B20:I20"/>
    <mergeCell ref="B4:O4"/>
    <mergeCell ref="K21:L21"/>
    <mergeCell ref="K23:L23"/>
    <mergeCell ref="K26:L26"/>
    <mergeCell ref="K24:L24"/>
    <mergeCell ref="K32:L32"/>
    <mergeCell ref="B18:O18"/>
    <mergeCell ref="K20:O20"/>
    <mergeCell ref="K25:O25"/>
    <mergeCell ref="K27:L27"/>
    <mergeCell ref="K28:L28"/>
    <mergeCell ref="K29:L29"/>
    <mergeCell ref="K30:L30"/>
    <mergeCell ref="B7:D7"/>
    <mergeCell ref="B13:D13"/>
    <mergeCell ref="B14:D14"/>
    <mergeCell ref="B15:D15"/>
    <mergeCell ref="B16:D16"/>
    <mergeCell ref="B8:D8"/>
    <mergeCell ref="B9:D9"/>
    <mergeCell ref="B10:D10"/>
    <mergeCell ref="B11:D11"/>
    <mergeCell ref="B12:D12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1B05-CEEF-4EA2-B1C2-9589C15D7678}">
  <sheetPr codeName="Sheet8"/>
  <dimension ref="B2:J91"/>
  <sheetViews>
    <sheetView topLeftCell="A79" zoomScaleNormal="100" workbookViewId="0">
      <selection activeCell="E35" sqref="E35"/>
    </sheetView>
  </sheetViews>
  <sheetFormatPr defaultRowHeight="14.4"/>
  <cols>
    <col min="1" max="1" width="8.88671875" style="22"/>
    <col min="2" max="2" width="8.88671875" style="31"/>
    <col min="3" max="3" width="10.21875" style="72" customWidth="1"/>
    <col min="4" max="4" width="8.88671875" style="60"/>
    <col min="5" max="5" width="8.88671875" style="77"/>
    <col min="6" max="6" width="8.88671875" style="61"/>
    <col min="7" max="16384" width="8.88671875" style="22"/>
  </cols>
  <sheetData>
    <row r="2" spans="2:10" ht="15" thickBot="1"/>
    <row r="3" spans="2:10" ht="15" thickBot="1">
      <c r="B3" s="154" t="s">
        <v>161</v>
      </c>
      <c r="C3" s="155"/>
      <c r="D3" s="155"/>
      <c r="E3" s="155"/>
      <c r="F3" s="155"/>
      <c r="G3" s="155"/>
      <c r="H3" s="155"/>
      <c r="I3" s="155"/>
      <c r="J3" s="156"/>
    </row>
    <row r="4" spans="2:10">
      <c r="B4" s="53"/>
      <c r="C4" s="73"/>
      <c r="D4" s="62"/>
      <c r="E4" s="71"/>
      <c r="F4" s="59"/>
      <c r="G4" s="55"/>
      <c r="H4" s="55"/>
      <c r="I4" s="55"/>
      <c r="J4" s="50"/>
    </row>
    <row r="5" spans="2:10">
      <c r="B5" s="152" t="s">
        <v>93</v>
      </c>
      <c r="C5" s="153"/>
      <c r="D5" s="153"/>
      <c r="E5" s="153"/>
      <c r="F5" s="153"/>
      <c r="G5" s="55"/>
      <c r="H5" s="55"/>
      <c r="I5" s="55"/>
      <c r="J5" s="50"/>
    </row>
    <row r="6" spans="2:10">
      <c r="B6" s="53" t="s">
        <v>66</v>
      </c>
      <c r="C6" s="73"/>
      <c r="D6" s="62" t="s">
        <v>81</v>
      </c>
      <c r="E6" s="86">
        <v>100</v>
      </c>
      <c r="F6" s="59" t="s">
        <v>20</v>
      </c>
      <c r="G6" s="55"/>
      <c r="H6" s="55"/>
      <c r="I6" s="55"/>
      <c r="J6" s="50"/>
    </row>
    <row r="7" spans="2:10">
      <c r="B7" s="53" t="s">
        <v>82</v>
      </c>
      <c r="C7" s="73"/>
      <c r="D7" s="62" t="s">
        <v>18</v>
      </c>
      <c r="E7" s="86">
        <v>0</v>
      </c>
      <c r="F7" s="59" t="s">
        <v>21</v>
      </c>
      <c r="G7" s="55"/>
      <c r="H7" s="55"/>
      <c r="I7" s="55"/>
      <c r="J7" s="50"/>
    </row>
    <row r="8" spans="2:10">
      <c r="B8" s="53" t="s">
        <v>83</v>
      </c>
      <c r="C8" s="73"/>
      <c r="D8" s="62" t="s">
        <v>19</v>
      </c>
      <c r="E8" s="86">
        <v>0</v>
      </c>
      <c r="F8" s="59" t="s">
        <v>21</v>
      </c>
      <c r="G8" s="55"/>
      <c r="H8" s="55"/>
      <c r="I8" s="55"/>
      <c r="J8" s="50"/>
    </row>
    <row r="9" spans="2:10">
      <c r="B9" s="53"/>
      <c r="C9" s="73"/>
      <c r="D9" s="62"/>
      <c r="E9" s="81"/>
      <c r="F9" s="63"/>
      <c r="G9" s="55"/>
      <c r="H9" s="55"/>
      <c r="I9" s="55"/>
      <c r="J9" s="50"/>
    </row>
    <row r="10" spans="2:10">
      <c r="B10" s="152" t="s">
        <v>165</v>
      </c>
      <c r="C10" s="153"/>
      <c r="D10" s="153"/>
      <c r="E10" s="153"/>
      <c r="F10" s="153"/>
      <c r="G10" s="55"/>
      <c r="H10" s="55"/>
      <c r="I10" s="55"/>
      <c r="J10" s="50"/>
    </row>
    <row r="11" spans="2:10">
      <c r="B11" s="53" t="s">
        <v>68</v>
      </c>
      <c r="C11" s="73"/>
      <c r="D11" s="62" t="s">
        <v>153</v>
      </c>
      <c r="E11" s="86">
        <v>3</v>
      </c>
      <c r="F11" s="59" t="s">
        <v>21</v>
      </c>
      <c r="G11" s="55"/>
      <c r="H11" s="55"/>
      <c r="I11" s="55"/>
      <c r="J11" s="50"/>
    </row>
    <row r="12" spans="2:10">
      <c r="B12" s="53" t="s">
        <v>67</v>
      </c>
      <c r="C12" s="73"/>
      <c r="D12" s="62" t="s">
        <v>152</v>
      </c>
      <c r="E12" s="86">
        <v>3</v>
      </c>
      <c r="F12" s="59" t="s">
        <v>21</v>
      </c>
      <c r="G12" s="55"/>
      <c r="H12" s="55"/>
      <c r="I12" s="55"/>
      <c r="J12" s="50"/>
    </row>
    <row r="13" spans="2:10">
      <c r="B13" s="53" t="s">
        <v>71</v>
      </c>
      <c r="C13" s="73"/>
      <c r="D13" s="62" t="s">
        <v>85</v>
      </c>
      <c r="E13" s="86">
        <v>0.5</v>
      </c>
      <c r="F13" s="59" t="s">
        <v>21</v>
      </c>
      <c r="G13" s="55"/>
      <c r="H13" s="55"/>
      <c r="I13" s="55"/>
      <c r="J13" s="50"/>
    </row>
    <row r="14" spans="2:10">
      <c r="B14" s="53" t="s">
        <v>127</v>
      </c>
      <c r="C14" s="73"/>
      <c r="D14" s="62"/>
      <c r="E14" s="86">
        <v>7</v>
      </c>
      <c r="F14" s="59" t="s">
        <v>128</v>
      </c>
      <c r="G14" s="55"/>
      <c r="H14" s="55"/>
      <c r="I14" s="55"/>
      <c r="J14" s="50"/>
    </row>
    <row r="15" spans="2:10">
      <c r="B15" s="53"/>
      <c r="C15" s="73"/>
      <c r="D15" s="62"/>
      <c r="E15" s="81"/>
      <c r="F15" s="63"/>
      <c r="G15" s="55"/>
      <c r="H15" s="55"/>
      <c r="I15" s="55"/>
      <c r="J15" s="50"/>
    </row>
    <row r="16" spans="2:10">
      <c r="B16" s="152" t="s">
        <v>166</v>
      </c>
      <c r="C16" s="153"/>
      <c r="D16" s="153"/>
      <c r="E16" s="153"/>
      <c r="F16" s="153"/>
      <c r="G16" s="55"/>
      <c r="H16" s="55"/>
      <c r="I16" s="55"/>
      <c r="J16" s="50"/>
    </row>
    <row r="17" spans="2:10">
      <c r="B17" s="53" t="s">
        <v>119</v>
      </c>
      <c r="C17" s="73"/>
      <c r="D17" s="62" t="s">
        <v>4</v>
      </c>
      <c r="E17" s="86">
        <v>0.3</v>
      </c>
      <c r="F17" s="59" t="s">
        <v>21</v>
      </c>
      <c r="G17" s="55"/>
      <c r="H17" s="55"/>
      <c r="I17" s="55"/>
      <c r="J17" s="50"/>
    </row>
    <row r="18" spans="2:10">
      <c r="B18" s="53" t="s">
        <v>120</v>
      </c>
      <c r="C18" s="73"/>
      <c r="D18" s="62" t="s">
        <v>16</v>
      </c>
      <c r="E18" s="86">
        <v>0.9</v>
      </c>
      <c r="F18" s="59" t="s">
        <v>21</v>
      </c>
      <c r="G18" s="55"/>
      <c r="H18" s="55"/>
      <c r="I18" s="55"/>
      <c r="J18" s="50"/>
    </row>
    <row r="19" spans="2:10">
      <c r="B19" s="53"/>
      <c r="C19" s="73"/>
      <c r="D19" s="62"/>
      <c r="E19" s="81"/>
      <c r="F19" s="63"/>
      <c r="G19" s="73"/>
      <c r="H19" s="55"/>
      <c r="I19" s="55"/>
      <c r="J19" s="50"/>
    </row>
    <row r="20" spans="2:10">
      <c r="B20" s="152" t="s">
        <v>167</v>
      </c>
      <c r="C20" s="153"/>
      <c r="D20" s="153"/>
      <c r="E20" s="153"/>
      <c r="F20" s="153"/>
      <c r="G20" s="73"/>
      <c r="H20" s="55"/>
      <c r="I20" s="55"/>
      <c r="J20" s="50"/>
    </row>
    <row r="21" spans="2:10">
      <c r="B21" s="53" t="s">
        <v>70</v>
      </c>
      <c r="C21" s="73"/>
      <c r="D21" s="62" t="s">
        <v>84</v>
      </c>
      <c r="E21" s="86">
        <v>2.5</v>
      </c>
      <c r="F21" s="59" t="s">
        <v>90</v>
      </c>
      <c r="G21" s="55"/>
      <c r="H21" s="55"/>
      <c r="I21" s="55"/>
      <c r="J21" s="50"/>
    </row>
    <row r="22" spans="2:10">
      <c r="B22" s="53" t="s">
        <v>72</v>
      </c>
      <c r="C22" s="73"/>
      <c r="D22" s="62" t="s">
        <v>87</v>
      </c>
      <c r="E22" s="86">
        <v>1</v>
      </c>
      <c r="F22" s="59" t="s">
        <v>90</v>
      </c>
      <c r="G22" s="55"/>
      <c r="H22" s="55"/>
      <c r="I22" s="55"/>
      <c r="J22" s="50"/>
    </row>
    <row r="23" spans="2:10">
      <c r="B23" s="53" t="s">
        <v>170</v>
      </c>
      <c r="C23" s="73"/>
      <c r="D23" s="62" t="s">
        <v>171</v>
      </c>
      <c r="E23" s="86">
        <v>1.9</v>
      </c>
      <c r="F23" s="63" t="s">
        <v>90</v>
      </c>
      <c r="G23" s="55"/>
      <c r="H23" s="55"/>
      <c r="I23" s="55"/>
      <c r="J23" s="50"/>
    </row>
    <row r="24" spans="2:10">
      <c r="B24" s="53"/>
      <c r="C24" s="73"/>
      <c r="D24" s="62"/>
      <c r="E24" s="81"/>
      <c r="F24" s="63"/>
      <c r="G24" s="55"/>
      <c r="H24" s="55"/>
      <c r="I24" s="55"/>
      <c r="J24" s="50"/>
    </row>
    <row r="25" spans="2:10">
      <c r="B25" s="53"/>
      <c r="C25" s="73"/>
      <c r="D25" s="62"/>
      <c r="E25" s="81"/>
      <c r="F25" s="63"/>
      <c r="G25" s="55"/>
      <c r="H25" s="55"/>
      <c r="I25" s="55"/>
      <c r="J25" s="50"/>
    </row>
    <row r="26" spans="2:10">
      <c r="B26" s="152" t="s">
        <v>168</v>
      </c>
      <c r="C26" s="153"/>
      <c r="D26" s="153"/>
      <c r="E26" s="153"/>
      <c r="F26" s="153"/>
      <c r="G26" s="55"/>
      <c r="H26" s="55"/>
      <c r="I26" s="55"/>
      <c r="J26" s="50"/>
    </row>
    <row r="27" spans="2:10">
      <c r="B27" s="53" t="s">
        <v>162</v>
      </c>
      <c r="C27" s="73"/>
      <c r="D27" s="62" t="s">
        <v>95</v>
      </c>
      <c r="E27" s="87">
        <v>18</v>
      </c>
      <c r="F27" s="59" t="s">
        <v>91</v>
      </c>
      <c r="G27" s="55"/>
      <c r="H27" s="55"/>
      <c r="I27" s="55"/>
      <c r="J27" s="50"/>
    </row>
    <row r="28" spans="2:10">
      <c r="B28" s="53" t="s">
        <v>78</v>
      </c>
      <c r="C28" s="73"/>
      <c r="D28" s="62" t="s">
        <v>79</v>
      </c>
      <c r="E28" s="86">
        <v>0.5</v>
      </c>
      <c r="F28" s="59" t="s">
        <v>91</v>
      </c>
      <c r="G28" s="55"/>
      <c r="H28" s="55"/>
      <c r="I28" s="55"/>
      <c r="J28" s="50"/>
    </row>
    <row r="29" spans="2:10">
      <c r="B29" s="53" t="s">
        <v>86</v>
      </c>
      <c r="C29" s="73"/>
      <c r="D29" s="62" t="s">
        <v>23</v>
      </c>
      <c r="E29" s="86">
        <v>3</v>
      </c>
      <c r="F29" s="59" t="s">
        <v>21</v>
      </c>
      <c r="G29" s="55"/>
      <c r="H29" s="55"/>
      <c r="I29" s="55"/>
      <c r="J29" s="50"/>
    </row>
    <row r="30" spans="2:10">
      <c r="B30" s="53" t="s">
        <v>169</v>
      </c>
      <c r="C30" s="73"/>
      <c r="D30" s="62" t="s">
        <v>22</v>
      </c>
      <c r="E30" s="86">
        <v>1.5</v>
      </c>
      <c r="F30" s="59" t="s">
        <v>21</v>
      </c>
      <c r="G30" s="55"/>
      <c r="H30" s="55"/>
      <c r="I30" s="55"/>
      <c r="J30" s="50"/>
    </row>
    <row r="31" spans="2:10">
      <c r="B31" s="53"/>
      <c r="C31" s="63"/>
      <c r="D31" s="63"/>
      <c r="E31" s="63"/>
      <c r="F31" s="63"/>
      <c r="G31" s="55"/>
      <c r="H31" s="55"/>
      <c r="I31" s="55"/>
      <c r="J31" s="50"/>
    </row>
    <row r="32" spans="2:10">
      <c r="B32" s="53"/>
      <c r="C32" s="73"/>
      <c r="D32" s="62"/>
      <c r="E32" s="81"/>
      <c r="F32" s="63"/>
      <c r="G32" s="55"/>
      <c r="H32" s="55"/>
      <c r="I32" s="55"/>
      <c r="J32" s="50"/>
    </row>
    <row r="33" spans="2:10">
      <c r="B33" s="152" t="s">
        <v>111</v>
      </c>
      <c r="C33" s="153"/>
      <c r="D33" s="153"/>
      <c r="E33" s="153"/>
      <c r="F33" s="153"/>
      <c r="G33" s="55"/>
      <c r="H33" s="55"/>
      <c r="I33" s="55"/>
      <c r="J33" s="50"/>
    </row>
    <row r="34" spans="2:10">
      <c r="B34" s="53" t="s">
        <v>105</v>
      </c>
      <c r="C34" s="73"/>
      <c r="D34" s="62" t="s">
        <v>98</v>
      </c>
      <c r="E34" s="86">
        <v>300</v>
      </c>
      <c r="F34" s="59" t="s">
        <v>104</v>
      </c>
      <c r="G34" s="55"/>
      <c r="H34" s="55"/>
      <c r="I34" s="55"/>
      <c r="J34" s="50"/>
    </row>
    <row r="35" spans="2:10">
      <c r="B35" s="53" t="s">
        <v>106</v>
      </c>
      <c r="C35" s="73"/>
      <c r="D35" s="62" t="s">
        <v>102</v>
      </c>
      <c r="E35" s="71">
        <f>POWER(E34,2/3)*1.5</f>
        <v>67.221071198357436</v>
      </c>
      <c r="F35" s="59" t="s">
        <v>104</v>
      </c>
      <c r="G35" s="55"/>
      <c r="H35" s="55"/>
      <c r="I35" s="55"/>
      <c r="J35" s="50"/>
    </row>
    <row r="36" spans="2:10">
      <c r="B36" s="53" t="s">
        <v>107</v>
      </c>
      <c r="C36" s="73"/>
      <c r="D36" s="62" t="s">
        <v>103</v>
      </c>
      <c r="E36" s="71">
        <f>POWER(E34,2/3)*2.35</f>
        <v>105.31301154409333</v>
      </c>
      <c r="F36" s="59" t="s">
        <v>104</v>
      </c>
      <c r="G36" s="55"/>
      <c r="H36" s="55"/>
      <c r="I36" s="55"/>
      <c r="J36" s="50"/>
    </row>
    <row r="37" spans="2:10">
      <c r="B37" s="53" t="s">
        <v>142</v>
      </c>
      <c r="C37" s="73"/>
      <c r="D37" s="62" t="s">
        <v>101</v>
      </c>
      <c r="E37" s="71">
        <f>0.1*E35</f>
        <v>6.7221071198357443</v>
      </c>
      <c r="F37" s="59" t="s">
        <v>104</v>
      </c>
      <c r="G37" s="55"/>
      <c r="H37" s="55"/>
      <c r="I37" s="55"/>
      <c r="J37" s="50"/>
    </row>
    <row r="38" spans="2:10">
      <c r="B38" s="53" t="s">
        <v>143</v>
      </c>
      <c r="C38" s="73"/>
      <c r="D38" s="62" t="s">
        <v>124</v>
      </c>
      <c r="E38" s="71">
        <f>0.155*E35</f>
        <v>10.419266035745402</v>
      </c>
      <c r="F38" s="59" t="s">
        <v>104</v>
      </c>
      <c r="G38" s="55"/>
      <c r="H38" s="55"/>
      <c r="I38" s="55"/>
      <c r="J38" s="50"/>
    </row>
    <row r="39" spans="2:10">
      <c r="B39" s="53" t="s">
        <v>144</v>
      </c>
      <c r="C39" s="73"/>
      <c r="D39" s="62" t="s">
        <v>145</v>
      </c>
      <c r="E39" s="71">
        <f>E36/12.5</f>
        <v>8.425040923527467</v>
      </c>
      <c r="F39" s="59"/>
      <c r="G39" s="55"/>
      <c r="H39" s="55"/>
      <c r="I39" s="55"/>
      <c r="J39" s="50"/>
    </row>
    <row r="40" spans="2:10">
      <c r="B40" s="53"/>
      <c r="C40" s="73"/>
      <c r="D40" s="62"/>
      <c r="E40" s="71"/>
      <c r="F40" s="59"/>
      <c r="G40" s="55"/>
      <c r="H40" s="55"/>
      <c r="I40" s="55"/>
      <c r="J40" s="50"/>
    </row>
    <row r="41" spans="2:10">
      <c r="B41" s="152" t="s">
        <v>110</v>
      </c>
      <c r="C41" s="153"/>
      <c r="D41" s="153"/>
      <c r="E41" s="153"/>
      <c r="F41" s="153"/>
      <c r="G41" s="55"/>
      <c r="H41" s="55"/>
      <c r="I41" s="55"/>
      <c r="J41" s="50"/>
    </row>
    <row r="42" spans="2:10">
      <c r="B42" s="53" t="s">
        <v>108</v>
      </c>
      <c r="C42" s="73"/>
      <c r="D42" s="62" t="s">
        <v>99</v>
      </c>
      <c r="E42" s="86">
        <v>3600</v>
      </c>
      <c r="F42" s="59" t="s">
        <v>104</v>
      </c>
      <c r="G42" s="55"/>
      <c r="H42" s="55"/>
      <c r="I42" s="55"/>
      <c r="J42" s="50"/>
    </row>
    <row r="43" spans="2:10">
      <c r="B43" s="53" t="s">
        <v>109</v>
      </c>
      <c r="C43" s="73"/>
      <c r="D43" s="62" t="s">
        <v>100</v>
      </c>
      <c r="E43" s="71">
        <f>0.58*E42</f>
        <v>2088</v>
      </c>
      <c r="F43" s="59" t="s">
        <v>104</v>
      </c>
      <c r="G43" s="55"/>
      <c r="H43" s="55"/>
      <c r="I43" s="55"/>
      <c r="J43" s="50"/>
    </row>
    <row r="44" spans="2:10">
      <c r="B44" s="53"/>
      <c r="C44" s="73"/>
      <c r="D44" s="62"/>
      <c r="E44" s="71"/>
      <c r="F44" s="59"/>
      <c r="G44" s="55"/>
      <c r="H44" s="55"/>
      <c r="I44" s="55"/>
      <c r="J44" s="50"/>
    </row>
    <row r="45" spans="2:10" ht="15" thickBot="1">
      <c r="B45" s="58"/>
      <c r="C45" s="74"/>
      <c r="D45" s="65"/>
      <c r="E45" s="78"/>
      <c r="F45" s="57"/>
      <c r="G45" s="51"/>
      <c r="H45" s="51"/>
      <c r="I45" s="51"/>
      <c r="J45" s="52"/>
    </row>
    <row r="46" spans="2:10">
      <c r="E46" s="79"/>
      <c r="F46" s="23"/>
    </row>
    <row r="47" spans="2:10" ht="15" thickBot="1">
      <c r="E47" s="79"/>
      <c r="F47" s="23"/>
    </row>
    <row r="48" spans="2:10">
      <c r="B48" s="76"/>
      <c r="C48" s="75"/>
      <c r="D48" s="68"/>
      <c r="E48" s="80"/>
      <c r="F48" s="69"/>
      <c r="G48" s="67"/>
      <c r="H48" s="67"/>
      <c r="I48" s="67"/>
      <c r="J48" s="70"/>
    </row>
    <row r="49" spans="2:10">
      <c r="B49" s="152" t="s">
        <v>2</v>
      </c>
      <c r="C49" s="153"/>
      <c r="D49" s="153"/>
      <c r="E49" s="153"/>
      <c r="F49" s="153"/>
      <c r="G49" s="55"/>
      <c r="H49" s="55"/>
      <c r="I49" s="55"/>
      <c r="J49" s="50"/>
    </row>
    <row r="50" spans="2:10">
      <c r="B50" s="53" t="s">
        <v>88</v>
      </c>
      <c r="C50" s="73"/>
      <c r="D50" s="62" t="s">
        <v>112</v>
      </c>
      <c r="E50" s="71">
        <f>E54*(1+6*E7/E11+6*E8/E12)</f>
        <v>11.111111111111112</v>
      </c>
      <c r="F50" s="59" t="s">
        <v>91</v>
      </c>
      <c r="G50" s="55"/>
      <c r="H50" s="55"/>
      <c r="I50" s="55"/>
      <c r="J50" s="50"/>
    </row>
    <row r="51" spans="2:10">
      <c r="B51" s="53"/>
      <c r="C51" s="73"/>
      <c r="D51" s="62" t="s">
        <v>113</v>
      </c>
      <c r="E51" s="71">
        <f>E54*(1-6*E7/E11+6*E8/E12)</f>
        <v>11.111111111111112</v>
      </c>
      <c r="F51" s="59" t="s">
        <v>91</v>
      </c>
      <c r="G51" s="55"/>
      <c r="H51" s="55"/>
      <c r="I51" s="55"/>
      <c r="J51" s="50"/>
    </row>
    <row r="52" spans="2:10">
      <c r="B52" s="53"/>
      <c r="C52" s="73"/>
      <c r="D52" s="62" t="s">
        <v>114</v>
      </c>
      <c r="E52" s="71">
        <f>E54*(1+6*E7/E11-6*E8/E12)</f>
        <v>11.111111111111112</v>
      </c>
      <c r="F52" s="59" t="s">
        <v>91</v>
      </c>
      <c r="G52" s="55"/>
      <c r="H52" s="55"/>
      <c r="I52" s="55"/>
      <c r="J52" s="50"/>
    </row>
    <row r="53" spans="2:10">
      <c r="B53" s="53" t="s">
        <v>89</v>
      </c>
      <c r="C53" s="73"/>
      <c r="D53" s="62" t="s">
        <v>115</v>
      </c>
      <c r="E53" s="71">
        <f>E54*(1-6*E7/E11-6*E8/E12)</f>
        <v>11.111111111111112</v>
      </c>
      <c r="F53" s="59" t="s">
        <v>91</v>
      </c>
      <c r="G53" s="55"/>
      <c r="H53" s="55"/>
      <c r="I53" s="55"/>
      <c r="J53" s="50"/>
    </row>
    <row r="54" spans="2:10">
      <c r="B54" s="53"/>
      <c r="C54" s="73"/>
      <c r="D54" s="62" t="s">
        <v>116</v>
      </c>
      <c r="E54" s="71">
        <f>E6/E12/E11</f>
        <v>11.111111111111112</v>
      </c>
      <c r="F54" s="59" t="s">
        <v>91</v>
      </c>
      <c r="G54" s="55"/>
      <c r="H54" s="55"/>
      <c r="I54" s="55"/>
      <c r="J54" s="50"/>
    </row>
    <row r="55" spans="2:10">
      <c r="B55" s="53" t="s">
        <v>92</v>
      </c>
      <c r="C55" s="73"/>
      <c r="D55" s="62" t="s">
        <v>97</v>
      </c>
      <c r="E55" s="71">
        <f>E53/E50</f>
        <v>1</v>
      </c>
      <c r="F55" s="59" t="s">
        <v>117</v>
      </c>
      <c r="G55" s="55"/>
      <c r="H55" s="55"/>
      <c r="I55" s="55"/>
      <c r="J55" s="50"/>
    </row>
    <row r="56" spans="2:10">
      <c r="B56" s="53" t="s">
        <v>163</v>
      </c>
      <c r="C56" s="73"/>
      <c r="D56" s="62" t="s">
        <v>94</v>
      </c>
      <c r="E56" s="71">
        <f>E27/E50</f>
        <v>1.6199999999999999</v>
      </c>
      <c r="F56" s="59" t="s">
        <v>134</v>
      </c>
      <c r="G56" s="55"/>
      <c r="H56" s="55"/>
      <c r="I56" s="55"/>
      <c r="J56" s="50"/>
    </row>
    <row r="57" spans="2:10">
      <c r="B57" s="53"/>
      <c r="C57" s="73"/>
      <c r="D57" s="62"/>
      <c r="E57" s="81"/>
      <c r="F57" s="63"/>
      <c r="G57" s="55"/>
      <c r="H57" s="55"/>
      <c r="I57" s="55"/>
      <c r="J57" s="50"/>
    </row>
    <row r="58" spans="2:10">
      <c r="B58" s="152" t="s">
        <v>123</v>
      </c>
      <c r="C58" s="153"/>
      <c r="D58" s="153"/>
      <c r="E58" s="153"/>
      <c r="F58" s="153"/>
      <c r="G58" s="55"/>
      <c r="H58" s="55"/>
      <c r="I58" s="55"/>
      <c r="J58" s="50"/>
    </row>
    <row r="59" spans="2:10">
      <c r="B59" s="53" t="s">
        <v>160</v>
      </c>
      <c r="C59" s="73"/>
      <c r="D59" s="62" t="s">
        <v>126</v>
      </c>
      <c r="E59" s="71">
        <f>E13*100-E14</f>
        <v>43</v>
      </c>
      <c r="F59" s="59" t="s">
        <v>128</v>
      </c>
      <c r="G59" s="55" t="s">
        <v>129</v>
      </c>
      <c r="H59" s="64">
        <f>E6/2/E59/(E60+E61)*1000</f>
        <v>7.1336852618062494</v>
      </c>
      <c r="I59" s="55" t="s">
        <v>104</v>
      </c>
      <c r="J59" s="50"/>
    </row>
    <row r="60" spans="2:10">
      <c r="B60" s="53"/>
      <c r="C60" s="73"/>
      <c r="D60" s="62" t="s">
        <v>125</v>
      </c>
      <c r="E60" s="71">
        <f>E18*100+E59/2</f>
        <v>111.5</v>
      </c>
      <c r="F60" s="59" t="s">
        <v>128</v>
      </c>
      <c r="G60" s="55" t="s">
        <v>130</v>
      </c>
      <c r="H60" s="71">
        <f>E6*E8/E59/(2*E60*E60/3+E60*E61)*100000</f>
        <v>0</v>
      </c>
      <c r="I60" s="55" t="s">
        <v>104</v>
      </c>
      <c r="J60" s="50"/>
    </row>
    <row r="61" spans="2:10">
      <c r="B61" s="53"/>
      <c r="C61" s="73"/>
      <c r="D61" s="62" t="s">
        <v>84</v>
      </c>
      <c r="E61" s="71">
        <f>E17*100+E59/2</f>
        <v>51.5</v>
      </c>
      <c r="F61" s="59" t="s">
        <v>128</v>
      </c>
      <c r="G61" s="55" t="s">
        <v>131</v>
      </c>
      <c r="H61" s="71">
        <f>E6*E7/E59/(2*E61*E61/3+E60*E61)*100000</f>
        <v>0</v>
      </c>
      <c r="I61" s="55" t="s">
        <v>104</v>
      </c>
      <c r="J61" s="50"/>
    </row>
    <row r="62" spans="2:10">
      <c r="B62" s="53"/>
      <c r="C62" s="73"/>
      <c r="D62" s="62" t="s">
        <v>15</v>
      </c>
      <c r="E62" s="71">
        <f>H59+H60+H61</f>
        <v>7.1336852618062494</v>
      </c>
      <c r="F62" s="59" t="s">
        <v>104</v>
      </c>
      <c r="G62" s="55"/>
      <c r="H62" s="55"/>
      <c r="I62" s="55"/>
      <c r="J62" s="50"/>
    </row>
    <row r="63" spans="2:10">
      <c r="B63" s="53"/>
      <c r="C63" s="73"/>
      <c r="D63" s="62" t="s">
        <v>132</v>
      </c>
      <c r="E63" s="71">
        <f>MIN(E61/E60+0.5,1)*E38</f>
        <v>10.022119124069008</v>
      </c>
      <c r="F63" s="59" t="s">
        <v>104</v>
      </c>
      <c r="G63" s="55"/>
      <c r="H63" s="55"/>
      <c r="I63" s="55"/>
      <c r="J63" s="50"/>
    </row>
    <row r="64" spans="2:10">
      <c r="B64" s="53"/>
      <c r="C64" s="73"/>
      <c r="D64" s="62" t="s">
        <v>133</v>
      </c>
      <c r="E64" s="83">
        <f>E63/E62</f>
        <v>1.4049006588119934</v>
      </c>
      <c r="F64" s="59" t="s">
        <v>134</v>
      </c>
      <c r="G64" s="55"/>
      <c r="H64" s="55"/>
      <c r="I64" s="55"/>
      <c r="J64" s="50"/>
    </row>
    <row r="65" spans="2:10">
      <c r="B65" s="53"/>
      <c r="C65" s="73"/>
      <c r="D65" s="62"/>
      <c r="E65" s="81"/>
      <c r="F65" s="63"/>
      <c r="G65" s="55"/>
      <c r="H65" s="55"/>
      <c r="I65" s="55"/>
      <c r="J65" s="50"/>
    </row>
    <row r="66" spans="2:10">
      <c r="B66" s="152" t="s">
        <v>139</v>
      </c>
      <c r="C66" s="153"/>
      <c r="D66" s="153"/>
      <c r="E66" s="153"/>
      <c r="F66" s="153"/>
      <c r="G66" s="55"/>
      <c r="H66" s="55"/>
      <c r="I66" s="55"/>
      <c r="J66" s="50"/>
    </row>
    <row r="67" spans="2:10">
      <c r="B67" s="53" t="s">
        <v>148</v>
      </c>
      <c r="C67" s="73"/>
      <c r="D67" s="62" t="s">
        <v>118</v>
      </c>
      <c r="E67" s="71">
        <f>(E12-E18)/2</f>
        <v>1.05</v>
      </c>
      <c r="F67" s="59" t="s">
        <v>21</v>
      </c>
      <c r="G67" s="55"/>
      <c r="H67" s="55"/>
      <c r="I67" s="55"/>
      <c r="J67" s="50"/>
    </row>
    <row r="68" spans="2:10">
      <c r="B68" s="53" t="s">
        <v>149</v>
      </c>
      <c r="C68" s="73"/>
      <c r="D68" s="62" t="s">
        <v>3</v>
      </c>
      <c r="E68" s="71">
        <f>3/8*(E50+E51)+(E52+E53)/8</f>
        <v>11.111111111111112</v>
      </c>
      <c r="F68" s="59" t="s">
        <v>96</v>
      </c>
      <c r="G68" s="55"/>
      <c r="H68" s="55"/>
      <c r="I68" s="55"/>
      <c r="J68" s="50"/>
    </row>
    <row r="69" spans="2:10">
      <c r="B69" s="53" t="s">
        <v>150</v>
      </c>
      <c r="C69" s="73"/>
      <c r="D69" s="62" t="s">
        <v>121</v>
      </c>
      <c r="E69" s="71">
        <f>E68*E67*E67/2</f>
        <v>6.1250000000000009</v>
      </c>
      <c r="F69" s="59" t="s">
        <v>135</v>
      </c>
      <c r="G69" s="55"/>
      <c r="H69" s="55"/>
      <c r="I69" s="55"/>
      <c r="J69" s="50"/>
    </row>
    <row r="70" spans="2:10">
      <c r="B70" s="53" t="s">
        <v>151</v>
      </c>
      <c r="C70" s="73"/>
      <c r="D70" s="62" t="s">
        <v>122</v>
      </c>
      <c r="E70" s="71">
        <f>E68*E67</f>
        <v>11.666666666666668</v>
      </c>
      <c r="F70" s="59" t="s">
        <v>20</v>
      </c>
      <c r="G70" s="55"/>
      <c r="H70" s="55"/>
      <c r="I70" s="55"/>
      <c r="J70" s="50"/>
    </row>
    <row r="71" spans="2:10">
      <c r="B71" s="53"/>
      <c r="C71" s="73"/>
      <c r="D71" s="62"/>
      <c r="E71" s="71"/>
      <c r="F71" s="59"/>
      <c r="G71" s="55"/>
      <c r="H71" s="55"/>
      <c r="I71" s="55"/>
      <c r="J71" s="50"/>
    </row>
    <row r="72" spans="2:10">
      <c r="B72" s="53" t="s">
        <v>154</v>
      </c>
      <c r="C72" s="73"/>
      <c r="D72" s="62" t="s">
        <v>140</v>
      </c>
      <c r="E72" s="71">
        <f>E69*100000/0.9/E59/E43</f>
        <v>7.57992020355025</v>
      </c>
      <c r="F72" s="59" t="s">
        <v>137</v>
      </c>
      <c r="G72" s="55"/>
      <c r="H72" s="55"/>
      <c r="I72" s="55"/>
      <c r="J72" s="50"/>
    </row>
    <row r="73" spans="2:10">
      <c r="B73" s="53" t="s">
        <v>155</v>
      </c>
      <c r="C73" s="73"/>
      <c r="D73" s="62" t="s">
        <v>22</v>
      </c>
      <c r="E73" s="84">
        <v>16</v>
      </c>
      <c r="F73" s="59" t="s">
        <v>75</v>
      </c>
      <c r="G73" s="55" t="s">
        <v>138</v>
      </c>
      <c r="H73" s="55">
        <f>3.14*E73*E73/4/100</f>
        <v>2.0096000000000003</v>
      </c>
      <c r="I73" s="55"/>
      <c r="J73" s="50"/>
    </row>
    <row r="74" spans="2:10">
      <c r="B74" s="53" t="s">
        <v>156</v>
      </c>
      <c r="C74" s="73"/>
      <c r="D74" s="62" t="s">
        <v>77</v>
      </c>
      <c r="E74" s="85">
        <f>MAX(5,ROUNDUP(E72/H73,0))</f>
        <v>5</v>
      </c>
      <c r="F74" s="59" t="s">
        <v>164</v>
      </c>
      <c r="G74" s="55"/>
      <c r="H74" s="55"/>
      <c r="I74" s="55"/>
      <c r="J74" s="50"/>
    </row>
    <row r="75" spans="2:10">
      <c r="B75" s="53"/>
      <c r="C75" s="73"/>
      <c r="D75" s="62"/>
      <c r="E75" s="71"/>
      <c r="F75" s="59"/>
      <c r="G75" s="55"/>
      <c r="H75" s="55"/>
      <c r="I75" s="55"/>
      <c r="J75" s="50"/>
    </row>
    <row r="76" spans="2:10">
      <c r="B76" s="53" t="s">
        <v>157</v>
      </c>
      <c r="C76" s="73"/>
      <c r="D76" s="62" t="s">
        <v>141</v>
      </c>
      <c r="E76" s="71">
        <f>E70*10000/(0.9*E59*3.14*E73)/E74</f>
        <v>12.000965563400758</v>
      </c>
      <c r="F76" s="59" t="s">
        <v>104</v>
      </c>
      <c r="G76" s="55"/>
      <c r="H76" s="55"/>
      <c r="I76" s="55"/>
      <c r="J76" s="50"/>
    </row>
    <row r="77" spans="2:10">
      <c r="B77" s="53" t="s">
        <v>158</v>
      </c>
      <c r="C77" s="73"/>
      <c r="D77" s="62" t="s">
        <v>94</v>
      </c>
      <c r="E77" s="83">
        <f>E39/E76</f>
        <v>0.7020302557338588</v>
      </c>
      <c r="F77" s="59" t="s">
        <v>134</v>
      </c>
      <c r="G77" s="55"/>
      <c r="H77" s="55"/>
      <c r="I77" s="55"/>
      <c r="J77" s="50"/>
    </row>
    <row r="78" spans="2:10">
      <c r="B78" s="53"/>
      <c r="C78" s="73"/>
      <c r="D78" s="62"/>
      <c r="E78" s="81"/>
      <c r="F78" s="63"/>
      <c r="G78" s="55"/>
      <c r="H78" s="55"/>
      <c r="I78" s="55"/>
      <c r="J78" s="50"/>
    </row>
    <row r="79" spans="2:10">
      <c r="B79" s="152" t="s">
        <v>146</v>
      </c>
      <c r="C79" s="153"/>
      <c r="D79" s="153"/>
      <c r="E79" s="153"/>
      <c r="F79" s="153"/>
      <c r="G79" s="55"/>
      <c r="H79" s="55"/>
      <c r="I79" s="55"/>
      <c r="J79" s="50"/>
    </row>
    <row r="80" spans="2:10">
      <c r="B80" s="53" t="s">
        <v>148</v>
      </c>
      <c r="C80" s="73"/>
      <c r="D80" s="62" t="s">
        <v>147</v>
      </c>
      <c r="E80" s="71">
        <f>(E11-E17)/2</f>
        <v>1.35</v>
      </c>
      <c r="F80" s="59" t="s">
        <v>21</v>
      </c>
      <c r="G80" s="55"/>
      <c r="H80" s="55"/>
      <c r="I80" s="55"/>
      <c r="J80" s="50"/>
    </row>
    <row r="81" spans="2:10">
      <c r="B81" s="53" t="s">
        <v>149</v>
      </c>
      <c r="C81" s="73"/>
      <c r="D81" s="62" t="s">
        <v>3</v>
      </c>
      <c r="E81" s="71">
        <f>3/8*(E50+E52)+(E51+E53)/8</f>
        <v>11.111111111111112</v>
      </c>
      <c r="F81" s="59" t="s">
        <v>96</v>
      </c>
      <c r="G81" s="55"/>
      <c r="H81" s="55"/>
      <c r="I81" s="55"/>
      <c r="J81" s="50"/>
    </row>
    <row r="82" spans="2:10">
      <c r="B82" s="53" t="s">
        <v>150</v>
      </c>
      <c r="C82" s="73"/>
      <c r="D82" s="62" t="s">
        <v>121</v>
      </c>
      <c r="E82" s="71">
        <f>E81*E80*E80/2</f>
        <v>10.125000000000004</v>
      </c>
      <c r="F82" s="59" t="s">
        <v>135</v>
      </c>
      <c r="G82" s="55"/>
      <c r="H82" s="55"/>
      <c r="I82" s="55"/>
      <c r="J82" s="50"/>
    </row>
    <row r="83" spans="2:10">
      <c r="B83" s="53" t="s">
        <v>151</v>
      </c>
      <c r="C83" s="73"/>
      <c r="D83" s="62" t="s">
        <v>122</v>
      </c>
      <c r="E83" s="71">
        <f>E81*E80</f>
        <v>15.000000000000004</v>
      </c>
      <c r="F83" s="59" t="s">
        <v>20</v>
      </c>
      <c r="G83" s="55"/>
      <c r="H83" s="55"/>
      <c r="I83" s="55"/>
      <c r="J83" s="50"/>
    </row>
    <row r="84" spans="2:10">
      <c r="B84" s="53"/>
      <c r="C84" s="73"/>
      <c r="D84" s="62"/>
      <c r="E84" s="71"/>
      <c r="F84" s="59"/>
      <c r="G84" s="55"/>
      <c r="H84" s="55"/>
      <c r="I84" s="55"/>
      <c r="J84" s="50"/>
    </row>
    <row r="85" spans="2:10">
      <c r="B85" s="53" t="s">
        <v>159</v>
      </c>
      <c r="C85" s="73"/>
      <c r="D85" s="62" t="s">
        <v>136</v>
      </c>
      <c r="E85" s="71">
        <f>E82*100000/0.9/E59/E43</f>
        <v>12.530072173215723</v>
      </c>
      <c r="F85" s="59" t="s">
        <v>137</v>
      </c>
      <c r="G85" s="55"/>
      <c r="H85" s="55"/>
      <c r="I85" s="55"/>
      <c r="J85" s="50"/>
    </row>
    <row r="86" spans="2:10">
      <c r="B86" s="53" t="s">
        <v>155</v>
      </c>
      <c r="C86" s="73"/>
      <c r="D86" s="62" t="s">
        <v>22</v>
      </c>
      <c r="E86" s="84">
        <v>16</v>
      </c>
      <c r="F86" s="59" t="s">
        <v>75</v>
      </c>
      <c r="G86" s="55" t="s">
        <v>138</v>
      </c>
      <c r="H86" s="55">
        <f>3.14*E86*E86/4/100</f>
        <v>2.0096000000000003</v>
      </c>
      <c r="I86" s="55"/>
      <c r="J86" s="50"/>
    </row>
    <row r="87" spans="2:10">
      <c r="B87" s="53" t="s">
        <v>156</v>
      </c>
      <c r="C87" s="73"/>
      <c r="D87" s="62" t="s">
        <v>77</v>
      </c>
      <c r="E87" s="85">
        <f>MAX(5,ROUNDUP(E85/H86,0))</f>
        <v>7</v>
      </c>
      <c r="F87" s="59"/>
      <c r="G87" s="55"/>
      <c r="H87" s="55"/>
      <c r="I87" s="55"/>
      <c r="J87" s="50"/>
    </row>
    <row r="88" spans="2:10">
      <c r="B88" s="53"/>
      <c r="C88" s="73"/>
      <c r="D88" s="62"/>
      <c r="E88" s="71"/>
      <c r="F88" s="59"/>
      <c r="G88" s="55"/>
      <c r="H88" s="55"/>
      <c r="I88" s="55"/>
      <c r="J88" s="50"/>
    </row>
    <row r="89" spans="2:10">
      <c r="B89" s="53" t="s">
        <v>157</v>
      </c>
      <c r="C89" s="73"/>
      <c r="D89" s="62" t="s">
        <v>141</v>
      </c>
      <c r="E89" s="71">
        <f>E83*10000/(0.9*E59*3.14*E86*E87)</f>
        <v>11.021294905163963</v>
      </c>
      <c r="F89" s="59" t="s">
        <v>104</v>
      </c>
      <c r="G89" s="55"/>
      <c r="H89" s="55"/>
      <c r="I89" s="55"/>
      <c r="J89" s="50"/>
    </row>
    <row r="90" spans="2:10">
      <c r="B90" s="53" t="s">
        <v>158</v>
      </c>
      <c r="C90" s="73"/>
      <c r="D90" s="62" t="s">
        <v>94</v>
      </c>
      <c r="E90" s="83">
        <f>E60/E89</f>
        <v>10.116778559999998</v>
      </c>
      <c r="F90" s="59" t="s">
        <v>134</v>
      </c>
      <c r="G90" s="55"/>
      <c r="H90" s="55"/>
      <c r="I90" s="55"/>
      <c r="J90" s="50"/>
    </row>
    <row r="91" spans="2:10" ht="15" thickBot="1">
      <c r="B91" s="58"/>
      <c r="C91" s="74"/>
      <c r="D91" s="65"/>
      <c r="E91" s="82"/>
      <c r="F91" s="66"/>
      <c r="G91" s="51"/>
      <c r="H91" s="51"/>
      <c r="I91" s="51"/>
      <c r="J91" s="52"/>
    </row>
  </sheetData>
  <mergeCells count="12">
    <mergeCell ref="B58:F58"/>
    <mergeCell ref="B66:F66"/>
    <mergeCell ref="B79:F79"/>
    <mergeCell ref="B5:F5"/>
    <mergeCell ref="B3:J3"/>
    <mergeCell ref="B49:F49"/>
    <mergeCell ref="B10:F10"/>
    <mergeCell ref="B16:F16"/>
    <mergeCell ref="B20:F20"/>
    <mergeCell ref="B26:F26"/>
    <mergeCell ref="B33:F33"/>
    <mergeCell ref="B41:F41"/>
  </mergeCells>
  <phoneticPr fontId="18" type="noConversion"/>
  <conditionalFormatting sqref="E56 E77 E90 E64">
    <cfRule type="cellIs" dxfId="11" priority="1" operator="lessThan">
      <formula>1</formula>
    </cfRule>
    <cfRule type="cellIs" dxfId="10" priority="2" operator="greaterThan">
      <formula>1</formula>
    </cfRule>
  </conditionalFormatting>
  <pageMargins left="0.25" right="0.25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5AAD-1307-4B38-A93C-1E8F2717D473}">
  <sheetPr codeName="Sheet10"/>
  <dimension ref="B3:O186"/>
  <sheetViews>
    <sheetView topLeftCell="A146" zoomScale="98" zoomScaleNormal="85" workbookViewId="0">
      <selection activeCell="L32" sqref="L32"/>
    </sheetView>
  </sheetViews>
  <sheetFormatPr defaultRowHeight="14.4"/>
  <cols>
    <col min="1" max="1" width="5.21875" style="22" customWidth="1"/>
    <col min="2" max="2" width="8.88671875" style="27"/>
    <col min="3" max="3" width="8.88671875" style="72"/>
    <col min="4" max="6" width="8.88671875" style="23"/>
    <col min="7" max="7" width="8.88671875" style="79"/>
    <col min="8" max="8" width="8.88671875" style="54"/>
    <col min="9" max="9" width="8.88671875" style="23"/>
    <col min="10" max="16384" width="8.88671875" style="22"/>
  </cols>
  <sheetData>
    <row r="3" spans="2:10">
      <c r="B3" s="159" t="s">
        <v>248</v>
      </c>
      <c r="C3" s="160"/>
      <c r="D3" s="160"/>
      <c r="E3" s="160"/>
      <c r="F3" s="160"/>
      <c r="G3" s="160"/>
      <c r="H3" s="160"/>
      <c r="I3" s="160"/>
      <c r="J3" s="161"/>
    </row>
    <row r="4" spans="2:10">
      <c r="B4" s="162" t="s">
        <v>93</v>
      </c>
      <c r="C4" s="163"/>
      <c r="D4" s="163"/>
      <c r="E4" s="163"/>
      <c r="F4" s="163"/>
      <c r="G4" s="71"/>
      <c r="H4" s="56"/>
      <c r="I4" s="59"/>
      <c r="J4" s="89"/>
    </row>
    <row r="5" spans="2:10">
      <c r="B5" s="91" t="s">
        <v>173</v>
      </c>
      <c r="C5" s="73"/>
      <c r="D5" s="59" t="s">
        <v>174</v>
      </c>
      <c r="E5" s="17">
        <v>150</v>
      </c>
      <c r="F5" s="59" t="s">
        <v>20</v>
      </c>
      <c r="G5" s="71"/>
      <c r="H5" s="56"/>
      <c r="I5" s="59"/>
      <c r="J5" s="89"/>
    </row>
    <row r="6" spans="2:10">
      <c r="B6" s="91" t="s">
        <v>173</v>
      </c>
      <c r="C6" s="73"/>
      <c r="D6" s="59" t="s">
        <v>175</v>
      </c>
      <c r="E6" s="17">
        <v>150</v>
      </c>
      <c r="F6" s="59" t="s">
        <v>20</v>
      </c>
      <c r="G6" s="71"/>
      <c r="H6" s="56"/>
      <c r="I6" s="59"/>
      <c r="J6" s="89"/>
    </row>
    <row r="7" spans="2:10">
      <c r="B7" s="91" t="s">
        <v>188</v>
      </c>
      <c r="C7" s="73"/>
      <c r="D7" s="59" t="s">
        <v>9</v>
      </c>
      <c r="E7" s="17">
        <v>2.5</v>
      </c>
      <c r="F7" s="59" t="s">
        <v>21</v>
      </c>
      <c r="G7" s="71"/>
      <c r="H7" s="56"/>
      <c r="I7" s="59"/>
      <c r="J7" s="89"/>
    </row>
    <row r="8" spans="2:10">
      <c r="B8" s="91"/>
      <c r="C8" s="73"/>
      <c r="D8" s="59"/>
      <c r="E8" s="59"/>
      <c r="F8" s="59"/>
      <c r="G8" s="71"/>
      <c r="H8" s="56"/>
      <c r="I8" s="59"/>
      <c r="J8" s="89"/>
    </row>
    <row r="9" spans="2:10">
      <c r="B9" s="157" t="s">
        <v>165</v>
      </c>
      <c r="C9" s="158"/>
      <c r="D9" s="158"/>
      <c r="E9" s="158"/>
      <c r="F9" s="158"/>
      <c r="G9" s="71"/>
      <c r="H9" s="56"/>
      <c r="I9" s="59"/>
      <c r="J9" s="89"/>
    </row>
    <row r="10" spans="2:10">
      <c r="B10" s="91" t="s">
        <v>177</v>
      </c>
      <c r="C10" s="73"/>
      <c r="D10" s="59" t="s">
        <v>176</v>
      </c>
      <c r="E10" s="17">
        <v>0.5</v>
      </c>
      <c r="F10" s="59" t="s">
        <v>21</v>
      </c>
      <c r="G10" s="71"/>
      <c r="H10" s="56"/>
      <c r="I10" s="59"/>
      <c r="J10" s="89"/>
    </row>
    <row r="11" spans="2:10">
      <c r="B11" s="91" t="s">
        <v>71</v>
      </c>
      <c r="C11" s="73"/>
      <c r="D11" s="59" t="s">
        <v>85</v>
      </c>
      <c r="E11" s="17">
        <v>70</v>
      </c>
      <c r="F11" s="59" t="s">
        <v>128</v>
      </c>
      <c r="G11" s="71"/>
      <c r="H11" s="56"/>
      <c r="I11" s="59"/>
      <c r="J11" s="89"/>
    </row>
    <row r="12" spans="2:10">
      <c r="B12" s="91" t="s">
        <v>127</v>
      </c>
      <c r="C12" s="73"/>
      <c r="D12" s="59"/>
      <c r="E12" s="17">
        <v>7</v>
      </c>
      <c r="F12" s="59" t="s">
        <v>128</v>
      </c>
      <c r="G12" s="71"/>
      <c r="H12" s="56"/>
      <c r="I12" s="59"/>
      <c r="J12" s="89"/>
    </row>
    <row r="13" spans="2:10">
      <c r="B13" s="91"/>
      <c r="C13" s="73"/>
      <c r="D13" s="59"/>
      <c r="E13" s="59"/>
      <c r="F13" s="59"/>
      <c r="G13" s="71"/>
      <c r="H13" s="56"/>
      <c r="I13" s="59"/>
      <c r="J13" s="89"/>
    </row>
    <row r="14" spans="2:10">
      <c r="B14" s="157" t="s">
        <v>166</v>
      </c>
      <c r="C14" s="158"/>
      <c r="D14" s="158"/>
      <c r="E14" s="158"/>
      <c r="F14" s="158"/>
      <c r="G14" s="71"/>
      <c r="H14" s="56"/>
      <c r="I14" s="59"/>
      <c r="J14" s="89"/>
    </row>
    <row r="15" spans="2:10">
      <c r="B15" s="91" t="s">
        <v>178</v>
      </c>
      <c r="C15" s="73"/>
      <c r="D15" s="59" t="s">
        <v>182</v>
      </c>
      <c r="E15" s="17">
        <v>0.3</v>
      </c>
      <c r="F15" s="59" t="s">
        <v>21</v>
      </c>
      <c r="G15" s="71"/>
      <c r="H15" s="56"/>
      <c r="I15" s="59"/>
      <c r="J15" s="89"/>
    </row>
    <row r="16" spans="2:10">
      <c r="B16" s="91" t="s">
        <v>179</v>
      </c>
      <c r="C16" s="73"/>
      <c r="D16" s="59" t="s">
        <v>183</v>
      </c>
      <c r="E16" s="17">
        <v>0.9</v>
      </c>
      <c r="F16" s="59" t="s">
        <v>21</v>
      </c>
      <c r="G16" s="71"/>
      <c r="H16" s="56"/>
      <c r="I16" s="59"/>
      <c r="J16" s="89"/>
    </row>
    <row r="17" spans="2:10">
      <c r="B17" s="91" t="s">
        <v>180</v>
      </c>
      <c r="C17" s="73"/>
      <c r="D17" s="59" t="s">
        <v>184</v>
      </c>
      <c r="E17" s="17">
        <v>0.3</v>
      </c>
      <c r="F17" s="59" t="s">
        <v>21</v>
      </c>
      <c r="G17" s="71"/>
      <c r="H17" s="56"/>
      <c r="I17" s="59"/>
      <c r="J17" s="89"/>
    </row>
    <row r="18" spans="2:10">
      <c r="B18" s="91" t="s">
        <v>181</v>
      </c>
      <c r="C18" s="73"/>
      <c r="D18" s="59" t="s">
        <v>185</v>
      </c>
      <c r="E18" s="17">
        <v>0.9</v>
      </c>
      <c r="F18" s="59" t="s">
        <v>21</v>
      </c>
      <c r="G18" s="71"/>
      <c r="H18" s="56"/>
      <c r="I18" s="59"/>
      <c r="J18" s="89"/>
    </row>
    <row r="19" spans="2:10">
      <c r="B19" s="91"/>
      <c r="C19" s="73"/>
      <c r="D19" s="59"/>
      <c r="E19" s="59"/>
      <c r="F19" s="59"/>
      <c r="G19" s="71"/>
      <c r="H19" s="56"/>
      <c r="I19" s="59"/>
      <c r="J19" s="89"/>
    </row>
    <row r="20" spans="2:10">
      <c r="B20" s="157" t="s">
        <v>167</v>
      </c>
      <c r="C20" s="158"/>
      <c r="D20" s="158"/>
      <c r="E20" s="158"/>
      <c r="F20" s="158"/>
      <c r="G20" s="71"/>
      <c r="H20" s="56"/>
      <c r="I20" s="59"/>
      <c r="J20" s="89"/>
    </row>
    <row r="21" spans="2:10">
      <c r="B21" s="91" t="s">
        <v>70</v>
      </c>
      <c r="C21" s="73"/>
      <c r="D21" s="59" t="s">
        <v>84</v>
      </c>
      <c r="E21" s="17">
        <v>2.5</v>
      </c>
      <c r="F21" s="59" t="s">
        <v>90</v>
      </c>
      <c r="G21" s="71"/>
      <c r="H21" s="56"/>
      <c r="I21" s="59"/>
      <c r="J21" s="89"/>
    </row>
    <row r="22" spans="2:10">
      <c r="B22" s="91" t="s">
        <v>72</v>
      </c>
      <c r="C22" s="73"/>
      <c r="D22" s="59" t="s">
        <v>87</v>
      </c>
      <c r="E22" s="17">
        <v>1</v>
      </c>
      <c r="F22" s="59" t="s">
        <v>90</v>
      </c>
      <c r="G22" s="71"/>
      <c r="H22" s="56"/>
      <c r="I22" s="59"/>
      <c r="J22" s="89"/>
    </row>
    <row r="23" spans="2:10">
      <c r="B23" s="91" t="s">
        <v>170</v>
      </c>
      <c r="C23" s="73"/>
      <c r="D23" s="59" t="s">
        <v>171</v>
      </c>
      <c r="E23" s="17">
        <v>1.9</v>
      </c>
      <c r="F23" s="59" t="s">
        <v>90</v>
      </c>
      <c r="G23" s="71"/>
      <c r="H23" s="56"/>
      <c r="I23" s="59"/>
      <c r="J23" s="89"/>
    </row>
    <row r="24" spans="2:10">
      <c r="B24" s="91"/>
      <c r="C24" s="73"/>
      <c r="D24" s="59"/>
      <c r="E24" s="59"/>
      <c r="F24" s="59"/>
      <c r="G24" s="71"/>
      <c r="H24" s="56"/>
      <c r="I24" s="59"/>
      <c r="J24" s="89"/>
    </row>
    <row r="25" spans="2:10">
      <c r="B25" s="157" t="s">
        <v>168</v>
      </c>
      <c r="C25" s="158"/>
      <c r="D25" s="158"/>
      <c r="E25" s="158"/>
      <c r="F25" s="158"/>
      <c r="G25" s="71"/>
      <c r="H25" s="56"/>
      <c r="I25" s="59"/>
      <c r="J25" s="89"/>
    </row>
    <row r="26" spans="2:10">
      <c r="B26" s="91" t="s">
        <v>162</v>
      </c>
      <c r="C26" s="73"/>
      <c r="D26" s="59" t="s">
        <v>95</v>
      </c>
      <c r="E26" s="17">
        <v>18</v>
      </c>
      <c r="F26" s="59" t="s">
        <v>91</v>
      </c>
      <c r="G26" s="71"/>
      <c r="H26" s="56"/>
      <c r="I26" s="59"/>
      <c r="J26" s="89"/>
    </row>
    <row r="27" spans="2:10">
      <c r="B27" s="91" t="s">
        <v>78</v>
      </c>
      <c r="C27" s="73"/>
      <c r="D27" s="59" t="s">
        <v>79</v>
      </c>
      <c r="E27" s="17">
        <v>0.5</v>
      </c>
      <c r="F27" s="59" t="s">
        <v>91</v>
      </c>
      <c r="G27" s="71"/>
      <c r="H27" s="56"/>
      <c r="I27" s="59"/>
      <c r="J27" s="89"/>
    </row>
    <row r="28" spans="2:10">
      <c r="B28" s="91" t="s">
        <v>86</v>
      </c>
      <c r="C28" s="73"/>
      <c r="D28" s="59" t="s">
        <v>23</v>
      </c>
      <c r="E28" s="17">
        <v>3</v>
      </c>
      <c r="F28" s="59" t="s">
        <v>21</v>
      </c>
      <c r="G28" s="71"/>
      <c r="H28" s="56"/>
      <c r="I28" s="59"/>
      <c r="J28" s="89"/>
    </row>
    <row r="29" spans="2:10">
      <c r="B29" s="91" t="s">
        <v>169</v>
      </c>
      <c r="C29" s="73"/>
      <c r="D29" s="59" t="s">
        <v>22</v>
      </c>
      <c r="E29" s="17">
        <v>1.5</v>
      </c>
      <c r="F29" s="59" t="s">
        <v>21</v>
      </c>
      <c r="G29" s="71"/>
      <c r="H29" s="56"/>
      <c r="I29" s="59"/>
      <c r="J29" s="89"/>
    </row>
    <row r="30" spans="2:10">
      <c r="B30" s="91"/>
      <c r="C30" s="73"/>
      <c r="D30" s="59"/>
      <c r="E30" s="59"/>
      <c r="F30" s="59"/>
      <c r="G30" s="71"/>
      <c r="H30" s="56"/>
      <c r="I30" s="59"/>
      <c r="J30" s="89"/>
    </row>
    <row r="31" spans="2:10">
      <c r="B31" s="91"/>
      <c r="C31" s="73"/>
      <c r="D31" s="59"/>
      <c r="E31" s="59"/>
      <c r="F31" s="59"/>
      <c r="G31" s="71"/>
      <c r="H31" s="56"/>
      <c r="I31" s="59"/>
      <c r="J31" s="89"/>
    </row>
    <row r="32" spans="2:10">
      <c r="B32" s="157" t="s">
        <v>111</v>
      </c>
      <c r="C32" s="158"/>
      <c r="D32" s="158"/>
      <c r="E32" s="158"/>
      <c r="F32" s="158"/>
      <c r="G32" s="71"/>
      <c r="H32" s="56"/>
      <c r="I32" s="59"/>
      <c r="J32" s="89"/>
    </row>
    <row r="33" spans="2:10">
      <c r="B33" s="91" t="s">
        <v>105</v>
      </c>
      <c r="C33" s="73"/>
      <c r="D33" s="59" t="s">
        <v>98</v>
      </c>
      <c r="E33" s="17">
        <v>300</v>
      </c>
      <c r="F33" s="59" t="s">
        <v>104</v>
      </c>
      <c r="G33" s="71"/>
      <c r="H33" s="56"/>
      <c r="I33" s="59"/>
      <c r="J33" s="89"/>
    </row>
    <row r="34" spans="2:10">
      <c r="B34" s="91" t="s">
        <v>106</v>
      </c>
      <c r="C34" s="73"/>
      <c r="D34" s="59" t="s">
        <v>102</v>
      </c>
      <c r="E34" s="59">
        <f>POWER(E33,2/3)*1.5</f>
        <v>67.221071198357436</v>
      </c>
      <c r="F34" s="59" t="s">
        <v>104</v>
      </c>
      <c r="G34" s="71"/>
      <c r="H34" s="56"/>
      <c r="I34" s="59"/>
      <c r="J34" s="89"/>
    </row>
    <row r="35" spans="2:10">
      <c r="B35" s="91" t="s">
        <v>107</v>
      </c>
      <c r="C35" s="73"/>
      <c r="D35" s="59" t="s">
        <v>103</v>
      </c>
      <c r="E35" s="59">
        <f>POWER(E33,2/3)*2.35</f>
        <v>105.31301154409333</v>
      </c>
      <c r="F35" s="59" t="s">
        <v>104</v>
      </c>
      <c r="G35" s="71"/>
      <c r="H35" s="56"/>
      <c r="I35" s="59"/>
      <c r="J35" s="89"/>
    </row>
    <row r="36" spans="2:10">
      <c r="B36" s="91" t="s">
        <v>142</v>
      </c>
      <c r="C36" s="73"/>
      <c r="D36" s="59" t="s">
        <v>101</v>
      </c>
      <c r="E36" s="59">
        <f>0.1*E34</f>
        <v>6.7221071198357443</v>
      </c>
      <c r="F36" s="59" t="s">
        <v>104</v>
      </c>
      <c r="G36" s="71"/>
      <c r="H36" s="56"/>
      <c r="I36" s="59"/>
      <c r="J36" s="89"/>
    </row>
    <row r="37" spans="2:10">
      <c r="B37" s="91" t="s">
        <v>143</v>
      </c>
      <c r="C37" s="73"/>
      <c r="D37" s="59" t="s">
        <v>124</v>
      </c>
      <c r="E37" s="59">
        <f>0.155*E34</f>
        <v>10.419266035745402</v>
      </c>
      <c r="F37" s="59" t="s">
        <v>104</v>
      </c>
      <c r="G37" s="71"/>
      <c r="H37" s="56"/>
      <c r="I37" s="59"/>
      <c r="J37" s="89"/>
    </row>
    <row r="38" spans="2:10">
      <c r="B38" s="91" t="s">
        <v>144</v>
      </c>
      <c r="C38" s="73"/>
      <c r="D38" s="59" t="s">
        <v>145</v>
      </c>
      <c r="E38" s="59">
        <f>E35/12.5</f>
        <v>8.425040923527467</v>
      </c>
      <c r="F38" s="59"/>
      <c r="G38" s="71"/>
      <c r="H38" s="56"/>
      <c r="I38" s="59"/>
      <c r="J38" s="89"/>
    </row>
    <row r="39" spans="2:10">
      <c r="B39" s="91"/>
      <c r="C39" s="73"/>
      <c r="D39" s="59"/>
      <c r="E39" s="59"/>
      <c r="F39" s="59"/>
      <c r="G39" s="71"/>
      <c r="H39" s="56"/>
      <c r="I39" s="59"/>
      <c r="J39" s="89"/>
    </row>
    <row r="40" spans="2:10">
      <c r="B40" s="157" t="s">
        <v>110</v>
      </c>
      <c r="C40" s="158"/>
      <c r="D40" s="158"/>
      <c r="E40" s="158"/>
      <c r="F40" s="158"/>
      <c r="G40" s="71"/>
      <c r="H40" s="56"/>
      <c r="I40" s="59"/>
      <c r="J40" s="89"/>
    </row>
    <row r="41" spans="2:10">
      <c r="B41" s="91" t="s">
        <v>108</v>
      </c>
      <c r="C41" s="73"/>
      <c r="D41" s="59" t="s">
        <v>99</v>
      </c>
      <c r="E41" s="17">
        <v>3600</v>
      </c>
      <c r="F41" s="59" t="s">
        <v>104</v>
      </c>
      <c r="G41" s="71"/>
      <c r="H41" s="56"/>
      <c r="I41" s="59"/>
      <c r="J41" s="89"/>
    </row>
    <row r="42" spans="2:10">
      <c r="B42" s="91" t="s">
        <v>109</v>
      </c>
      <c r="C42" s="73"/>
      <c r="D42" s="59" t="s">
        <v>100</v>
      </c>
      <c r="E42" s="59">
        <f>0.58*E41</f>
        <v>2088</v>
      </c>
      <c r="F42" s="59" t="s">
        <v>104</v>
      </c>
      <c r="G42" s="71"/>
      <c r="H42" s="56"/>
      <c r="I42" s="59"/>
      <c r="J42" s="89"/>
    </row>
    <row r="43" spans="2:10">
      <c r="B43" s="91"/>
      <c r="C43" s="73"/>
      <c r="D43" s="59"/>
      <c r="E43" s="59"/>
      <c r="F43" s="59"/>
      <c r="G43" s="71"/>
      <c r="H43" s="56"/>
      <c r="I43" s="59"/>
      <c r="J43" s="89"/>
    </row>
    <row r="44" spans="2:10">
      <c r="B44" s="91"/>
      <c r="C44" s="73"/>
      <c r="D44" s="59"/>
      <c r="E44" s="59"/>
      <c r="F44" s="59"/>
      <c r="G44" s="71"/>
      <c r="H44" s="56"/>
      <c r="I44" s="59"/>
      <c r="J44" s="89"/>
    </row>
    <row r="45" spans="2:10">
      <c r="B45" s="92"/>
      <c r="C45" s="100"/>
      <c r="D45" s="93"/>
      <c r="E45" s="93"/>
      <c r="F45" s="93"/>
      <c r="G45" s="95"/>
      <c r="H45" s="104"/>
      <c r="I45" s="93"/>
      <c r="J45" s="90"/>
    </row>
    <row r="49" spans="2:10">
      <c r="B49" s="162"/>
      <c r="C49" s="163"/>
      <c r="D49" s="163"/>
      <c r="E49" s="163"/>
      <c r="F49" s="163"/>
      <c r="G49" s="163"/>
      <c r="H49" s="163"/>
      <c r="I49" s="163"/>
      <c r="J49" s="164"/>
    </row>
    <row r="50" spans="2:10">
      <c r="B50" s="91"/>
      <c r="C50" s="73"/>
      <c r="D50" s="59"/>
      <c r="E50" s="59"/>
      <c r="F50" s="59"/>
      <c r="G50" s="71"/>
      <c r="H50" s="56"/>
      <c r="I50" s="59"/>
      <c r="J50" s="89"/>
    </row>
    <row r="51" spans="2:10">
      <c r="B51" s="91" t="s">
        <v>231</v>
      </c>
      <c r="C51" s="73"/>
      <c r="D51" s="59" t="s">
        <v>186</v>
      </c>
      <c r="E51" s="59">
        <f>E5+E6</f>
        <v>300</v>
      </c>
      <c r="F51" s="59"/>
      <c r="G51" s="59" t="s">
        <v>189</v>
      </c>
      <c r="H51" s="56">
        <f>2*(E10+E15/2+E52)</f>
        <v>3.8</v>
      </c>
      <c r="I51" s="59"/>
      <c r="J51" s="89"/>
    </row>
    <row r="52" spans="2:10">
      <c r="B52" s="91" t="s">
        <v>232</v>
      </c>
      <c r="C52" s="73"/>
      <c r="D52" s="59" t="s">
        <v>187</v>
      </c>
      <c r="E52" s="59">
        <f>E6*E7/E51</f>
        <v>1.25</v>
      </c>
      <c r="F52" s="59"/>
      <c r="G52" s="59" t="s">
        <v>191</v>
      </c>
      <c r="H52" s="56">
        <f>E53/H51</f>
        <v>4.3859649122807021</v>
      </c>
      <c r="I52" s="59"/>
      <c r="J52" s="89"/>
    </row>
    <row r="53" spans="2:10">
      <c r="B53" s="91"/>
      <c r="C53" s="73"/>
      <c r="D53" s="59" t="s">
        <v>190</v>
      </c>
      <c r="E53" s="59">
        <f>E51/E26</f>
        <v>16.666666666666668</v>
      </c>
      <c r="F53" s="59"/>
      <c r="G53" s="71"/>
      <c r="H53" s="56"/>
      <c r="I53" s="59"/>
      <c r="J53" s="89"/>
    </row>
    <row r="54" spans="2:10">
      <c r="B54" s="91"/>
      <c r="C54" s="73"/>
      <c r="D54" s="59"/>
      <c r="E54" s="59"/>
      <c r="F54" s="59"/>
      <c r="G54" s="71"/>
      <c r="H54" s="56"/>
      <c r="I54" s="59"/>
      <c r="J54" s="89"/>
    </row>
    <row r="55" spans="2:10">
      <c r="B55" s="91" t="s">
        <v>192</v>
      </c>
      <c r="C55" s="73"/>
      <c r="D55" s="59"/>
      <c r="E55" s="59"/>
      <c r="F55" s="59"/>
      <c r="G55" s="71"/>
      <c r="H55" s="56"/>
      <c r="I55" s="59"/>
      <c r="J55" s="89"/>
    </row>
    <row r="56" spans="2:10">
      <c r="B56" s="91" t="s">
        <v>233</v>
      </c>
      <c r="C56" s="73"/>
      <c r="D56" s="59" t="s">
        <v>9</v>
      </c>
      <c r="E56" s="59">
        <f>CEILING(H51,0.1)</f>
        <v>3.8000000000000003</v>
      </c>
      <c r="F56" s="59" t="s">
        <v>21</v>
      </c>
      <c r="G56" s="71"/>
      <c r="H56" s="56"/>
      <c r="I56" s="59"/>
      <c r="J56" s="89"/>
    </row>
    <row r="57" spans="2:10">
      <c r="B57" s="91" t="s">
        <v>234</v>
      </c>
      <c r="C57" s="73"/>
      <c r="D57" s="59" t="s">
        <v>8</v>
      </c>
      <c r="E57" s="59">
        <f>CEILING(H52,0.25)</f>
        <v>4.5</v>
      </c>
      <c r="F57" s="59" t="s">
        <v>21</v>
      </c>
      <c r="G57" s="71"/>
      <c r="H57" s="56"/>
      <c r="I57" s="59"/>
      <c r="J57" s="89"/>
    </row>
    <row r="58" spans="2:10">
      <c r="B58" s="91"/>
      <c r="C58" s="73"/>
      <c r="D58" s="59" t="s">
        <v>176</v>
      </c>
      <c r="E58" s="59">
        <f>E10</f>
        <v>0.5</v>
      </c>
      <c r="F58" s="59" t="s">
        <v>21</v>
      </c>
      <c r="G58" s="71"/>
      <c r="H58" s="56"/>
      <c r="I58" s="59"/>
      <c r="J58" s="89"/>
    </row>
    <row r="59" spans="2:10">
      <c r="B59" s="91"/>
      <c r="C59" s="73"/>
      <c r="D59" s="59" t="s">
        <v>193</v>
      </c>
      <c r="E59" s="59">
        <f>E56-E7-E10-(E15+E17)/2</f>
        <v>0.50000000000000022</v>
      </c>
      <c r="F59" s="59" t="s">
        <v>21</v>
      </c>
      <c r="G59" s="71"/>
      <c r="H59" s="56"/>
      <c r="I59" s="59"/>
      <c r="J59" s="89"/>
    </row>
    <row r="60" spans="2:10">
      <c r="B60" s="91"/>
      <c r="C60" s="73"/>
      <c r="D60" s="59"/>
      <c r="E60" s="59"/>
      <c r="F60" s="59"/>
      <c r="G60" s="71"/>
      <c r="H60" s="56"/>
      <c r="I60" s="59"/>
      <c r="J60" s="89"/>
    </row>
    <row r="61" spans="2:10">
      <c r="B61" s="91"/>
      <c r="C61" s="73"/>
      <c r="D61" s="59"/>
      <c r="E61" s="59"/>
      <c r="F61" s="59"/>
      <c r="G61" s="71"/>
      <c r="H61" s="56"/>
      <c r="I61" s="59"/>
      <c r="J61" s="89"/>
    </row>
    <row r="62" spans="2:10">
      <c r="B62" s="91"/>
      <c r="C62" s="73"/>
      <c r="D62" s="59"/>
      <c r="E62" s="59"/>
      <c r="F62" s="59"/>
      <c r="G62" s="71"/>
      <c r="H62" s="56"/>
      <c r="I62" s="59"/>
      <c r="J62" s="89"/>
    </row>
    <row r="63" spans="2:10">
      <c r="B63" s="91"/>
      <c r="C63" s="73"/>
      <c r="D63" s="59"/>
      <c r="E63" s="59"/>
      <c r="F63" s="59"/>
      <c r="G63" s="71"/>
      <c r="H63" s="56"/>
      <c r="I63" s="59"/>
      <c r="J63" s="89"/>
    </row>
    <row r="64" spans="2:10">
      <c r="B64" s="91"/>
      <c r="C64" s="73"/>
      <c r="D64" s="59"/>
      <c r="E64" s="59"/>
      <c r="F64" s="59"/>
      <c r="G64" s="71"/>
      <c r="H64" s="56"/>
      <c r="I64" s="59"/>
      <c r="J64" s="89"/>
    </row>
    <row r="65" spans="2:10">
      <c r="B65" s="91"/>
      <c r="C65" s="73"/>
      <c r="D65" s="59"/>
      <c r="E65" s="59"/>
      <c r="F65" s="59"/>
      <c r="G65" s="71"/>
      <c r="H65" s="56"/>
      <c r="I65" s="59"/>
      <c r="J65" s="89"/>
    </row>
    <row r="66" spans="2:10">
      <c r="B66" s="91"/>
      <c r="C66" s="73"/>
      <c r="D66" s="59"/>
      <c r="E66" s="59"/>
      <c r="F66" s="59"/>
      <c r="G66" s="71"/>
      <c r="H66" s="56"/>
      <c r="I66" s="59"/>
      <c r="J66" s="89"/>
    </row>
    <row r="67" spans="2:10">
      <c r="B67" s="91"/>
      <c r="C67" s="73"/>
      <c r="D67" s="59"/>
      <c r="E67" s="59"/>
      <c r="F67" s="59"/>
      <c r="G67" s="71"/>
      <c r="H67" s="56"/>
      <c r="I67" s="59"/>
      <c r="J67" s="89"/>
    </row>
    <row r="68" spans="2:10">
      <c r="B68" s="91"/>
      <c r="C68" s="73"/>
      <c r="D68" s="59"/>
      <c r="E68" s="59"/>
      <c r="F68" s="59"/>
      <c r="G68" s="71"/>
      <c r="H68" s="56"/>
      <c r="I68" s="59"/>
      <c r="J68" s="89"/>
    </row>
    <row r="69" spans="2:10">
      <c r="B69" s="91" t="s">
        <v>235</v>
      </c>
      <c r="C69" s="73"/>
      <c r="D69" s="59" t="s">
        <v>15</v>
      </c>
      <c r="E69" s="106">
        <f>E51/E56/E57</f>
        <v>17.543859649122808</v>
      </c>
      <c r="F69" s="59"/>
      <c r="G69" s="71"/>
      <c r="H69" s="56"/>
      <c r="I69" s="59"/>
      <c r="J69" s="89"/>
    </row>
    <row r="70" spans="2:10">
      <c r="B70" s="91" t="s">
        <v>236</v>
      </c>
      <c r="C70" s="73"/>
      <c r="D70" s="59" t="s">
        <v>3</v>
      </c>
      <c r="E70" s="59">
        <f>E69*E57</f>
        <v>78.94736842105263</v>
      </c>
      <c r="F70" s="59"/>
      <c r="G70" s="71"/>
      <c r="H70" s="56"/>
      <c r="I70" s="59"/>
      <c r="J70" s="89"/>
    </row>
    <row r="71" spans="2:10">
      <c r="B71" s="91"/>
      <c r="C71" s="73"/>
      <c r="D71" s="59"/>
      <c r="E71" s="59"/>
      <c r="F71" s="59"/>
      <c r="G71" s="71"/>
      <c r="H71" s="56"/>
      <c r="I71" s="59"/>
      <c r="J71" s="89"/>
    </row>
    <row r="72" spans="2:10">
      <c r="B72" s="91" t="s">
        <v>197</v>
      </c>
      <c r="C72" s="73"/>
      <c r="D72" s="59"/>
      <c r="E72" s="59"/>
      <c r="F72" s="59"/>
      <c r="G72" s="71"/>
      <c r="H72" s="56"/>
      <c r="I72" s="59"/>
      <c r="J72" s="89"/>
    </row>
    <row r="73" spans="2:10">
      <c r="B73" s="91" t="s">
        <v>237</v>
      </c>
      <c r="C73" s="73"/>
      <c r="D73" s="59" t="s">
        <v>195</v>
      </c>
      <c r="E73" s="59">
        <f>E7-(E15+E17)/2</f>
        <v>2.2000000000000002</v>
      </c>
      <c r="F73" s="59"/>
      <c r="G73" s="71"/>
      <c r="H73" s="56"/>
      <c r="I73" s="59"/>
      <c r="J73" s="89"/>
    </row>
    <row r="74" spans="2:10">
      <c r="B74" s="91" t="s">
        <v>238</v>
      </c>
      <c r="C74" s="73"/>
      <c r="D74" s="59" t="s">
        <v>194</v>
      </c>
      <c r="E74" s="59">
        <f>-F79/(F81-F79)*E73</f>
        <v>1.1000000000000001</v>
      </c>
      <c r="F74" s="59"/>
      <c r="G74" s="71"/>
      <c r="H74" s="56"/>
      <c r="I74" s="59"/>
      <c r="J74" s="89"/>
    </row>
    <row r="75" spans="2:10">
      <c r="B75" s="91"/>
      <c r="C75" s="73"/>
      <c r="D75" s="59"/>
      <c r="E75" s="59"/>
      <c r="F75" s="59"/>
      <c r="G75" s="71"/>
      <c r="H75" s="56"/>
      <c r="I75" s="59"/>
      <c r="J75" s="89"/>
    </row>
    <row r="76" spans="2:10">
      <c r="B76" s="91"/>
      <c r="C76" s="73"/>
      <c r="D76" s="59" t="s">
        <v>198</v>
      </c>
      <c r="E76" s="59" t="s">
        <v>0</v>
      </c>
      <c r="F76" s="59" t="s">
        <v>122</v>
      </c>
      <c r="G76" s="59" t="s">
        <v>121</v>
      </c>
      <c r="H76" s="105" t="s">
        <v>196</v>
      </c>
      <c r="I76" s="59"/>
      <c r="J76" s="89"/>
    </row>
    <row r="77" spans="2:10">
      <c r="B77" s="91" t="s">
        <v>199</v>
      </c>
      <c r="C77" s="73"/>
      <c r="D77" s="59">
        <v>0</v>
      </c>
      <c r="E77" s="59">
        <v>0</v>
      </c>
      <c r="F77" s="59">
        <v>0</v>
      </c>
      <c r="G77" s="64">
        <v>0</v>
      </c>
      <c r="H77" s="105">
        <f t="shared" ref="H77:H83" si="0">G77/E$57</f>
        <v>0</v>
      </c>
      <c r="I77" s="59"/>
      <c r="J77" s="89"/>
    </row>
    <row r="78" spans="2:10">
      <c r="B78" s="91" t="s">
        <v>200</v>
      </c>
      <c r="C78" s="73"/>
      <c r="D78" s="59">
        <v>1</v>
      </c>
      <c r="E78" s="59">
        <f>E58</f>
        <v>0.5</v>
      </c>
      <c r="F78" s="59">
        <f>E58*E70</f>
        <v>39.473684210526315</v>
      </c>
      <c r="G78" s="64">
        <f t="shared" ref="G78:G83" si="1">G77-0.5*(F78+F77)*(E78-E77)</f>
        <v>-9.8684210526315788</v>
      </c>
      <c r="H78" s="105">
        <f t="shared" si="0"/>
        <v>-2.192982456140351</v>
      </c>
      <c r="I78" s="59"/>
      <c r="J78" s="89"/>
    </row>
    <row r="79" spans="2:10">
      <c r="B79" s="91" t="s">
        <v>201</v>
      </c>
      <c r="C79" s="73"/>
      <c r="D79" s="59">
        <v>2</v>
      </c>
      <c r="E79" s="59">
        <f>E78+E15</f>
        <v>0.8</v>
      </c>
      <c r="F79" s="59">
        <f>F78-E5+E70*E15</f>
        <v>-86.84210526315789</v>
      </c>
      <c r="G79" s="64">
        <f t="shared" si="1"/>
        <v>-2.7631578947368416</v>
      </c>
      <c r="H79" s="105">
        <f t="shared" si="0"/>
        <v>-0.61403508771929816</v>
      </c>
      <c r="I79" s="59"/>
      <c r="J79" s="89"/>
    </row>
    <row r="80" spans="2:10">
      <c r="B80" s="91" t="s">
        <v>202</v>
      </c>
      <c r="C80" s="73"/>
      <c r="D80" s="59">
        <v>3</v>
      </c>
      <c r="E80" s="59">
        <f>E79+E74</f>
        <v>1.9000000000000001</v>
      </c>
      <c r="F80" s="59">
        <v>0</v>
      </c>
      <c r="G80" s="64">
        <f t="shared" si="1"/>
        <v>45</v>
      </c>
      <c r="H80" s="105">
        <f t="shared" si="0"/>
        <v>10</v>
      </c>
      <c r="I80" s="59"/>
      <c r="J80" s="89"/>
    </row>
    <row r="81" spans="2:10">
      <c r="B81" s="91" t="s">
        <v>203</v>
      </c>
      <c r="C81" s="73"/>
      <c r="D81" s="59">
        <v>4</v>
      </c>
      <c r="E81" s="59">
        <f>E73+E79</f>
        <v>3</v>
      </c>
      <c r="F81" s="59">
        <f>E6+F82-E70*E17</f>
        <v>86.84210526315789</v>
      </c>
      <c r="G81" s="64">
        <f t="shared" si="1"/>
        <v>-2.7631578947368354</v>
      </c>
      <c r="H81" s="105">
        <f t="shared" si="0"/>
        <v>-0.61403508771929671</v>
      </c>
      <c r="I81" s="59"/>
      <c r="J81" s="89"/>
    </row>
    <row r="82" spans="2:10">
      <c r="B82" s="91" t="s">
        <v>204</v>
      </c>
      <c r="C82" s="73"/>
      <c r="D82" s="59">
        <v>5</v>
      </c>
      <c r="E82" s="59">
        <f>E56-E59</f>
        <v>3.3</v>
      </c>
      <c r="F82" s="59">
        <f>-E59*E70</f>
        <v>-39.473684210526329</v>
      </c>
      <c r="G82" s="64">
        <f t="shared" si="1"/>
        <v>-9.8684210526315645</v>
      </c>
      <c r="H82" s="105">
        <f t="shared" si="0"/>
        <v>-2.1929824561403475</v>
      </c>
      <c r="I82" s="59"/>
      <c r="J82" s="89"/>
    </row>
    <row r="83" spans="2:10">
      <c r="B83" s="91" t="s">
        <v>205</v>
      </c>
      <c r="C83" s="73"/>
      <c r="D83" s="59">
        <v>6</v>
      </c>
      <c r="E83" s="59">
        <f>E56</f>
        <v>3.8000000000000003</v>
      </c>
      <c r="F83" s="59">
        <v>0</v>
      </c>
      <c r="G83" s="64">
        <f t="shared" si="1"/>
        <v>2.6645352591003757E-14</v>
      </c>
      <c r="H83" s="105">
        <f t="shared" si="0"/>
        <v>5.9211894646675018E-15</v>
      </c>
      <c r="I83" s="59"/>
      <c r="J83" s="89"/>
    </row>
    <row r="84" spans="2:10">
      <c r="B84" s="91"/>
      <c r="C84" s="73"/>
      <c r="D84" s="59"/>
      <c r="E84" s="59"/>
      <c r="F84" s="59"/>
      <c r="G84" s="71"/>
      <c r="H84" s="56"/>
      <c r="I84" s="59"/>
      <c r="J84" s="89"/>
    </row>
    <row r="85" spans="2:10">
      <c r="B85" s="91" t="s">
        <v>208</v>
      </c>
      <c r="C85" s="73"/>
      <c r="D85" s="59" t="s">
        <v>122</v>
      </c>
      <c r="E85" s="106" cm="1">
        <f t="array" ref="E85">MAX(ABS(F77:F83))</f>
        <v>86.84210526315789</v>
      </c>
      <c r="F85" s="59" t="s">
        <v>20</v>
      </c>
      <c r="G85" s="71"/>
      <c r="H85" s="56"/>
      <c r="I85" s="59"/>
      <c r="J85" s="89"/>
    </row>
    <row r="86" spans="2:10">
      <c r="B86" s="91" t="s">
        <v>209</v>
      </c>
      <c r="C86" s="73"/>
      <c r="D86" s="59" t="s">
        <v>206</v>
      </c>
      <c r="E86" s="107">
        <f>MAX(H77:H83)</f>
        <v>10</v>
      </c>
      <c r="F86" s="59" t="s">
        <v>135</v>
      </c>
      <c r="G86" s="71"/>
      <c r="H86" s="56"/>
      <c r="I86" s="59"/>
      <c r="J86" s="89"/>
    </row>
    <row r="87" spans="2:10">
      <c r="B87" s="91" t="s">
        <v>210</v>
      </c>
      <c r="C87" s="73"/>
      <c r="D87" s="59" t="s">
        <v>207</v>
      </c>
      <c r="E87" s="107">
        <f>MIN(H77:H83)</f>
        <v>-2.192982456140351</v>
      </c>
      <c r="F87" s="59" t="s">
        <v>135</v>
      </c>
      <c r="G87" s="71"/>
      <c r="H87" s="56"/>
      <c r="I87" s="59"/>
      <c r="J87" s="89"/>
    </row>
    <row r="88" spans="2:10">
      <c r="B88" s="91"/>
      <c r="C88" s="73"/>
      <c r="D88" s="59"/>
      <c r="E88" s="59"/>
      <c r="F88" s="59"/>
      <c r="G88" s="71"/>
      <c r="H88" s="56"/>
      <c r="I88" s="59"/>
      <c r="J88" s="89"/>
    </row>
    <row r="89" spans="2:10">
      <c r="B89" s="91"/>
      <c r="C89" s="73"/>
      <c r="D89" s="59"/>
      <c r="E89" s="59"/>
      <c r="F89" s="59"/>
      <c r="G89" s="71"/>
      <c r="H89" s="56"/>
      <c r="I89" s="59"/>
      <c r="J89" s="89"/>
    </row>
    <row r="90" spans="2:10">
      <c r="B90" s="91"/>
      <c r="C90" s="73"/>
      <c r="D90" s="59"/>
      <c r="E90" s="59"/>
      <c r="F90" s="59"/>
      <c r="G90" s="71"/>
      <c r="H90" s="56"/>
      <c r="I90" s="59"/>
      <c r="J90" s="89"/>
    </row>
    <row r="91" spans="2:10">
      <c r="B91" s="91"/>
      <c r="C91" s="73"/>
      <c r="D91" s="59"/>
      <c r="E91" s="59"/>
      <c r="F91" s="59"/>
      <c r="G91" s="71"/>
      <c r="H91" s="56"/>
      <c r="I91" s="59"/>
      <c r="J91" s="89"/>
    </row>
    <row r="92" spans="2:10">
      <c r="B92" s="92"/>
      <c r="C92" s="100"/>
      <c r="D92" s="93"/>
      <c r="E92" s="93"/>
      <c r="F92" s="93"/>
      <c r="G92" s="95"/>
      <c r="H92" s="104"/>
      <c r="I92" s="93"/>
      <c r="J92" s="90"/>
    </row>
    <row r="93" spans="2:10">
      <c r="G93" s="23"/>
    </row>
    <row r="94" spans="2:10">
      <c r="G94" s="23"/>
    </row>
    <row r="95" spans="2:10">
      <c r="G95" s="23"/>
    </row>
    <row r="96" spans="2:10">
      <c r="B96" s="162" t="s">
        <v>211</v>
      </c>
      <c r="C96" s="163"/>
      <c r="D96" s="163"/>
      <c r="E96" s="163"/>
      <c r="F96" s="163"/>
      <c r="G96" s="163"/>
      <c r="H96" s="163"/>
      <c r="I96" s="163"/>
      <c r="J96" s="164"/>
    </row>
    <row r="97" spans="2:15">
      <c r="B97" s="91"/>
      <c r="C97" s="73"/>
      <c r="D97" s="59"/>
      <c r="E97" s="59"/>
      <c r="F97" s="59"/>
      <c r="G97" s="71"/>
      <c r="H97" s="56"/>
      <c r="I97" s="59"/>
      <c r="J97" s="89"/>
    </row>
    <row r="98" spans="2:15">
      <c r="B98" s="91"/>
      <c r="C98" s="73"/>
      <c r="D98" s="59"/>
      <c r="E98" s="59"/>
      <c r="F98" s="59"/>
      <c r="G98" s="71"/>
      <c r="H98" s="56"/>
      <c r="I98" s="59"/>
      <c r="J98" s="89"/>
    </row>
    <row r="99" spans="2:15">
      <c r="B99" s="91"/>
      <c r="C99" s="56"/>
      <c r="D99" s="59"/>
      <c r="E99" s="59"/>
      <c r="F99" s="59"/>
      <c r="G99" s="71"/>
      <c r="H99" s="56"/>
      <c r="I99" s="59"/>
      <c r="J99" s="89"/>
    </row>
    <row r="100" spans="2:15">
      <c r="B100" s="91"/>
      <c r="C100" s="56"/>
      <c r="D100" s="59"/>
      <c r="E100" s="59"/>
      <c r="F100" s="59"/>
      <c r="G100" s="71"/>
      <c r="H100" s="56"/>
      <c r="I100" s="59"/>
      <c r="J100" s="89"/>
    </row>
    <row r="101" spans="2:15">
      <c r="B101" s="91"/>
      <c r="C101" s="73"/>
      <c r="D101" s="59"/>
      <c r="E101" s="59"/>
      <c r="F101" s="59"/>
      <c r="G101" s="71"/>
      <c r="H101" s="56"/>
      <c r="I101" s="59"/>
      <c r="J101" s="89"/>
    </row>
    <row r="102" spans="2:15">
      <c r="B102" s="91"/>
      <c r="C102" s="73"/>
      <c r="D102" s="59"/>
      <c r="E102" s="59"/>
      <c r="F102" s="59"/>
      <c r="G102" s="71"/>
      <c r="H102" s="56"/>
      <c r="I102" s="59"/>
      <c r="J102" s="89"/>
    </row>
    <row r="103" spans="2:15">
      <c r="B103" s="91"/>
      <c r="C103" s="73"/>
      <c r="D103" s="59"/>
      <c r="E103" s="59"/>
      <c r="F103" s="59"/>
      <c r="G103" s="71"/>
      <c r="H103" s="56"/>
      <c r="I103" s="59"/>
      <c r="J103" s="89"/>
      <c r="O103" s="22" t="s">
        <v>5</v>
      </c>
    </row>
    <row r="104" spans="2:15">
      <c r="B104" s="91"/>
      <c r="C104" s="73"/>
      <c r="D104" s="59"/>
      <c r="E104" s="59"/>
      <c r="F104" s="59"/>
      <c r="G104" s="71"/>
      <c r="H104" s="56"/>
      <c r="I104" s="59"/>
      <c r="J104" s="89"/>
    </row>
    <row r="105" spans="2:15">
      <c r="B105" s="91"/>
      <c r="C105" s="73"/>
      <c r="D105" s="59"/>
      <c r="E105" s="59"/>
      <c r="F105" s="59"/>
      <c r="G105" s="71"/>
      <c r="H105" s="56"/>
      <c r="I105" s="59"/>
      <c r="J105" s="89"/>
    </row>
    <row r="106" spans="2:15">
      <c r="B106" s="96" t="s">
        <v>212</v>
      </c>
      <c r="C106" s="73"/>
      <c r="D106" s="59"/>
      <c r="E106" s="59"/>
      <c r="F106" s="59"/>
      <c r="G106" s="71"/>
      <c r="H106" s="56"/>
      <c r="I106" s="59"/>
      <c r="J106" s="89"/>
    </row>
    <row r="107" spans="2:15">
      <c r="B107" s="91" t="s">
        <v>7</v>
      </c>
      <c r="C107" s="73"/>
      <c r="D107" s="59" t="s">
        <v>126</v>
      </c>
      <c r="E107" s="88">
        <f>E11-E12</f>
        <v>63</v>
      </c>
      <c r="F107" s="59" t="s">
        <v>128</v>
      </c>
      <c r="G107" s="71"/>
      <c r="H107" s="56"/>
      <c r="I107" s="59"/>
      <c r="J107" s="89"/>
    </row>
    <row r="108" spans="2:15">
      <c r="B108" s="91"/>
      <c r="C108" s="73"/>
      <c r="D108" s="59"/>
      <c r="E108" s="59"/>
      <c r="F108" s="59"/>
      <c r="G108" s="71"/>
      <c r="H108" s="56"/>
      <c r="I108" s="59"/>
      <c r="J108" s="89"/>
    </row>
    <row r="109" spans="2:15">
      <c r="B109" s="91" t="s">
        <v>239</v>
      </c>
      <c r="C109" s="73"/>
      <c r="D109" s="59" t="s">
        <v>118</v>
      </c>
      <c r="E109" s="59">
        <f>E15*100+E107/2</f>
        <v>61.5</v>
      </c>
      <c r="F109" s="59" t="s">
        <v>128</v>
      </c>
      <c r="G109" s="71"/>
      <c r="H109" s="56"/>
      <c r="I109" s="59"/>
      <c r="J109" s="89"/>
    </row>
    <row r="110" spans="2:15">
      <c r="B110" s="91"/>
      <c r="C110" s="73"/>
      <c r="D110" s="59" t="s">
        <v>213</v>
      </c>
      <c r="E110" s="59">
        <f>E16*100+E107/2</f>
        <v>121.5</v>
      </c>
      <c r="F110" s="59" t="s">
        <v>128</v>
      </c>
      <c r="G110" s="71"/>
      <c r="H110" s="56"/>
      <c r="I110" s="59"/>
      <c r="J110" s="89"/>
    </row>
    <row r="111" spans="2:15">
      <c r="B111" s="91" t="s">
        <v>240</v>
      </c>
      <c r="C111" s="73"/>
      <c r="D111" s="59" t="s">
        <v>214</v>
      </c>
      <c r="E111" s="59">
        <f>E5-E69*E109*E110/100/100</f>
        <v>136.89078947368421</v>
      </c>
      <c r="F111" s="59" t="s">
        <v>20</v>
      </c>
      <c r="G111" s="71"/>
      <c r="H111" s="56"/>
      <c r="I111" s="59"/>
      <c r="J111" s="89"/>
    </row>
    <row r="112" spans="2:15">
      <c r="B112" s="91" t="s">
        <v>241</v>
      </c>
      <c r="C112" s="73"/>
      <c r="D112" s="59" t="s">
        <v>217</v>
      </c>
      <c r="E112" s="59">
        <f>E111/(E109+E110)/2/E107*1000</f>
        <v>5.9368023884848737</v>
      </c>
      <c r="F112" s="59" t="s">
        <v>104</v>
      </c>
      <c r="G112" s="71"/>
      <c r="H112" s="56"/>
      <c r="I112" s="59"/>
      <c r="J112" s="89"/>
    </row>
    <row r="113" spans="2:10">
      <c r="B113" s="91" t="s">
        <v>242</v>
      </c>
      <c r="C113" s="73"/>
      <c r="D113" s="59" t="s">
        <v>218</v>
      </c>
      <c r="E113" s="59">
        <f>MIN(1,0.5+MIN(E109:E110)/MAX(E109:E110))*E37</f>
        <v>10.419266035745402</v>
      </c>
      <c r="F113" s="59" t="s">
        <v>104</v>
      </c>
      <c r="G113" s="71"/>
      <c r="H113" s="56"/>
      <c r="I113" s="59"/>
      <c r="J113" s="89"/>
    </row>
    <row r="114" spans="2:10">
      <c r="B114" s="91"/>
      <c r="C114" s="73"/>
      <c r="D114" s="59" t="s">
        <v>94</v>
      </c>
      <c r="E114" s="83">
        <f>E113/E112</f>
        <v>1.7550299561856384</v>
      </c>
      <c r="F114" s="59" t="s">
        <v>134</v>
      </c>
      <c r="G114" s="71"/>
      <c r="H114" s="56"/>
      <c r="I114" s="59"/>
      <c r="J114" s="89"/>
    </row>
    <row r="115" spans="2:10">
      <c r="B115" s="91"/>
      <c r="C115" s="73"/>
      <c r="D115" s="59"/>
      <c r="E115" s="59"/>
      <c r="F115" s="59"/>
      <c r="G115" s="71"/>
      <c r="H115" s="56"/>
      <c r="I115" s="59"/>
      <c r="J115" s="89"/>
    </row>
    <row r="116" spans="2:10">
      <c r="B116" s="91" t="s">
        <v>239</v>
      </c>
      <c r="C116" s="73"/>
      <c r="D116" s="59" t="s">
        <v>215</v>
      </c>
      <c r="E116" s="59">
        <f>E17*100+E107/2</f>
        <v>61.5</v>
      </c>
      <c r="F116" s="59" t="s">
        <v>128</v>
      </c>
      <c r="G116" s="71"/>
      <c r="H116" s="56"/>
      <c r="I116" s="59"/>
      <c r="J116" s="89"/>
    </row>
    <row r="117" spans="2:10">
      <c r="B117" s="91"/>
      <c r="C117" s="73"/>
      <c r="D117" s="59" t="s">
        <v>216</v>
      </c>
      <c r="E117" s="59">
        <f>E18*100+E107/2</f>
        <v>121.5</v>
      </c>
      <c r="F117" s="59" t="s">
        <v>128</v>
      </c>
      <c r="G117" s="71"/>
      <c r="H117" s="56"/>
      <c r="I117" s="59"/>
      <c r="J117" s="89"/>
    </row>
    <row r="118" spans="2:10">
      <c r="B118" s="91" t="s">
        <v>240</v>
      </c>
      <c r="C118" s="73"/>
      <c r="D118" s="59" t="s">
        <v>214</v>
      </c>
      <c r="E118" s="59">
        <f>E6-E69*E116*E117/10000</f>
        <v>136.89078947368421</v>
      </c>
      <c r="F118" s="59" t="s">
        <v>20</v>
      </c>
      <c r="G118" s="71"/>
      <c r="H118" s="56"/>
      <c r="I118" s="59"/>
      <c r="J118" s="89"/>
    </row>
    <row r="119" spans="2:10">
      <c r="B119" s="91" t="s">
        <v>241</v>
      </c>
      <c r="C119" s="73"/>
      <c r="D119" s="59" t="s">
        <v>217</v>
      </c>
      <c r="E119" s="59">
        <f>E118/(E116+E117)/2/E107*1000</f>
        <v>5.9368023884848737</v>
      </c>
      <c r="F119" s="59" t="s">
        <v>104</v>
      </c>
      <c r="G119" s="71"/>
      <c r="H119" s="56"/>
      <c r="I119" s="59"/>
      <c r="J119" s="89"/>
    </row>
    <row r="120" spans="2:10">
      <c r="B120" s="91" t="s">
        <v>242</v>
      </c>
      <c r="C120" s="73"/>
      <c r="D120" s="59" t="s">
        <v>218</v>
      </c>
      <c r="E120" s="59">
        <f>MIN(1,0.5+MIN(E116:E117)/MAX(E116:E117))*E37</f>
        <v>10.419266035745402</v>
      </c>
      <c r="F120" s="59" t="s">
        <v>104</v>
      </c>
      <c r="G120" s="71"/>
      <c r="H120" s="56"/>
      <c r="I120" s="59"/>
      <c r="J120" s="89"/>
    </row>
    <row r="121" spans="2:10">
      <c r="B121" s="91"/>
      <c r="C121" s="73"/>
      <c r="D121" s="59" t="s">
        <v>94</v>
      </c>
      <c r="E121" s="83">
        <f>E120/E119</f>
        <v>1.7550299561856384</v>
      </c>
      <c r="F121" s="59" t="s">
        <v>134</v>
      </c>
      <c r="G121" s="71"/>
      <c r="H121" s="56"/>
      <c r="I121" s="59"/>
      <c r="J121" s="89"/>
    </row>
    <row r="122" spans="2:10">
      <c r="B122" s="91"/>
      <c r="C122" s="73"/>
      <c r="D122" s="59"/>
      <c r="E122" s="59"/>
      <c r="F122" s="59"/>
      <c r="G122" s="71"/>
      <c r="H122" s="56"/>
      <c r="I122" s="59"/>
      <c r="J122" s="89"/>
    </row>
    <row r="123" spans="2:10">
      <c r="B123" s="96" t="s">
        <v>219</v>
      </c>
      <c r="C123" s="73"/>
      <c r="D123" s="59"/>
      <c r="E123" s="59"/>
      <c r="F123" s="59"/>
      <c r="G123" s="71"/>
      <c r="H123" s="56"/>
      <c r="I123" s="59"/>
      <c r="J123" s="89"/>
    </row>
    <row r="124" spans="2:10">
      <c r="B124" s="91"/>
      <c r="C124" s="73"/>
      <c r="D124" s="59" t="s">
        <v>220</v>
      </c>
      <c r="E124" s="59">
        <f>E85/E107/E57*10</f>
        <v>3.0632135895293788</v>
      </c>
      <c r="F124" s="59" t="s">
        <v>104</v>
      </c>
      <c r="G124" s="71"/>
      <c r="H124" s="56"/>
      <c r="I124" s="59"/>
      <c r="J124" s="89"/>
    </row>
    <row r="125" spans="2:10">
      <c r="B125" s="91"/>
      <c r="C125" s="73"/>
      <c r="D125" s="59" t="s">
        <v>94</v>
      </c>
      <c r="E125" s="83">
        <f>E36/E124</f>
        <v>2.1944624243027415</v>
      </c>
      <c r="F125" s="59" t="s">
        <v>134</v>
      </c>
      <c r="G125" s="71"/>
      <c r="H125" s="56"/>
      <c r="I125" s="59"/>
      <c r="J125" s="89"/>
    </row>
    <row r="126" spans="2:10">
      <c r="B126" s="91"/>
      <c r="C126" s="73"/>
      <c r="D126" s="59"/>
      <c r="E126" s="59"/>
      <c r="F126" s="59"/>
      <c r="G126" s="71"/>
      <c r="H126" s="56"/>
      <c r="I126" s="59"/>
      <c r="J126" s="89"/>
    </row>
    <row r="127" spans="2:10">
      <c r="B127" s="96" t="s">
        <v>221</v>
      </c>
      <c r="C127" s="73"/>
      <c r="D127" s="59"/>
      <c r="E127" s="59"/>
      <c r="F127" s="59"/>
      <c r="G127" s="71"/>
      <c r="H127" s="56"/>
      <c r="I127" s="59"/>
      <c r="J127" s="89"/>
    </row>
    <row r="128" spans="2:10">
      <c r="B128" s="91" t="s">
        <v>243</v>
      </c>
      <c r="C128" s="73"/>
      <c r="D128" s="59" t="s">
        <v>223</v>
      </c>
      <c r="E128" s="59">
        <f>E86/0.95/E107/E42*100000</f>
        <v>8.0021253644968127</v>
      </c>
      <c r="F128" s="59" t="s">
        <v>137</v>
      </c>
      <c r="G128" s="71"/>
      <c r="H128" s="56"/>
      <c r="I128" s="59"/>
      <c r="J128" s="89"/>
    </row>
    <row r="129" spans="2:10">
      <c r="B129" s="91" t="s">
        <v>244</v>
      </c>
      <c r="C129" s="73"/>
      <c r="D129" s="59" t="s">
        <v>22</v>
      </c>
      <c r="E129" s="17">
        <v>12</v>
      </c>
      <c r="F129" s="59" t="s">
        <v>75</v>
      </c>
      <c r="G129" s="71" t="s">
        <v>224</v>
      </c>
      <c r="H129" s="56">
        <f>3.14*E129*E129/4/100</f>
        <v>1.1303999999999998</v>
      </c>
      <c r="I129" s="59" t="s">
        <v>137</v>
      </c>
      <c r="J129" s="89"/>
    </row>
    <row r="130" spans="2:10">
      <c r="B130" s="91" t="s">
        <v>245</v>
      </c>
      <c r="C130" s="73"/>
      <c r="D130" s="59" t="s">
        <v>225</v>
      </c>
      <c r="E130" s="88">
        <f>ROUNDUP(MAX(5,E128/H129),0)</f>
        <v>8</v>
      </c>
      <c r="F130" s="59"/>
      <c r="G130" s="71"/>
      <c r="H130" s="56"/>
      <c r="I130" s="59"/>
      <c r="J130" s="89"/>
    </row>
    <row r="131" spans="2:10">
      <c r="B131" s="91"/>
      <c r="C131" s="73"/>
      <c r="D131" s="59"/>
      <c r="E131" s="59"/>
      <c r="F131" s="59"/>
      <c r="G131" s="71"/>
      <c r="H131" s="56"/>
      <c r="I131" s="59"/>
      <c r="J131" s="89"/>
    </row>
    <row r="132" spans="2:10">
      <c r="B132" s="91" t="s">
        <v>246</v>
      </c>
      <c r="C132" s="73"/>
      <c r="D132" s="59" t="s">
        <v>226</v>
      </c>
      <c r="E132" s="59">
        <f>E85/0.95/E107/3.14/E129/E130*100</f>
        <v>0.48135480056717944</v>
      </c>
      <c r="F132" s="59" t="s">
        <v>104</v>
      </c>
      <c r="G132" s="71"/>
      <c r="H132" s="56"/>
      <c r="I132" s="59"/>
      <c r="J132" s="89"/>
    </row>
    <row r="133" spans="2:10">
      <c r="B133" s="91"/>
      <c r="C133" s="73"/>
      <c r="D133" s="59" t="s">
        <v>94</v>
      </c>
      <c r="E133" s="83">
        <f>E38/E132</f>
        <v>17.502767010114489</v>
      </c>
      <c r="F133" s="59"/>
      <c r="G133" s="71"/>
      <c r="H133" s="56"/>
      <c r="I133" s="59"/>
      <c r="J133" s="89"/>
    </row>
    <row r="134" spans="2:10">
      <c r="B134" s="91"/>
      <c r="C134" s="73"/>
      <c r="D134" s="59"/>
      <c r="E134" s="59"/>
      <c r="F134" s="59"/>
      <c r="G134" s="71"/>
      <c r="H134" s="56"/>
      <c r="I134" s="59"/>
      <c r="J134" s="89"/>
    </row>
    <row r="135" spans="2:10">
      <c r="B135" s="91" t="s">
        <v>247</v>
      </c>
      <c r="C135" s="73"/>
      <c r="D135" s="59" t="s">
        <v>222</v>
      </c>
      <c r="E135" s="59">
        <f>-E87*100000/0.95/E107/E42</f>
        <v>1.7548520536177219</v>
      </c>
      <c r="F135" s="59" t="s">
        <v>137</v>
      </c>
      <c r="G135" s="71"/>
      <c r="H135" s="56"/>
      <c r="I135" s="59"/>
      <c r="J135" s="89"/>
    </row>
    <row r="136" spans="2:10">
      <c r="B136" s="91" t="s">
        <v>244</v>
      </c>
      <c r="C136" s="73"/>
      <c r="D136" s="59" t="s">
        <v>22</v>
      </c>
      <c r="E136" s="17">
        <v>12</v>
      </c>
      <c r="F136" s="59" t="s">
        <v>75</v>
      </c>
      <c r="G136" s="71" t="s">
        <v>224</v>
      </c>
      <c r="H136" s="56">
        <f>3.14*E136*E136/4/100</f>
        <v>1.1303999999999998</v>
      </c>
      <c r="I136" s="59" t="s">
        <v>137</v>
      </c>
      <c r="J136" s="89"/>
    </row>
    <row r="137" spans="2:10">
      <c r="B137" s="91" t="s">
        <v>245</v>
      </c>
      <c r="C137" s="73"/>
      <c r="D137" s="59" t="s">
        <v>225</v>
      </c>
      <c r="E137" s="88">
        <f>ROUNDUP(MAX(5,E135/H136),0)</f>
        <v>5</v>
      </c>
      <c r="F137" s="59"/>
      <c r="G137" s="71"/>
      <c r="H137" s="56"/>
      <c r="I137" s="59"/>
      <c r="J137" s="89"/>
    </row>
    <row r="138" spans="2:10">
      <c r="B138" s="91"/>
      <c r="C138" s="73"/>
      <c r="D138" s="59"/>
      <c r="E138" s="59"/>
      <c r="F138" s="59"/>
      <c r="G138" s="71"/>
      <c r="H138" s="56"/>
      <c r="I138" s="59"/>
      <c r="J138" s="89"/>
    </row>
    <row r="139" spans="2:10">
      <c r="B139" s="92"/>
      <c r="C139" s="100"/>
      <c r="D139" s="93"/>
      <c r="E139" s="93"/>
      <c r="F139" s="93"/>
      <c r="G139" s="95"/>
      <c r="H139" s="104"/>
      <c r="I139" s="93"/>
      <c r="J139" s="90"/>
    </row>
    <row r="144" spans="2:10">
      <c r="B144" s="97"/>
      <c r="C144" s="101"/>
      <c r="D144" s="98"/>
      <c r="E144" s="98"/>
      <c r="F144" s="98"/>
      <c r="G144" s="98"/>
      <c r="H144" s="101"/>
      <c r="I144" s="98"/>
      <c r="J144" s="99"/>
    </row>
    <row r="145" spans="2:10">
      <c r="B145" s="96" t="s">
        <v>227</v>
      </c>
      <c r="C145" s="73"/>
      <c r="D145" s="59"/>
      <c r="E145" s="59"/>
      <c r="F145" s="59"/>
      <c r="G145" s="71"/>
      <c r="H145" s="56"/>
      <c r="I145" s="59"/>
      <c r="J145" s="89"/>
    </row>
    <row r="146" spans="2:10">
      <c r="B146" s="96"/>
      <c r="C146" s="73"/>
      <c r="D146" s="59"/>
      <c r="E146" s="59"/>
      <c r="F146" s="59"/>
      <c r="G146" s="71"/>
      <c r="H146" s="56"/>
      <c r="I146" s="59"/>
      <c r="J146" s="89"/>
    </row>
    <row r="147" spans="2:10">
      <c r="B147" s="91" t="s">
        <v>0</v>
      </c>
      <c r="C147" s="56">
        <f>(E57-E16)/2</f>
        <v>1.8</v>
      </c>
      <c r="D147" s="59" t="s">
        <v>21</v>
      </c>
      <c r="E147" s="71"/>
      <c r="F147" s="59"/>
      <c r="G147" s="59" t="s">
        <v>0</v>
      </c>
      <c r="H147" s="56">
        <f>(E57-E17)/2</f>
        <v>2.1</v>
      </c>
      <c r="I147" s="59" t="s">
        <v>21</v>
      </c>
      <c r="J147" s="89"/>
    </row>
    <row r="148" spans="2:10">
      <c r="B148" s="91" t="s">
        <v>4</v>
      </c>
      <c r="C148" s="56">
        <f>E16+E107*2/100</f>
        <v>2.16</v>
      </c>
      <c r="D148" s="59" t="s">
        <v>128</v>
      </c>
      <c r="E148" s="71"/>
      <c r="F148" s="59"/>
      <c r="G148" s="59" t="s">
        <v>4</v>
      </c>
      <c r="H148" s="56">
        <f>E18+E107*2/100</f>
        <v>2.16</v>
      </c>
      <c r="I148" s="59" t="s">
        <v>21</v>
      </c>
      <c r="J148" s="89"/>
    </row>
    <row r="149" spans="2:10">
      <c r="B149" s="91" t="s">
        <v>15</v>
      </c>
      <c r="C149" s="56">
        <f>E5/E57/C148</f>
        <v>15.432098765432098</v>
      </c>
      <c r="D149" s="59" t="s">
        <v>91</v>
      </c>
      <c r="E149" s="71"/>
      <c r="F149" s="59"/>
      <c r="G149" s="59" t="s">
        <v>15</v>
      </c>
      <c r="H149" s="56">
        <f>E6/E57/H148</f>
        <v>15.432098765432098</v>
      </c>
      <c r="I149" s="59" t="s">
        <v>91</v>
      </c>
      <c r="J149" s="89"/>
    </row>
    <row r="150" spans="2:10">
      <c r="B150" s="91" t="s">
        <v>3</v>
      </c>
      <c r="C150" s="56">
        <f>E5/E57</f>
        <v>33.333333333333336</v>
      </c>
      <c r="D150" s="59" t="s">
        <v>96</v>
      </c>
      <c r="E150" s="71"/>
      <c r="F150" s="59"/>
      <c r="G150" s="59" t="s">
        <v>3</v>
      </c>
      <c r="H150" s="56">
        <f>E6/E57</f>
        <v>33.333333333333336</v>
      </c>
      <c r="I150" s="59" t="s">
        <v>96</v>
      </c>
      <c r="J150" s="89"/>
    </row>
    <row r="151" spans="2:10">
      <c r="B151" s="91"/>
      <c r="C151" s="56"/>
      <c r="D151" s="59"/>
      <c r="E151" s="71"/>
      <c r="F151" s="59"/>
      <c r="G151" s="59"/>
      <c r="H151" s="56"/>
      <c r="I151" s="59"/>
      <c r="J151" s="89"/>
    </row>
    <row r="152" spans="2:10">
      <c r="B152" s="91" t="s">
        <v>122</v>
      </c>
      <c r="C152" s="56">
        <f>C150*C147</f>
        <v>60.000000000000007</v>
      </c>
      <c r="D152" s="59" t="s">
        <v>20</v>
      </c>
      <c r="E152" s="71"/>
      <c r="F152" s="59"/>
      <c r="G152" s="59" t="s">
        <v>122</v>
      </c>
      <c r="H152" s="56">
        <f>H150*H147</f>
        <v>70.000000000000014</v>
      </c>
      <c r="I152" s="59"/>
      <c r="J152" s="89"/>
    </row>
    <row r="153" spans="2:10">
      <c r="B153" s="91" t="s">
        <v>228</v>
      </c>
      <c r="C153" s="56">
        <f>C150*C147*C147/2</f>
        <v>54.000000000000007</v>
      </c>
      <c r="D153" s="59" t="s">
        <v>229</v>
      </c>
      <c r="E153" s="71"/>
      <c r="F153" s="59"/>
      <c r="G153" s="59" t="s">
        <v>230</v>
      </c>
      <c r="H153" s="56">
        <f>H150*H147*H147/2</f>
        <v>73.500000000000014</v>
      </c>
      <c r="I153" s="59" t="s">
        <v>229</v>
      </c>
      <c r="J153" s="89"/>
    </row>
    <row r="154" spans="2:10">
      <c r="B154" s="91"/>
      <c r="C154" s="56"/>
      <c r="D154" s="59"/>
      <c r="E154" s="71"/>
      <c r="F154" s="59"/>
      <c r="G154" s="59"/>
      <c r="H154" s="56"/>
      <c r="I154" s="59"/>
      <c r="J154" s="89"/>
    </row>
    <row r="155" spans="2:10">
      <c r="B155" s="91" t="s">
        <v>136</v>
      </c>
      <c r="C155" s="56">
        <f>C153*100000/0.95/E107/E42/C148</f>
        <v>20.005313411242032</v>
      </c>
      <c r="D155" s="59" t="s">
        <v>137</v>
      </c>
      <c r="E155" s="71"/>
      <c r="F155" s="59"/>
      <c r="G155" s="59" t="s">
        <v>136</v>
      </c>
      <c r="H155" s="56">
        <f>H153*100000/(0.95*E107*E42)/H148</f>
        <v>27.229454365301653</v>
      </c>
      <c r="I155" s="59" t="s">
        <v>137</v>
      </c>
      <c r="J155" s="89"/>
    </row>
    <row r="156" spans="2:10">
      <c r="B156" s="91" t="s">
        <v>22</v>
      </c>
      <c r="C156" s="102">
        <v>20</v>
      </c>
      <c r="D156" s="59" t="s">
        <v>75</v>
      </c>
      <c r="E156" s="59"/>
      <c r="F156" s="59"/>
      <c r="G156" s="59" t="s">
        <v>22</v>
      </c>
      <c r="H156" s="102">
        <v>20</v>
      </c>
      <c r="I156" s="59" t="s">
        <v>75</v>
      </c>
      <c r="J156" s="89"/>
    </row>
    <row r="157" spans="2:10" hidden="1">
      <c r="B157" s="94" t="s">
        <v>224</v>
      </c>
      <c r="C157" s="73">
        <f>3.14*C156*C156/4/100</f>
        <v>3.14</v>
      </c>
      <c r="D157" s="59" t="s">
        <v>137</v>
      </c>
      <c r="E157" s="71"/>
      <c r="F157" s="59"/>
      <c r="G157" s="71" t="s">
        <v>224</v>
      </c>
      <c r="H157" s="56">
        <f>3.14*H156*H156/4/100</f>
        <v>3.14</v>
      </c>
      <c r="I157" s="59" t="s">
        <v>137</v>
      </c>
      <c r="J157" s="89"/>
    </row>
    <row r="158" spans="2:10">
      <c r="B158" s="91" t="s">
        <v>225</v>
      </c>
      <c r="C158" s="103">
        <f>ROUNDUP(MAX(5,C155/C157),0)</f>
        <v>7</v>
      </c>
      <c r="D158" s="59"/>
      <c r="E158" s="71"/>
      <c r="F158" s="59"/>
      <c r="G158" s="59" t="s">
        <v>225</v>
      </c>
      <c r="H158" s="103">
        <f>ROUNDUP(MAX(5,H155/H157),0)</f>
        <v>9</v>
      </c>
      <c r="I158" s="59"/>
      <c r="J158" s="89"/>
    </row>
    <row r="159" spans="2:10">
      <c r="B159" s="91" t="s">
        <v>226</v>
      </c>
      <c r="C159" s="56">
        <f>C152/0.95/E107/3.14/C156/C158*1000</f>
        <v>2.2804965097000918</v>
      </c>
      <c r="D159" s="59" t="s">
        <v>104</v>
      </c>
      <c r="E159" s="71"/>
      <c r="F159" s="59"/>
      <c r="G159" s="59" t="s">
        <v>226</v>
      </c>
      <c r="H159" s="56">
        <f>C152/0.95/E107/3.14/H156/H158*1000</f>
        <v>1.773719507544516</v>
      </c>
      <c r="I159" s="59" t="s">
        <v>104</v>
      </c>
      <c r="J159" s="89"/>
    </row>
    <row r="160" spans="2:10">
      <c r="B160" s="91"/>
      <c r="C160" s="73"/>
      <c r="D160" s="59"/>
      <c r="E160" s="59"/>
      <c r="F160" s="59"/>
      <c r="G160" s="59"/>
      <c r="H160" s="56"/>
      <c r="I160" s="59"/>
      <c r="J160" s="89"/>
    </row>
    <row r="161" spans="2:10">
      <c r="B161" s="91"/>
      <c r="C161" s="73"/>
      <c r="D161" s="59"/>
      <c r="E161" s="59"/>
      <c r="F161" s="59"/>
      <c r="G161" s="71"/>
      <c r="H161" s="56"/>
      <c r="I161" s="59"/>
      <c r="J161" s="89"/>
    </row>
    <row r="162" spans="2:10">
      <c r="B162" s="91"/>
      <c r="C162" s="73"/>
      <c r="D162" s="59"/>
      <c r="E162" s="59"/>
      <c r="F162" s="59"/>
      <c r="G162" s="71"/>
      <c r="H162" s="56"/>
      <c r="I162" s="59"/>
      <c r="J162" s="89"/>
    </row>
    <row r="163" spans="2:10">
      <c r="B163" s="91"/>
      <c r="C163" s="73"/>
      <c r="D163" s="59"/>
      <c r="E163" s="59"/>
      <c r="F163" s="59"/>
      <c r="G163" s="71"/>
      <c r="H163" s="56"/>
      <c r="I163" s="59"/>
      <c r="J163" s="89"/>
    </row>
    <row r="164" spans="2:10">
      <c r="B164" s="91"/>
      <c r="C164" s="73"/>
      <c r="D164" s="59"/>
      <c r="E164" s="59"/>
      <c r="F164" s="59"/>
      <c r="G164" s="71"/>
      <c r="H164" s="56"/>
      <c r="I164" s="59"/>
      <c r="J164" s="89"/>
    </row>
    <row r="165" spans="2:10">
      <c r="B165" s="91"/>
      <c r="C165" s="73"/>
      <c r="D165" s="59"/>
      <c r="E165" s="59"/>
      <c r="F165" s="59"/>
      <c r="G165" s="71"/>
      <c r="H165" s="56"/>
      <c r="I165" s="59"/>
      <c r="J165" s="89"/>
    </row>
    <row r="166" spans="2:10">
      <c r="B166" s="91"/>
      <c r="C166" s="73"/>
      <c r="D166" s="59"/>
      <c r="E166" s="59"/>
      <c r="F166" s="59"/>
      <c r="G166" s="71"/>
      <c r="H166" s="56"/>
      <c r="I166" s="59"/>
      <c r="J166" s="89"/>
    </row>
    <row r="167" spans="2:10">
      <c r="B167" s="91"/>
      <c r="C167" s="73"/>
      <c r="D167" s="59"/>
      <c r="E167" s="59"/>
      <c r="F167" s="59"/>
      <c r="G167" s="71"/>
      <c r="H167" s="56"/>
      <c r="I167" s="59"/>
      <c r="J167" s="89"/>
    </row>
    <row r="168" spans="2:10">
      <c r="B168" s="91"/>
      <c r="C168" s="73"/>
      <c r="D168" s="59"/>
      <c r="E168" s="59"/>
      <c r="F168" s="59"/>
      <c r="G168" s="71"/>
      <c r="H168" s="56"/>
      <c r="I168" s="59"/>
      <c r="J168" s="89"/>
    </row>
    <row r="169" spans="2:10">
      <c r="B169" s="91"/>
      <c r="C169" s="73"/>
      <c r="D169" s="59"/>
      <c r="E169" s="59"/>
      <c r="F169" s="59"/>
      <c r="G169" s="71"/>
      <c r="H169" s="56"/>
      <c r="I169" s="59"/>
      <c r="J169" s="89"/>
    </row>
    <row r="170" spans="2:10">
      <c r="B170" s="91"/>
      <c r="C170" s="73"/>
      <c r="D170" s="59"/>
      <c r="E170" s="59"/>
      <c r="F170" s="59"/>
      <c r="G170" s="71"/>
      <c r="H170" s="56"/>
      <c r="I170" s="59"/>
      <c r="J170" s="89"/>
    </row>
    <row r="171" spans="2:10">
      <c r="B171" s="91"/>
      <c r="C171" s="73"/>
      <c r="D171" s="59"/>
      <c r="E171" s="59"/>
      <c r="F171" s="59"/>
      <c r="G171" s="71"/>
      <c r="H171" s="56"/>
      <c r="I171" s="59"/>
      <c r="J171" s="89"/>
    </row>
    <row r="172" spans="2:10">
      <c r="B172" s="91"/>
      <c r="C172" s="73"/>
      <c r="D172" s="59"/>
      <c r="E172" s="59"/>
      <c r="F172" s="59"/>
      <c r="G172" s="71"/>
      <c r="H172" s="56"/>
      <c r="I172" s="59"/>
      <c r="J172" s="89"/>
    </row>
    <row r="173" spans="2:10">
      <c r="B173" s="91"/>
      <c r="C173" s="73"/>
      <c r="D173" s="59"/>
      <c r="E173" s="59"/>
      <c r="F173" s="59"/>
      <c r="G173" s="71"/>
      <c r="H173" s="56"/>
      <c r="I173" s="59"/>
      <c r="J173" s="89"/>
    </row>
    <row r="174" spans="2:10">
      <c r="B174" s="91"/>
      <c r="C174" s="73"/>
      <c r="D174" s="59"/>
      <c r="E174" s="59"/>
      <c r="F174" s="59"/>
      <c r="G174" s="71"/>
      <c r="H174" s="56"/>
      <c r="I174" s="59"/>
      <c r="J174" s="89"/>
    </row>
    <row r="175" spans="2:10">
      <c r="B175" s="91"/>
      <c r="C175" s="73"/>
      <c r="D175" s="59"/>
      <c r="E175" s="59"/>
      <c r="F175" s="59"/>
      <c r="G175" s="71"/>
      <c r="H175" s="56"/>
      <c r="I175" s="59"/>
      <c r="J175" s="89"/>
    </row>
    <row r="176" spans="2:10">
      <c r="B176" s="91"/>
      <c r="C176" s="73"/>
      <c r="D176" s="59" t="s">
        <v>94</v>
      </c>
      <c r="E176" s="59"/>
      <c r="F176" s="59"/>
      <c r="G176" s="71"/>
      <c r="H176" s="56"/>
      <c r="I176" s="59"/>
      <c r="J176" s="89"/>
    </row>
    <row r="177" spans="2:10">
      <c r="B177" s="91"/>
      <c r="C177" s="73"/>
      <c r="D177" s="59"/>
      <c r="E177" s="59"/>
      <c r="F177" s="59"/>
      <c r="G177" s="71"/>
      <c r="H177" s="56"/>
      <c r="I177" s="59"/>
      <c r="J177" s="89"/>
    </row>
    <row r="178" spans="2:10">
      <c r="B178" s="91"/>
      <c r="C178" s="73"/>
      <c r="D178" s="59"/>
      <c r="E178" s="59"/>
      <c r="F178" s="59"/>
      <c r="G178" s="71"/>
      <c r="H178" s="56"/>
      <c r="I178" s="59"/>
      <c r="J178" s="89"/>
    </row>
    <row r="179" spans="2:10">
      <c r="B179" s="91"/>
      <c r="C179" s="73"/>
      <c r="D179" s="59"/>
      <c r="E179" s="59"/>
      <c r="F179" s="59"/>
      <c r="G179" s="71"/>
      <c r="H179" s="56"/>
      <c r="I179" s="59"/>
      <c r="J179" s="89"/>
    </row>
    <row r="180" spans="2:10">
      <c r="B180" s="91"/>
      <c r="C180" s="73"/>
      <c r="D180" s="59"/>
      <c r="E180" s="59"/>
      <c r="F180" s="59"/>
      <c r="G180" s="71"/>
      <c r="H180" s="56"/>
      <c r="I180" s="59"/>
      <c r="J180" s="89"/>
    </row>
    <row r="181" spans="2:10">
      <c r="B181" s="91"/>
      <c r="C181" s="73"/>
      <c r="D181" s="59"/>
      <c r="E181" s="59"/>
      <c r="F181" s="59"/>
      <c r="G181" s="71"/>
      <c r="H181" s="56"/>
      <c r="I181" s="59"/>
      <c r="J181" s="89"/>
    </row>
    <row r="182" spans="2:10">
      <c r="B182" s="91"/>
      <c r="C182" s="73"/>
      <c r="D182" s="59"/>
      <c r="E182" s="59"/>
      <c r="F182" s="59"/>
      <c r="G182" s="71"/>
      <c r="H182" s="56"/>
      <c r="I182" s="59"/>
      <c r="J182" s="89"/>
    </row>
    <row r="183" spans="2:10">
      <c r="B183" s="91"/>
      <c r="C183" s="73"/>
      <c r="D183" s="59"/>
      <c r="E183" s="59"/>
      <c r="F183" s="59"/>
      <c r="G183" s="71"/>
      <c r="H183" s="56"/>
      <c r="I183" s="59"/>
      <c r="J183" s="89"/>
    </row>
    <row r="184" spans="2:10">
      <c r="B184" s="91"/>
      <c r="C184" s="73"/>
      <c r="D184" s="59"/>
      <c r="E184" s="59"/>
      <c r="F184" s="59"/>
      <c r="G184" s="71"/>
      <c r="H184" s="56"/>
      <c r="I184" s="59"/>
      <c r="J184" s="89"/>
    </row>
    <row r="185" spans="2:10">
      <c r="B185" s="91"/>
      <c r="C185" s="73"/>
      <c r="D185" s="59"/>
      <c r="E185" s="59"/>
      <c r="F185" s="59"/>
      <c r="G185" s="71"/>
      <c r="H185" s="56"/>
      <c r="I185" s="59"/>
      <c r="J185" s="89"/>
    </row>
    <row r="186" spans="2:10">
      <c r="B186" s="92"/>
      <c r="C186" s="100"/>
      <c r="D186" s="93"/>
      <c r="E186" s="93"/>
      <c r="F186" s="93"/>
      <c r="G186" s="95"/>
      <c r="H186" s="104"/>
      <c r="I186" s="93"/>
      <c r="J186" s="90"/>
    </row>
  </sheetData>
  <mergeCells count="10">
    <mergeCell ref="B40:F40"/>
    <mergeCell ref="B3:J3"/>
    <mergeCell ref="B49:J49"/>
    <mergeCell ref="B96:J96"/>
    <mergeCell ref="B4:F4"/>
    <mergeCell ref="B9:F9"/>
    <mergeCell ref="B14:F14"/>
    <mergeCell ref="B20:F20"/>
    <mergeCell ref="B25:F25"/>
    <mergeCell ref="B32:F32"/>
  </mergeCells>
  <phoneticPr fontId="18" type="noConversion"/>
  <conditionalFormatting sqref="E114">
    <cfRule type="cellIs" dxfId="9" priority="3" operator="lessThan">
      <formula>1</formula>
    </cfRule>
    <cfRule type="cellIs" dxfId="8" priority="4" operator="greaterThan">
      <formula>1</formula>
    </cfRule>
  </conditionalFormatting>
  <conditionalFormatting sqref="E133 E125 E121">
    <cfRule type="cellIs" dxfId="7" priority="1" operator="lessThan">
      <formula>1</formula>
    </cfRule>
    <cfRule type="cellIs" dxfId="6" priority="2" operator="greaterThan">
      <formula>1</formula>
    </cfRule>
  </conditionalFormatting>
  <pageMargins left="0.25" right="0.25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82FAE-36C8-4DD6-8470-DAB8BF241DDE}">
  <sheetPr codeName="Sheet11"/>
  <dimension ref="A1:K59"/>
  <sheetViews>
    <sheetView zoomScale="85" zoomScaleNormal="85" workbookViewId="0">
      <selection activeCell="I49" sqref="I49"/>
    </sheetView>
  </sheetViews>
  <sheetFormatPr defaultRowHeight="14.4"/>
  <cols>
    <col min="3" max="3" width="11.21875" customWidth="1"/>
    <col min="5" max="5" width="9.21875" bestFit="1" customWidth="1"/>
    <col min="11" max="11" width="9.33203125" bestFit="1" customWidth="1"/>
    <col min="12" max="13" width="9.109375" bestFit="1" customWidth="1"/>
    <col min="14" max="14" width="9.21875" bestFit="1" customWidth="1"/>
    <col min="15" max="15" width="9.33203125" bestFit="1" customWidth="1"/>
    <col min="16" max="16" width="9.109375" bestFit="1" customWidth="1"/>
    <col min="17" max="28" width="9" bestFit="1" customWidth="1"/>
  </cols>
  <sheetData>
    <row r="1" spans="1:6">
      <c r="A1" t="s">
        <v>5</v>
      </c>
    </row>
    <row r="3" spans="1:6">
      <c r="B3" s="165" t="s">
        <v>168</v>
      </c>
      <c r="C3" s="165"/>
      <c r="D3" s="165"/>
      <c r="E3" s="165"/>
      <c r="F3" s="165"/>
    </row>
    <row r="4" spans="1:6">
      <c r="B4" s="113" t="s">
        <v>162</v>
      </c>
      <c r="C4" s="113"/>
      <c r="D4" s="108" t="s">
        <v>95</v>
      </c>
      <c r="E4" s="17">
        <v>18</v>
      </c>
      <c r="F4" s="108" t="s">
        <v>91</v>
      </c>
    </row>
    <row r="5" spans="1:6">
      <c r="B5" s="113" t="s">
        <v>78</v>
      </c>
      <c r="C5" s="113"/>
      <c r="D5" s="108" t="s">
        <v>79</v>
      </c>
      <c r="E5" s="17">
        <v>0.5</v>
      </c>
      <c r="F5" s="108" t="s">
        <v>91</v>
      </c>
    </row>
    <row r="6" spans="1:6">
      <c r="B6" s="113" t="s">
        <v>86</v>
      </c>
      <c r="C6" s="113"/>
      <c r="D6" s="108" t="s">
        <v>23</v>
      </c>
      <c r="E6" s="17">
        <v>3</v>
      </c>
      <c r="F6" s="108" t="s">
        <v>21</v>
      </c>
    </row>
    <row r="7" spans="1:6">
      <c r="B7" s="113" t="s">
        <v>169</v>
      </c>
      <c r="C7" s="113"/>
      <c r="D7" s="108" t="s">
        <v>22</v>
      </c>
      <c r="E7" s="17">
        <v>1.5</v>
      </c>
      <c r="F7" s="108" t="s">
        <v>21</v>
      </c>
    </row>
    <row r="13" spans="1:6">
      <c r="B13" s="165" t="s">
        <v>283</v>
      </c>
      <c r="C13" s="165"/>
      <c r="D13" s="165"/>
      <c r="E13" s="165"/>
      <c r="F13" s="165"/>
    </row>
    <row r="14" spans="1:6">
      <c r="B14" s="113" t="s">
        <v>105</v>
      </c>
      <c r="C14" s="113"/>
      <c r="D14" s="108" t="s">
        <v>98</v>
      </c>
      <c r="E14" s="17">
        <v>300</v>
      </c>
      <c r="F14" s="108" t="s">
        <v>104</v>
      </c>
    </row>
    <row r="15" spans="1:6">
      <c r="B15" s="113" t="s">
        <v>106</v>
      </c>
      <c r="C15" s="113"/>
      <c r="D15" s="108" t="s">
        <v>102</v>
      </c>
      <c r="E15">
        <f>POWER(E14,2/3)*1.5</f>
        <v>67.221071198357436</v>
      </c>
      <c r="F15" s="108" t="s">
        <v>104</v>
      </c>
    </row>
    <row r="16" spans="1:6">
      <c r="B16" s="113" t="s">
        <v>107</v>
      </c>
      <c r="C16" s="113"/>
      <c r="D16" s="108" t="s">
        <v>103</v>
      </c>
      <c r="E16">
        <f>POWER(E14,2/3)*2.35</f>
        <v>105.31301154409333</v>
      </c>
      <c r="F16" s="108" t="s">
        <v>104</v>
      </c>
    </row>
    <row r="17" spans="2:8">
      <c r="B17" s="113" t="s">
        <v>142</v>
      </c>
      <c r="C17" s="113"/>
      <c r="D17" s="108" t="s">
        <v>101</v>
      </c>
      <c r="E17">
        <f>0.1*E15</f>
        <v>6.7221071198357443</v>
      </c>
      <c r="F17" s="108" t="s">
        <v>104</v>
      </c>
    </row>
    <row r="18" spans="2:8">
      <c r="B18" s="113" t="s">
        <v>143</v>
      </c>
      <c r="C18" s="113"/>
      <c r="D18" s="108" t="s">
        <v>124</v>
      </c>
      <c r="E18">
        <f>0.155*E15</f>
        <v>10.419266035745402</v>
      </c>
      <c r="F18" s="108" t="s">
        <v>104</v>
      </c>
    </row>
    <row r="19" spans="2:8">
      <c r="B19" s="113" t="s">
        <v>144</v>
      </c>
      <c r="C19" s="113"/>
      <c r="D19" s="108" t="s">
        <v>145</v>
      </c>
      <c r="E19">
        <f>E16/12.5</f>
        <v>8.425040923527467</v>
      </c>
      <c r="F19" s="108" t="s">
        <v>104</v>
      </c>
    </row>
    <row r="20" spans="2:8">
      <c r="B20" s="113"/>
      <c r="C20" s="113"/>
      <c r="D20" s="108" t="s">
        <v>293</v>
      </c>
      <c r="E20" s="124">
        <v>2000000</v>
      </c>
      <c r="F20" s="108" t="s">
        <v>91</v>
      </c>
    </row>
    <row r="22" spans="2:8">
      <c r="B22" s="165" t="s">
        <v>110</v>
      </c>
      <c r="C22" s="165"/>
      <c r="D22" s="165"/>
      <c r="E22" s="165"/>
      <c r="F22" s="165"/>
    </row>
    <row r="23" spans="2:8">
      <c r="B23" s="113" t="s">
        <v>108</v>
      </c>
      <c r="C23" s="113"/>
      <c r="D23" s="108" t="s">
        <v>99</v>
      </c>
      <c r="E23" s="17">
        <v>3600</v>
      </c>
      <c r="F23" s="108" t="s">
        <v>104</v>
      </c>
    </row>
    <row r="24" spans="2:8">
      <c r="B24" s="113" t="s">
        <v>109</v>
      </c>
      <c r="C24" s="113"/>
      <c r="D24" s="108" t="s">
        <v>100</v>
      </c>
      <c r="E24" s="108">
        <v>2088</v>
      </c>
      <c r="F24" s="108" t="s">
        <v>104</v>
      </c>
    </row>
    <row r="25" spans="2:8">
      <c r="B25" s="113"/>
      <c r="C25" s="113"/>
      <c r="D25" s="108" t="s">
        <v>270</v>
      </c>
      <c r="E25" s="108">
        <v>0.95</v>
      </c>
      <c r="F25" s="108"/>
    </row>
    <row r="26" spans="2:8">
      <c r="B26" s="113"/>
      <c r="C26" s="113"/>
      <c r="D26" s="108"/>
      <c r="E26" s="108"/>
      <c r="F26" s="108"/>
    </row>
    <row r="27" spans="2:8">
      <c r="B27" s="113" t="s">
        <v>71</v>
      </c>
      <c r="C27" s="113"/>
      <c r="D27" s="108" t="s">
        <v>85</v>
      </c>
      <c r="E27" s="17">
        <v>50</v>
      </c>
      <c r="F27" s="108" t="s">
        <v>128</v>
      </c>
    </row>
    <row r="28" spans="2:8">
      <c r="B28" s="113" t="s">
        <v>127</v>
      </c>
      <c r="C28" s="113"/>
      <c r="D28" s="108"/>
      <c r="E28" s="17">
        <v>7</v>
      </c>
      <c r="F28" s="108" t="s">
        <v>128</v>
      </c>
    </row>
    <row r="29" spans="2:8">
      <c r="B29" s="113"/>
      <c r="C29" s="113"/>
      <c r="D29" s="108" t="s">
        <v>126</v>
      </c>
      <c r="E29" s="108">
        <f>E27-E28</f>
        <v>43</v>
      </c>
      <c r="F29" s="108" t="s">
        <v>128</v>
      </c>
    </row>
    <row r="32" spans="2:8">
      <c r="B32" t="s">
        <v>172</v>
      </c>
      <c r="E32" t="s">
        <v>287</v>
      </c>
      <c r="H32" t="s">
        <v>80</v>
      </c>
    </row>
    <row r="33" spans="2:11">
      <c r="B33" t="s">
        <v>55</v>
      </c>
      <c r="C33" t="s">
        <v>81</v>
      </c>
      <c r="D33" t="s">
        <v>286</v>
      </c>
      <c r="E33" t="s">
        <v>0</v>
      </c>
      <c r="F33" t="s">
        <v>9</v>
      </c>
      <c r="G33" t="s">
        <v>8</v>
      </c>
      <c r="H33" t="s">
        <v>285</v>
      </c>
      <c r="I33" t="s">
        <v>288</v>
      </c>
      <c r="J33" t="s">
        <v>292</v>
      </c>
      <c r="K33" t="s">
        <v>186</v>
      </c>
    </row>
    <row r="34" spans="2:11">
      <c r="C34" t="s">
        <v>20</v>
      </c>
      <c r="D34" t="s">
        <v>21</v>
      </c>
      <c r="E34" t="s">
        <v>21</v>
      </c>
      <c r="F34" t="s">
        <v>21</v>
      </c>
      <c r="G34" t="s">
        <v>21</v>
      </c>
      <c r="H34" t="s">
        <v>128</v>
      </c>
      <c r="I34" t="s">
        <v>96</v>
      </c>
      <c r="J34" t="s">
        <v>21</v>
      </c>
      <c r="K34" t="s">
        <v>20</v>
      </c>
    </row>
    <row r="35" spans="2:11">
      <c r="B35" s="14">
        <v>0</v>
      </c>
      <c r="C35" s="14">
        <v>100</v>
      </c>
      <c r="D35" s="14">
        <v>-1</v>
      </c>
      <c r="E35" s="14">
        <v>0</v>
      </c>
      <c r="F35" s="14">
        <v>3</v>
      </c>
      <c r="G35" s="14">
        <v>3</v>
      </c>
      <c r="H35" s="14">
        <v>1</v>
      </c>
      <c r="I35" s="14">
        <f t="shared" ref="I35:I40" si="0">$E$4*F35*G35/H35*100</f>
        <v>16200</v>
      </c>
      <c r="J35" s="125">
        <v>6.273762953611671E-3</v>
      </c>
      <c r="K35" s="14">
        <f>J35*I35</f>
        <v>101.63495984850907</v>
      </c>
    </row>
    <row r="36" spans="2:11">
      <c r="B36" s="14">
        <v>1</v>
      </c>
      <c r="C36" s="14">
        <v>100</v>
      </c>
      <c r="D36" s="14">
        <v>0</v>
      </c>
      <c r="E36" s="14">
        <f>E35+C50</f>
        <v>4</v>
      </c>
      <c r="F36" s="14">
        <v>2.5</v>
      </c>
      <c r="G36" s="14">
        <v>3</v>
      </c>
      <c r="H36" s="14">
        <v>1</v>
      </c>
      <c r="I36" s="14">
        <f t="shared" si="0"/>
        <v>13500</v>
      </c>
      <c r="J36" s="125">
        <v>7.1890230303543355E-3</v>
      </c>
      <c r="K36" s="14">
        <f t="shared" ref="K36:K45" si="1">J36*I36</f>
        <v>97.051810909783526</v>
      </c>
    </row>
    <row r="37" spans="2:11">
      <c r="B37" s="14">
        <v>2</v>
      </c>
      <c r="C37" s="14">
        <v>100</v>
      </c>
      <c r="D37" s="14">
        <v>0</v>
      </c>
      <c r="E37" s="14">
        <f t="shared" ref="E37:E40" si="2">E36+C51</f>
        <v>9</v>
      </c>
      <c r="F37" s="14">
        <v>3</v>
      </c>
      <c r="G37" s="14">
        <v>3</v>
      </c>
      <c r="H37" s="14">
        <v>1</v>
      </c>
      <c r="I37" s="14">
        <f t="shared" si="0"/>
        <v>16200</v>
      </c>
      <c r="J37" s="125">
        <v>6.375861191363478E-3</v>
      </c>
      <c r="K37" s="14">
        <f t="shared" si="1"/>
        <v>103.28895130008834</v>
      </c>
    </row>
    <row r="38" spans="2:11">
      <c r="B38" s="14">
        <v>3</v>
      </c>
      <c r="C38" s="14">
        <v>100</v>
      </c>
      <c r="D38" s="14">
        <v>0</v>
      </c>
      <c r="E38" s="14">
        <f t="shared" si="2"/>
        <v>12</v>
      </c>
      <c r="F38" s="14">
        <v>2.5</v>
      </c>
      <c r="G38" s="14">
        <v>3</v>
      </c>
      <c r="H38" s="14">
        <v>1</v>
      </c>
      <c r="I38" s="14">
        <f t="shared" si="0"/>
        <v>13500</v>
      </c>
      <c r="J38" s="125">
        <v>7.3690879592030719E-3</v>
      </c>
      <c r="K38" s="14">
        <f t="shared" si="1"/>
        <v>99.482687449241467</v>
      </c>
    </row>
    <row r="39" spans="2:11">
      <c r="B39" s="14">
        <v>4</v>
      </c>
      <c r="C39" s="14">
        <v>100</v>
      </c>
      <c r="D39" s="14">
        <v>0</v>
      </c>
      <c r="E39" s="14">
        <f t="shared" si="2"/>
        <v>16.5</v>
      </c>
      <c r="F39" s="14">
        <v>3</v>
      </c>
      <c r="G39" s="14">
        <v>3</v>
      </c>
      <c r="H39" s="14">
        <v>1</v>
      </c>
      <c r="I39" s="14">
        <f t="shared" si="0"/>
        <v>16200</v>
      </c>
      <c r="J39" s="125">
        <v>4.1595663517929506E-3</v>
      </c>
      <c r="K39" s="14">
        <f t="shared" si="1"/>
        <v>67.384974899045801</v>
      </c>
    </row>
    <row r="40" spans="2:11">
      <c r="B40" s="14">
        <v>5</v>
      </c>
      <c r="C40" s="14">
        <v>100</v>
      </c>
      <c r="D40" s="14">
        <v>1</v>
      </c>
      <c r="E40" s="14">
        <f t="shared" si="2"/>
        <v>20</v>
      </c>
      <c r="F40" s="14">
        <v>2</v>
      </c>
      <c r="G40" s="14">
        <v>3</v>
      </c>
      <c r="H40" s="14">
        <v>1</v>
      </c>
      <c r="I40" s="14">
        <f t="shared" si="0"/>
        <v>10800</v>
      </c>
      <c r="J40" s="125">
        <v>1.2144131073456653E-2</v>
      </c>
      <c r="K40" s="14">
        <f t="shared" si="1"/>
        <v>131.15661559333185</v>
      </c>
    </row>
    <row r="41" spans="2:11">
      <c r="B41" s="14">
        <v>6</v>
      </c>
      <c r="C41" s="14"/>
      <c r="D41" s="14"/>
      <c r="E41" s="14"/>
      <c r="F41" s="14"/>
      <c r="G41" s="14"/>
      <c r="H41" s="14"/>
      <c r="I41" s="14"/>
      <c r="J41" s="125"/>
      <c r="K41" s="14">
        <f t="shared" si="1"/>
        <v>0</v>
      </c>
    </row>
    <row r="42" spans="2:11">
      <c r="B42" s="14">
        <v>7</v>
      </c>
      <c r="C42" s="14"/>
      <c r="D42" s="14"/>
      <c r="E42" s="14"/>
      <c r="F42" s="14"/>
      <c r="G42" s="14"/>
      <c r="H42" s="14"/>
      <c r="I42" s="14"/>
      <c r="J42" s="125"/>
      <c r="K42" s="14">
        <f t="shared" si="1"/>
        <v>0</v>
      </c>
    </row>
    <row r="43" spans="2:11">
      <c r="B43" s="14">
        <v>8</v>
      </c>
      <c r="C43" s="14"/>
      <c r="D43" s="14"/>
      <c r="E43" s="14"/>
      <c r="F43" s="14"/>
      <c r="G43" s="14"/>
      <c r="H43" s="14"/>
      <c r="I43" s="14"/>
      <c r="J43" s="125"/>
      <c r="K43" s="14">
        <f t="shared" si="1"/>
        <v>0</v>
      </c>
    </row>
    <row r="44" spans="2:11">
      <c r="B44" s="14">
        <v>9</v>
      </c>
      <c r="C44" s="14"/>
      <c r="D44" s="14"/>
      <c r="E44" s="14"/>
      <c r="F44" s="14"/>
      <c r="G44" s="14"/>
      <c r="H44" s="14"/>
      <c r="I44" s="14"/>
      <c r="J44" s="125"/>
      <c r="K44" s="14">
        <f t="shared" si="1"/>
        <v>0</v>
      </c>
    </row>
    <row r="45" spans="2:11">
      <c r="B45" s="14">
        <v>10</v>
      </c>
      <c r="C45" s="14"/>
      <c r="D45" s="14"/>
      <c r="E45" s="14"/>
      <c r="F45" s="14"/>
      <c r="G45" s="14"/>
      <c r="H45" s="14"/>
      <c r="I45" s="14"/>
      <c r="J45" s="125"/>
      <c r="K45" s="14">
        <f t="shared" si="1"/>
        <v>0</v>
      </c>
    </row>
    <row r="48" spans="2:11">
      <c r="B48" t="s">
        <v>289</v>
      </c>
    </row>
    <row r="49" spans="2:7">
      <c r="B49" t="s">
        <v>55</v>
      </c>
      <c r="C49" t="s">
        <v>9</v>
      </c>
      <c r="D49" t="s">
        <v>4</v>
      </c>
      <c r="E49" t="s">
        <v>16</v>
      </c>
      <c r="F49" t="s">
        <v>291</v>
      </c>
      <c r="G49" t="s">
        <v>290</v>
      </c>
    </row>
    <row r="50" spans="2:7">
      <c r="B50" s="14">
        <v>0</v>
      </c>
      <c r="C50" s="14">
        <v>4</v>
      </c>
      <c r="D50" s="14">
        <v>0.3</v>
      </c>
      <c r="E50" s="14">
        <v>0.6</v>
      </c>
      <c r="F50" s="14">
        <f>IFERROR(E$20*D50*E50*E50*E50/12,"")</f>
        <v>10800</v>
      </c>
      <c r="G50" s="14">
        <f>C50-(F36+F37)/2</f>
        <v>1.25</v>
      </c>
    </row>
    <row r="51" spans="2:7">
      <c r="B51" s="14">
        <v>1</v>
      </c>
      <c r="C51" s="14">
        <v>5</v>
      </c>
      <c r="D51" s="14">
        <v>0.3</v>
      </c>
      <c r="E51" s="14">
        <v>0.6</v>
      </c>
      <c r="F51" s="14">
        <f t="shared" ref="F51:F59" si="3">IFERROR(E$20*D51*E51*E51*E51/12,"")</f>
        <v>10800</v>
      </c>
      <c r="G51" s="14">
        <f t="shared" ref="G51:G59" si="4">C51-(F37+F38)/2</f>
        <v>2.25</v>
      </c>
    </row>
    <row r="52" spans="2:7">
      <c r="B52" s="14">
        <v>2</v>
      </c>
      <c r="C52" s="14">
        <v>3</v>
      </c>
      <c r="D52" s="14">
        <v>0.3</v>
      </c>
      <c r="E52" s="14">
        <v>0.6</v>
      </c>
      <c r="F52" s="14">
        <f t="shared" si="3"/>
        <v>10800</v>
      </c>
      <c r="G52" s="14">
        <f t="shared" si="4"/>
        <v>0.25</v>
      </c>
    </row>
    <row r="53" spans="2:7">
      <c r="B53" s="14">
        <v>3</v>
      </c>
      <c r="C53" s="14">
        <v>4.5</v>
      </c>
      <c r="D53" s="14">
        <v>0.3</v>
      </c>
      <c r="E53" s="14">
        <v>0.6</v>
      </c>
      <c r="F53" s="14">
        <f t="shared" si="3"/>
        <v>10800</v>
      </c>
      <c r="G53" s="14">
        <f t="shared" si="4"/>
        <v>2</v>
      </c>
    </row>
    <row r="54" spans="2:7">
      <c r="B54" s="14">
        <v>4</v>
      </c>
      <c r="C54" s="14">
        <v>3.5</v>
      </c>
      <c r="D54" s="14">
        <v>0.3</v>
      </c>
      <c r="E54" s="14">
        <v>0.6</v>
      </c>
      <c r="F54" s="14">
        <f t="shared" si="3"/>
        <v>10800</v>
      </c>
      <c r="G54" s="14">
        <f t="shared" si="4"/>
        <v>2.5</v>
      </c>
    </row>
    <row r="55" spans="2:7">
      <c r="B55" s="14">
        <v>5</v>
      </c>
      <c r="C55" s="14"/>
      <c r="D55" s="14"/>
      <c r="E55" s="14"/>
      <c r="F55" s="14">
        <f t="shared" si="3"/>
        <v>0</v>
      </c>
      <c r="G55" s="14">
        <f t="shared" si="4"/>
        <v>0</v>
      </c>
    </row>
    <row r="56" spans="2:7">
      <c r="B56" s="14">
        <v>6</v>
      </c>
      <c r="C56" s="14"/>
      <c r="D56" s="14"/>
      <c r="E56" s="14"/>
      <c r="F56" s="14">
        <f t="shared" si="3"/>
        <v>0</v>
      </c>
      <c r="G56" s="14">
        <f t="shared" si="4"/>
        <v>0</v>
      </c>
    </row>
    <row r="57" spans="2:7">
      <c r="B57" s="14">
        <v>7</v>
      </c>
      <c r="C57" s="14"/>
      <c r="D57" s="14"/>
      <c r="E57" s="14"/>
      <c r="F57" s="14">
        <f t="shared" si="3"/>
        <v>0</v>
      </c>
      <c r="G57" s="14">
        <f t="shared" si="4"/>
        <v>0</v>
      </c>
    </row>
    <row r="58" spans="2:7">
      <c r="B58" s="14">
        <v>8</v>
      </c>
      <c r="C58" s="14"/>
      <c r="D58" s="14"/>
      <c r="E58" s="14"/>
      <c r="F58" s="14">
        <f t="shared" si="3"/>
        <v>0</v>
      </c>
      <c r="G58" s="14">
        <f t="shared" si="4"/>
        <v>0</v>
      </c>
    </row>
    <row r="59" spans="2:7">
      <c r="B59" s="14">
        <v>9</v>
      </c>
      <c r="C59" s="14"/>
      <c r="D59" s="14"/>
      <c r="E59" s="14"/>
      <c r="F59" s="14">
        <f t="shared" si="3"/>
        <v>0</v>
      </c>
      <c r="G59" s="14">
        <f t="shared" si="4"/>
        <v>0</v>
      </c>
    </row>
  </sheetData>
  <mergeCells count="3">
    <mergeCell ref="B3:F3"/>
    <mergeCell ref="B13:F13"/>
    <mergeCell ref="B22:F22"/>
  </mergeCells>
  <phoneticPr fontId="1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trap.Strap">
                <anchor moveWithCells="1" sizeWithCells="1">
                  <from>
                    <xdr:col>6</xdr:col>
                    <xdr:colOff>601980</xdr:colOff>
                    <xdr:row>4</xdr:row>
                    <xdr:rowOff>137160</xdr:rowOff>
                  </from>
                  <to>
                    <xdr:col>8</xdr:col>
                    <xdr:colOff>22860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F63C8-5E7A-4E67-8459-869B875C1316}">
  <sheetPr codeName="Sheet12"/>
  <dimension ref="B5:AA42"/>
  <sheetViews>
    <sheetView tabSelected="1" topLeftCell="A6" zoomScale="92" zoomScaleNormal="100" workbookViewId="0">
      <selection activeCell="I9" sqref="I9"/>
    </sheetView>
  </sheetViews>
  <sheetFormatPr defaultColWidth="9.109375" defaultRowHeight="14.4"/>
  <cols>
    <col min="1" max="1" width="9.109375" style="108"/>
    <col min="2" max="3" width="9.109375" style="113"/>
    <col min="4" max="5" width="9.109375" style="108"/>
    <col min="6" max="7" width="13.77734375" style="108" bestFit="1" customWidth="1"/>
    <col min="8" max="10" width="9.109375" style="108"/>
    <col min="11" max="14" width="0" style="108" hidden="1" customWidth="1"/>
    <col min="15" max="15" width="9.109375" style="108"/>
    <col min="16" max="16" width="0" style="108" hidden="1" customWidth="1"/>
    <col min="17" max="17" width="7.44140625" style="108" customWidth="1"/>
    <col min="18" max="20" width="9.109375" style="108"/>
    <col min="21" max="21" width="0" style="108" hidden="1" customWidth="1"/>
    <col min="22" max="22" width="9.109375" style="109"/>
    <col min="23" max="24" width="9.109375" style="108"/>
    <col min="25" max="25" width="7.44140625" style="108" customWidth="1"/>
    <col min="26" max="26" width="9.109375" style="108"/>
    <col min="27" max="27" width="7.44140625" style="108" customWidth="1"/>
    <col min="28" max="16384" width="9.109375" style="108"/>
  </cols>
  <sheetData>
    <row r="5" spans="2:10">
      <c r="B5" s="165" t="s">
        <v>168</v>
      </c>
      <c r="C5" s="165"/>
      <c r="D5" s="165"/>
      <c r="E5" s="165"/>
      <c r="F5" s="165"/>
    </row>
    <row r="6" spans="2:10">
      <c r="B6" s="113" t="s">
        <v>162</v>
      </c>
      <c r="D6" s="108" t="s">
        <v>95</v>
      </c>
      <c r="E6" s="17">
        <v>18</v>
      </c>
      <c r="F6" s="108" t="s">
        <v>91</v>
      </c>
    </row>
    <row r="7" spans="2:10">
      <c r="B7" s="113" t="s">
        <v>78</v>
      </c>
      <c r="D7" s="108" t="s">
        <v>79</v>
      </c>
      <c r="E7" s="17">
        <v>0.5</v>
      </c>
      <c r="F7" s="108" t="s">
        <v>91</v>
      </c>
    </row>
    <row r="8" spans="2:10">
      <c r="B8" s="113" t="s">
        <v>86</v>
      </c>
      <c r="D8" s="108" t="s">
        <v>23</v>
      </c>
      <c r="E8" s="17">
        <v>3</v>
      </c>
      <c r="F8" s="108" t="s">
        <v>21</v>
      </c>
    </row>
    <row r="9" spans="2:10">
      <c r="B9" s="113" t="s">
        <v>169</v>
      </c>
      <c r="D9" s="108" t="s">
        <v>22</v>
      </c>
      <c r="E9" s="17">
        <v>1.5</v>
      </c>
      <c r="F9" s="108" t="s">
        <v>21</v>
      </c>
    </row>
    <row r="11" spans="2:10">
      <c r="B11" s="165" t="s">
        <v>283</v>
      </c>
      <c r="C11" s="165"/>
      <c r="D11" s="165"/>
      <c r="E11" s="165"/>
      <c r="F11" s="165"/>
    </row>
    <row r="12" spans="2:10">
      <c r="B12" s="113" t="s">
        <v>105</v>
      </c>
      <c r="D12" s="108" t="s">
        <v>98</v>
      </c>
      <c r="E12" s="17">
        <v>300</v>
      </c>
      <c r="F12" s="108" t="s">
        <v>104</v>
      </c>
    </row>
    <row r="13" spans="2:10">
      <c r="B13" s="113" t="s">
        <v>106</v>
      </c>
      <c r="D13" s="108" t="s">
        <v>102</v>
      </c>
      <c r="E13">
        <f>POWER(E12,2/3)*1.5</f>
        <v>67.221071198357436</v>
      </c>
      <c r="F13" s="108" t="s">
        <v>104</v>
      </c>
      <c r="J13"/>
    </row>
    <row r="14" spans="2:10">
      <c r="B14" s="113" t="s">
        <v>107</v>
      </c>
      <c r="D14" s="108" t="s">
        <v>103</v>
      </c>
      <c r="E14">
        <f>POWER(E12,2/3)*2.35</f>
        <v>105.31301154409333</v>
      </c>
      <c r="F14" s="108" t="s">
        <v>104</v>
      </c>
      <c r="J14"/>
    </row>
    <row r="15" spans="2:10">
      <c r="B15" s="113" t="s">
        <v>142</v>
      </c>
      <c r="D15" s="108" t="s">
        <v>101</v>
      </c>
      <c r="E15">
        <f>0.1*E13</f>
        <v>6.7221071198357443</v>
      </c>
      <c r="F15" s="108" t="s">
        <v>104</v>
      </c>
      <c r="J15"/>
    </row>
    <row r="16" spans="2:10">
      <c r="B16" s="113" t="s">
        <v>143</v>
      </c>
      <c r="D16" s="108" t="s">
        <v>124</v>
      </c>
      <c r="E16">
        <f>0.155*E13</f>
        <v>10.419266035745402</v>
      </c>
      <c r="F16" s="108" t="s">
        <v>104</v>
      </c>
      <c r="J16"/>
    </row>
    <row r="17" spans="2:10">
      <c r="B17" s="113" t="s">
        <v>144</v>
      </c>
      <c r="D17" s="108" t="s">
        <v>145</v>
      </c>
      <c r="E17">
        <f>E14/12.5</f>
        <v>8.425040923527467</v>
      </c>
      <c r="J17"/>
    </row>
    <row r="18" spans="2:10">
      <c r="J18"/>
    </row>
    <row r="19" spans="2:10">
      <c r="B19" s="165" t="s">
        <v>110</v>
      </c>
      <c r="C19" s="165"/>
      <c r="D19" s="165"/>
      <c r="E19" s="165"/>
      <c r="F19" s="165"/>
    </row>
    <row r="20" spans="2:10">
      <c r="B20" s="113" t="s">
        <v>108</v>
      </c>
      <c r="D20" s="108" t="s">
        <v>99</v>
      </c>
      <c r="E20" s="17">
        <v>3600</v>
      </c>
      <c r="F20" s="108" t="s">
        <v>104</v>
      </c>
    </row>
    <row r="21" spans="2:10">
      <c r="B21" s="113" t="s">
        <v>109</v>
      </c>
      <c r="D21" s="108" t="s">
        <v>100</v>
      </c>
      <c r="E21" s="108">
        <v>2088</v>
      </c>
      <c r="F21" s="108" t="s">
        <v>104</v>
      </c>
    </row>
    <row r="22" spans="2:10">
      <c r="D22" s="108" t="s">
        <v>270</v>
      </c>
      <c r="E22" s="108">
        <v>0.95</v>
      </c>
    </row>
    <row r="25" spans="2:10">
      <c r="B25" s="113" t="s">
        <v>71</v>
      </c>
      <c r="D25" s="108" t="s">
        <v>85</v>
      </c>
      <c r="E25" s="17">
        <v>50</v>
      </c>
      <c r="F25" s="108" t="s">
        <v>128</v>
      </c>
    </row>
    <row r="26" spans="2:10">
      <c r="B26" s="113" t="s">
        <v>127</v>
      </c>
      <c r="E26" s="17">
        <v>7</v>
      </c>
      <c r="F26" s="108" t="s">
        <v>128</v>
      </c>
    </row>
    <row r="27" spans="2:10">
      <c r="D27" s="108" t="s">
        <v>126</v>
      </c>
      <c r="E27" s="108">
        <f>E25-E26</f>
        <v>43</v>
      </c>
      <c r="F27" s="108" t="s">
        <v>128</v>
      </c>
    </row>
    <row r="33" spans="2:27" s="109" customFormat="1">
      <c r="B33" s="114"/>
      <c r="C33" s="166" t="s">
        <v>253</v>
      </c>
      <c r="D33" s="166"/>
      <c r="E33" s="166"/>
      <c r="F33" s="166" t="s">
        <v>172</v>
      </c>
      <c r="G33" s="166"/>
      <c r="H33" s="166"/>
      <c r="I33" s="166"/>
      <c r="J33" s="166"/>
      <c r="K33" s="166" t="s">
        <v>254</v>
      </c>
      <c r="L33" s="166"/>
      <c r="M33" s="166"/>
      <c r="N33" s="166"/>
      <c r="O33" s="166"/>
      <c r="P33" s="166"/>
      <c r="Q33" s="166"/>
      <c r="R33" s="166" t="s">
        <v>269</v>
      </c>
      <c r="S33" s="166"/>
      <c r="T33" s="166"/>
      <c r="U33" s="166"/>
      <c r="V33" s="166"/>
      <c r="W33" s="166" t="s">
        <v>281</v>
      </c>
      <c r="X33" s="166"/>
      <c r="Y33" s="166"/>
      <c r="Z33" s="166" t="s">
        <v>282</v>
      </c>
      <c r="AA33" s="166"/>
    </row>
    <row r="34" spans="2:27">
      <c r="B34" s="115" t="s">
        <v>249</v>
      </c>
      <c r="C34" s="114" t="s">
        <v>250</v>
      </c>
      <c r="D34" s="110" t="s">
        <v>234</v>
      </c>
      <c r="E34" s="110" t="s">
        <v>71</v>
      </c>
      <c r="F34" s="111" t="s">
        <v>251</v>
      </c>
      <c r="G34" s="111" t="s">
        <v>0</v>
      </c>
      <c r="H34" s="110" t="s">
        <v>68</v>
      </c>
      <c r="I34" s="110" t="s">
        <v>67</v>
      </c>
      <c r="J34" s="111" t="s">
        <v>252</v>
      </c>
      <c r="K34" s="167" t="s">
        <v>272</v>
      </c>
      <c r="L34" s="167"/>
      <c r="M34" s="111" t="s">
        <v>273</v>
      </c>
      <c r="N34" s="111"/>
      <c r="O34" s="111" t="s">
        <v>274</v>
      </c>
      <c r="P34" s="111" t="s">
        <v>275</v>
      </c>
      <c r="Q34" s="111" t="s">
        <v>276</v>
      </c>
      <c r="R34" s="111" t="s">
        <v>277</v>
      </c>
      <c r="S34" s="111" t="s">
        <v>278</v>
      </c>
      <c r="T34" s="110" t="s">
        <v>279</v>
      </c>
      <c r="U34" s="111"/>
      <c r="V34" s="110" t="s">
        <v>156</v>
      </c>
      <c r="W34" s="117" t="s">
        <v>284</v>
      </c>
      <c r="X34" s="118" t="s">
        <v>2</v>
      </c>
      <c r="Y34" s="119" t="s">
        <v>276</v>
      </c>
      <c r="Z34" s="111" t="s">
        <v>2</v>
      </c>
      <c r="AA34" s="111"/>
    </row>
    <row r="35" spans="2:27">
      <c r="B35" s="115"/>
      <c r="C35" s="114" t="s">
        <v>255</v>
      </c>
      <c r="D35" s="110" t="s">
        <v>256</v>
      </c>
      <c r="E35" s="110" t="s">
        <v>257</v>
      </c>
      <c r="F35" s="111" t="s">
        <v>258</v>
      </c>
      <c r="G35" s="111" t="s">
        <v>259</v>
      </c>
      <c r="H35" s="110" t="s">
        <v>260</v>
      </c>
      <c r="I35" s="110" t="s">
        <v>261</v>
      </c>
      <c r="J35" s="111" t="s">
        <v>262</v>
      </c>
      <c r="K35" s="111" t="s">
        <v>263</v>
      </c>
      <c r="L35" s="111" t="s">
        <v>264</v>
      </c>
      <c r="M35" s="111" t="s">
        <v>266</v>
      </c>
      <c r="N35" s="111" t="s">
        <v>267</v>
      </c>
      <c r="O35" s="111" t="s">
        <v>265</v>
      </c>
      <c r="P35" s="111" t="s">
        <v>268</v>
      </c>
      <c r="Q35" s="111" t="s">
        <v>94</v>
      </c>
      <c r="R35" s="111" t="s">
        <v>280</v>
      </c>
      <c r="S35" s="111" t="s">
        <v>136</v>
      </c>
      <c r="T35" s="110" t="s">
        <v>271</v>
      </c>
      <c r="U35" s="111" t="s">
        <v>224</v>
      </c>
      <c r="V35" s="110" t="s">
        <v>225</v>
      </c>
      <c r="W35" s="111" t="s">
        <v>122</v>
      </c>
      <c r="X35" s="111" t="s">
        <v>220</v>
      </c>
      <c r="Y35" s="111" t="s">
        <v>94</v>
      </c>
      <c r="Z35" s="111" t="s">
        <v>145</v>
      </c>
      <c r="AA35" s="111" t="s">
        <v>94</v>
      </c>
    </row>
    <row r="36" spans="2:27">
      <c r="B36" s="113">
        <v>0</v>
      </c>
      <c r="C36" s="116">
        <v>100</v>
      </c>
      <c r="D36" s="112">
        <v>30</v>
      </c>
      <c r="E36" s="112">
        <v>90</v>
      </c>
      <c r="F36" s="120">
        <f t="shared" ref="F36:F42" si="0">C36/E$6</f>
        <v>5.5555555555555554</v>
      </c>
      <c r="G36" s="120">
        <f>(-E36-D36+SQRT(D36*D36+E36*E36+4*F36*10000+3*E36*D36))/400</f>
        <v>0.92301426356722804</v>
      </c>
      <c r="H36" s="121">
        <f>CEILING(2*G36+D36/100,0.25)</f>
        <v>2.25</v>
      </c>
      <c r="I36" s="121">
        <f>CEILING(2*G36+E36/100,0.25)</f>
        <v>2.75</v>
      </c>
      <c r="J36" s="120">
        <f>C36/H36/I36</f>
        <v>16.161616161616163</v>
      </c>
      <c r="K36" s="120">
        <f t="shared" ref="K36:K42" si="1">D36+E$27</f>
        <v>73</v>
      </c>
      <c r="L36" s="120">
        <f t="shared" ref="L36:L42" si="2">E36+E$27</f>
        <v>133</v>
      </c>
      <c r="M36" s="120">
        <f>C36*1000-K36*L36*J36/10</f>
        <v>84308.686868686869</v>
      </c>
      <c r="N36" s="120">
        <f t="shared" ref="N36:N42" si="3">2*(K36+L36)*E$27</f>
        <v>17716</v>
      </c>
      <c r="O36" s="120">
        <f>M36/N36</f>
        <v>4.7589008167016749</v>
      </c>
      <c r="P36" s="120">
        <f t="shared" ref="P36:P42" si="4">E$16*MIN(1,0.5+K36/L36)</f>
        <v>10.419266035745402</v>
      </c>
      <c r="Q36" s="122">
        <f>P36/O36</f>
        <v>2.1894270204536106</v>
      </c>
      <c r="R36" s="120">
        <f>J36*G36*G36/2</f>
        <v>6.8844875212004233</v>
      </c>
      <c r="S36" s="120">
        <f t="shared" ref="S36:S42" si="5">R36*100000/E$22/E$27/E$21</f>
        <v>8.0714035570754881</v>
      </c>
      <c r="T36" s="123">
        <v>18</v>
      </c>
      <c r="U36" s="120">
        <f>3.14*T36*T36/400</f>
        <v>2.5434000000000001</v>
      </c>
      <c r="V36" s="121">
        <f>MAX(5,ROUNDUP(S36/U36,0))</f>
        <v>5</v>
      </c>
      <c r="W36" s="120">
        <f>J36*G36</f>
        <v>14.917402239470354</v>
      </c>
      <c r="X36" s="120">
        <f t="shared" ref="X36:X42" si="6">W36*10/E$27</f>
        <v>3.4691633115047336</v>
      </c>
      <c r="Y36" s="122">
        <f t="shared" ref="Y36:Y42" si="7">E$15/X36</f>
        <v>1.9376738758718342</v>
      </c>
      <c r="Z36" s="120">
        <f t="shared" ref="Z36:Z42" si="8">W36*1000/(E$22*E$27*3.14*T36/10*V36)</f>
        <v>12.921977544994723</v>
      </c>
      <c r="AA36" s="122">
        <f t="shared" ref="AA36:AA42" si="9">E$17/Z36</f>
        <v>0.65199315617065701</v>
      </c>
    </row>
    <row r="37" spans="2:27">
      <c r="B37" s="113">
        <v>1</v>
      </c>
      <c r="C37" s="116">
        <v>150</v>
      </c>
      <c r="D37" s="112">
        <v>30</v>
      </c>
      <c r="E37" s="112">
        <v>90</v>
      </c>
      <c r="F37" s="120">
        <f t="shared" si="0"/>
        <v>8.3333333333333339</v>
      </c>
      <c r="G37" s="120">
        <f t="shared" ref="G37:G42" si="10">(-E37-D37+SQRT(D37*D37+E37*E37+4*F37*10000+3*E37*D37))/400</f>
        <v>1.1799352463311812</v>
      </c>
      <c r="H37" s="121">
        <f t="shared" ref="H37:H42" si="11">CEILING(2*G37+D37/100,0.25)</f>
        <v>2.75</v>
      </c>
      <c r="I37" s="121">
        <f t="shared" ref="I37:I42" si="12">CEILING(2*G37+E37/100,0.25)</f>
        <v>3.5</v>
      </c>
      <c r="J37" s="120">
        <f t="shared" ref="J37:J42" si="13">C37/H37/I37</f>
        <v>15.584415584415584</v>
      </c>
      <c r="K37" s="120">
        <f t="shared" si="1"/>
        <v>73</v>
      </c>
      <c r="L37" s="120">
        <f t="shared" si="2"/>
        <v>133</v>
      </c>
      <c r="M37" s="120">
        <f t="shared" ref="M37:M42" si="14">C37*1000-K37*L37*J37/10</f>
        <v>134869.09090909091</v>
      </c>
      <c r="N37" s="120">
        <f t="shared" si="3"/>
        <v>17716</v>
      </c>
      <c r="O37" s="120">
        <f t="shared" ref="O37:O42" si="15">M37/N37</f>
        <v>7.6128409860629329</v>
      </c>
      <c r="P37" s="120">
        <f t="shared" si="4"/>
        <v>10.419266035745402</v>
      </c>
      <c r="Q37" s="122">
        <f t="shared" ref="Q37:Q42" si="16">P37/O37</f>
        <v>1.3686435924276206</v>
      </c>
      <c r="R37" s="120">
        <f t="shared" ref="R37:R42" si="17">J37*G37*G37/2</f>
        <v>10.848679367802275</v>
      </c>
      <c r="S37" s="120">
        <f t="shared" si="5"/>
        <v>12.71903957545158</v>
      </c>
      <c r="T37" s="123">
        <v>18</v>
      </c>
      <c r="U37" s="120">
        <f t="shared" ref="U37:U42" si="18">3.14*T37*T37/400</f>
        <v>2.5434000000000001</v>
      </c>
      <c r="V37" s="121">
        <f t="shared" ref="V37:V42" si="19">MAX(5,ROUNDUP(S37/U37,0))</f>
        <v>6</v>
      </c>
      <c r="W37" s="120">
        <f t="shared" ref="W37:W42" si="20">J37*G37</f>
        <v>18.388601241524903</v>
      </c>
      <c r="X37" s="120">
        <f t="shared" si="6"/>
        <v>4.2764188933778842</v>
      </c>
      <c r="Y37" s="122">
        <f t="shared" si="7"/>
        <v>1.5719009964727859</v>
      </c>
      <c r="Z37" s="120">
        <f t="shared" si="8"/>
        <v>13.274043323828495</v>
      </c>
      <c r="AA37" s="122">
        <f t="shared" si="9"/>
        <v>0.63470042382666558</v>
      </c>
    </row>
    <row r="38" spans="2:27">
      <c r="B38" s="113">
        <v>2</v>
      </c>
      <c r="C38" s="116">
        <v>200</v>
      </c>
      <c r="D38" s="112">
        <v>30</v>
      </c>
      <c r="E38" s="112">
        <v>90</v>
      </c>
      <c r="F38" s="120">
        <f t="shared" si="0"/>
        <v>11.111111111111111</v>
      </c>
      <c r="G38" s="120">
        <f t="shared" si="10"/>
        <v>1.3984265594301621</v>
      </c>
      <c r="H38" s="121">
        <f t="shared" si="11"/>
        <v>3.25</v>
      </c>
      <c r="I38" s="121">
        <f t="shared" si="12"/>
        <v>3.75</v>
      </c>
      <c r="J38" s="120">
        <f t="shared" si="13"/>
        <v>16.410256410256412</v>
      </c>
      <c r="K38" s="120">
        <f t="shared" si="1"/>
        <v>73</v>
      </c>
      <c r="L38" s="120">
        <f t="shared" si="2"/>
        <v>133</v>
      </c>
      <c r="M38" s="120">
        <f t="shared" si="14"/>
        <v>184067.28205128206</v>
      </c>
      <c r="N38" s="120">
        <f t="shared" si="3"/>
        <v>17716</v>
      </c>
      <c r="O38" s="120">
        <f t="shared" si="15"/>
        <v>10.389889481332245</v>
      </c>
      <c r="P38" s="120">
        <f t="shared" si="4"/>
        <v>10.419266035745402</v>
      </c>
      <c r="Q38" s="122">
        <f t="shared" si="16"/>
        <v>1.0028274174105449</v>
      </c>
      <c r="R38" s="120">
        <f t="shared" si="17"/>
        <v>16.045922807135845</v>
      </c>
      <c r="S38" s="120">
        <f t="shared" si="5"/>
        <v>18.812310723673477</v>
      </c>
      <c r="T38" s="123">
        <v>18</v>
      </c>
      <c r="U38" s="120">
        <f t="shared" si="18"/>
        <v>2.5434000000000001</v>
      </c>
      <c r="V38" s="121">
        <f t="shared" si="19"/>
        <v>8</v>
      </c>
      <c r="W38" s="120">
        <f t="shared" si="20"/>
        <v>22.948538411161639</v>
      </c>
      <c r="X38" s="120">
        <f t="shared" si="6"/>
        <v>5.3368693979445672</v>
      </c>
      <c r="Y38" s="122">
        <f t="shared" si="7"/>
        <v>1.2595599814424323</v>
      </c>
      <c r="Z38" s="120">
        <f t="shared" si="8"/>
        <v>12.42426853546152</v>
      </c>
      <c r="AA38" s="122">
        <f t="shared" si="9"/>
        <v>0.67811162479952825</v>
      </c>
    </row>
    <row r="39" spans="2:27">
      <c r="B39" s="113">
        <v>3</v>
      </c>
      <c r="C39" s="116">
        <v>250</v>
      </c>
      <c r="D39" s="112">
        <v>30</v>
      </c>
      <c r="E39" s="112">
        <v>90</v>
      </c>
      <c r="F39" s="120">
        <f t="shared" si="0"/>
        <v>13.888888888888889</v>
      </c>
      <c r="G39" s="120">
        <f t="shared" si="10"/>
        <v>1.5918502113598272</v>
      </c>
      <c r="H39" s="121">
        <f t="shared" si="11"/>
        <v>3.5</v>
      </c>
      <c r="I39" s="121">
        <f t="shared" si="12"/>
        <v>4.25</v>
      </c>
      <c r="J39" s="120">
        <f t="shared" si="13"/>
        <v>16.806722689075631</v>
      </c>
      <c r="K39" s="120">
        <f t="shared" si="1"/>
        <v>73</v>
      </c>
      <c r="L39" s="120">
        <f t="shared" si="2"/>
        <v>133</v>
      </c>
      <c r="M39" s="120">
        <f t="shared" si="14"/>
        <v>233682.35294117648</v>
      </c>
      <c r="N39" s="120">
        <f t="shared" si="3"/>
        <v>17716</v>
      </c>
      <c r="O39" s="120">
        <f t="shared" si="15"/>
        <v>13.190469233527686</v>
      </c>
      <c r="P39" s="120">
        <f t="shared" si="4"/>
        <v>10.419266035745402</v>
      </c>
      <c r="Q39" s="122">
        <f t="shared" si="16"/>
        <v>0.78990867203280313</v>
      </c>
      <c r="R39" s="120">
        <f t="shared" si="17"/>
        <v>21.294009205095183</v>
      </c>
      <c r="S39" s="120">
        <f t="shared" si="5"/>
        <v>24.965190381002341</v>
      </c>
      <c r="T39" s="123">
        <v>18</v>
      </c>
      <c r="U39" s="120">
        <f t="shared" si="18"/>
        <v>2.5434000000000001</v>
      </c>
      <c r="V39" s="121">
        <f t="shared" si="19"/>
        <v>10</v>
      </c>
      <c r="W39" s="120">
        <f t="shared" si="20"/>
        <v>26.753785064871046</v>
      </c>
      <c r="X39" s="120">
        <f t="shared" si="6"/>
        <v>6.2218104802025689</v>
      </c>
      <c r="Y39" s="122">
        <f t="shared" si="7"/>
        <v>1.0804101380498634</v>
      </c>
      <c r="Z39" s="120">
        <f t="shared" si="8"/>
        <v>11.587533952029219</v>
      </c>
      <c r="AA39" s="122">
        <f t="shared" si="9"/>
        <v>0.72707799247069882</v>
      </c>
    </row>
    <row r="40" spans="2:27">
      <c r="B40" s="113">
        <v>4</v>
      </c>
      <c r="C40" s="116">
        <v>300</v>
      </c>
      <c r="D40" s="112">
        <v>30</v>
      </c>
      <c r="E40" s="112">
        <v>90</v>
      </c>
      <c r="F40" s="120">
        <f t="shared" si="0"/>
        <v>16.666666666666668</v>
      </c>
      <c r="G40" s="120">
        <f t="shared" si="10"/>
        <v>1.7672546206664208</v>
      </c>
      <c r="H40" s="121">
        <f t="shared" si="11"/>
        <v>4</v>
      </c>
      <c r="I40" s="121">
        <f t="shared" si="12"/>
        <v>4.5</v>
      </c>
      <c r="J40" s="120">
        <f t="shared" si="13"/>
        <v>16.666666666666668</v>
      </c>
      <c r="K40" s="120">
        <f t="shared" si="1"/>
        <v>73</v>
      </c>
      <c r="L40" s="120">
        <f t="shared" si="2"/>
        <v>133</v>
      </c>
      <c r="M40" s="120">
        <f t="shared" si="14"/>
        <v>283818.33333333331</v>
      </c>
      <c r="N40" s="120">
        <f t="shared" si="3"/>
        <v>17716</v>
      </c>
      <c r="O40" s="120">
        <f t="shared" si="15"/>
        <v>16.020452321818318</v>
      </c>
      <c r="P40" s="120">
        <f t="shared" si="4"/>
        <v>10.419266035745402</v>
      </c>
      <c r="Q40" s="122">
        <f t="shared" si="16"/>
        <v>0.65037277515288139</v>
      </c>
      <c r="R40" s="120">
        <f t="shared" si="17"/>
        <v>26.026574118890125</v>
      </c>
      <c r="S40" s="120">
        <f t="shared" si="5"/>
        <v>30.513670374853007</v>
      </c>
      <c r="T40" s="123">
        <v>18</v>
      </c>
      <c r="U40" s="120">
        <f t="shared" si="18"/>
        <v>2.5434000000000001</v>
      </c>
      <c r="V40" s="121">
        <f t="shared" si="19"/>
        <v>12</v>
      </c>
      <c r="W40" s="120">
        <f t="shared" si="20"/>
        <v>29.454243677773682</v>
      </c>
      <c r="X40" s="120">
        <f t="shared" si="6"/>
        <v>6.8498241111101592</v>
      </c>
      <c r="Y40" s="122">
        <f t="shared" si="7"/>
        <v>0.98135470499640087</v>
      </c>
      <c r="Z40" s="120">
        <f t="shared" si="8"/>
        <v>10.630958317984254</v>
      </c>
      <c r="AA40" s="122">
        <f t="shared" si="9"/>
        <v>0.7925006073323545</v>
      </c>
    </row>
    <row r="41" spans="2:27">
      <c r="B41" s="113">
        <v>5</v>
      </c>
      <c r="C41" s="116">
        <v>350</v>
      </c>
      <c r="D41" s="112">
        <v>30</v>
      </c>
      <c r="E41" s="112">
        <v>90</v>
      </c>
      <c r="F41" s="120">
        <f t="shared" si="0"/>
        <v>19.444444444444443</v>
      </c>
      <c r="G41" s="120">
        <f t="shared" si="10"/>
        <v>1.9288979588826203</v>
      </c>
      <c r="H41" s="121">
        <f t="shared" si="11"/>
        <v>4.25</v>
      </c>
      <c r="I41" s="121">
        <f t="shared" si="12"/>
        <v>5</v>
      </c>
      <c r="J41" s="120">
        <f t="shared" si="13"/>
        <v>16.47058823529412</v>
      </c>
      <c r="K41" s="120">
        <f t="shared" si="1"/>
        <v>73</v>
      </c>
      <c r="L41" s="120">
        <f t="shared" si="2"/>
        <v>133</v>
      </c>
      <c r="M41" s="120">
        <f t="shared" si="14"/>
        <v>334008.70588235295</v>
      </c>
      <c r="N41" s="120">
        <f t="shared" si="3"/>
        <v>17716</v>
      </c>
      <c r="O41" s="120">
        <f t="shared" si="15"/>
        <v>18.853505637974315</v>
      </c>
      <c r="P41" s="120">
        <f t="shared" si="4"/>
        <v>10.419266035745402</v>
      </c>
      <c r="Q41" s="122">
        <f t="shared" si="16"/>
        <v>0.55264343066040433</v>
      </c>
      <c r="R41" s="120">
        <f t="shared" si="17"/>
        <v>30.640625118200909</v>
      </c>
      <c r="S41" s="120">
        <f t="shared" si="5"/>
        <v>35.923204132257666</v>
      </c>
      <c r="T41" s="123">
        <v>18</v>
      </c>
      <c r="U41" s="120">
        <f t="shared" si="18"/>
        <v>2.5434000000000001</v>
      </c>
      <c r="V41" s="121">
        <f t="shared" si="19"/>
        <v>15</v>
      </c>
      <c r="W41" s="120">
        <f t="shared" si="20"/>
        <v>31.770084028654924</v>
      </c>
      <c r="X41" s="120">
        <f t="shared" si="6"/>
        <v>7.3883916345709126</v>
      </c>
      <c r="Y41" s="122">
        <f t="shared" si="7"/>
        <v>0.90982008701087713</v>
      </c>
      <c r="Z41" s="120">
        <f t="shared" si="8"/>
        <v>9.1734540601319967</v>
      </c>
      <c r="AA41" s="122">
        <f t="shared" si="9"/>
        <v>0.91841533933688646</v>
      </c>
    </row>
    <row r="42" spans="2:27">
      <c r="B42" s="113">
        <v>6</v>
      </c>
      <c r="C42" s="116">
        <v>400</v>
      </c>
      <c r="D42" s="112">
        <v>30</v>
      </c>
      <c r="E42" s="112">
        <v>90</v>
      </c>
      <c r="F42" s="120">
        <f t="shared" si="0"/>
        <v>22.222222222222221</v>
      </c>
      <c r="G42" s="120">
        <f t="shared" si="10"/>
        <v>2.0795862151969944</v>
      </c>
      <c r="H42" s="121">
        <f t="shared" si="11"/>
        <v>4.5</v>
      </c>
      <c r="I42" s="121">
        <f t="shared" si="12"/>
        <v>5.25</v>
      </c>
      <c r="J42" s="120">
        <f t="shared" si="13"/>
        <v>16.93121693121693</v>
      </c>
      <c r="K42" s="120">
        <f t="shared" si="1"/>
        <v>73</v>
      </c>
      <c r="L42" s="120">
        <f t="shared" si="2"/>
        <v>133</v>
      </c>
      <c r="M42" s="120">
        <f t="shared" si="14"/>
        <v>383561.48148148146</v>
      </c>
      <c r="N42" s="120">
        <f t="shared" si="3"/>
        <v>17716</v>
      </c>
      <c r="O42" s="120">
        <f t="shared" si="15"/>
        <v>21.650569060819681</v>
      </c>
      <c r="P42" s="120">
        <f t="shared" si="4"/>
        <v>10.419266035745402</v>
      </c>
      <c r="Q42" s="122">
        <f t="shared" si="16"/>
        <v>0.48124675182791399</v>
      </c>
      <c r="R42" s="120">
        <f t="shared" si="17"/>
        <v>36.611037684125797</v>
      </c>
      <c r="S42" s="120">
        <f t="shared" si="5"/>
        <v>42.922942177161794</v>
      </c>
      <c r="T42" s="123">
        <v>18</v>
      </c>
      <c r="U42" s="120">
        <f t="shared" si="18"/>
        <v>2.5434000000000001</v>
      </c>
      <c r="V42" s="121">
        <f t="shared" si="19"/>
        <v>17</v>
      </c>
      <c r="W42" s="120">
        <f t="shared" si="20"/>
        <v>35.20992533666869</v>
      </c>
      <c r="X42" s="120">
        <f t="shared" si="6"/>
        <v>8.1883547294578349</v>
      </c>
      <c r="Y42" s="122">
        <f t="shared" si="7"/>
        <v>0.82093501587721596</v>
      </c>
      <c r="Z42" s="120">
        <f t="shared" si="8"/>
        <v>8.9706098495590858</v>
      </c>
      <c r="AA42" s="122">
        <f t="shared" si="9"/>
        <v>0.93918262691377286</v>
      </c>
    </row>
  </sheetData>
  <mergeCells count="10">
    <mergeCell ref="Z33:AA33"/>
    <mergeCell ref="B11:F11"/>
    <mergeCell ref="B5:F5"/>
    <mergeCell ref="B19:F19"/>
    <mergeCell ref="K34:L34"/>
    <mergeCell ref="K33:Q33"/>
    <mergeCell ref="C33:E33"/>
    <mergeCell ref="F33:J33"/>
    <mergeCell ref="R33:V33"/>
    <mergeCell ref="W33:Y33"/>
  </mergeCells>
  <conditionalFormatting sqref="Q36:Q42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Y36:Y42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A36:AA42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7C61D-6119-41CD-AAB6-8656B33280AE}">
  <sheetPr codeName="Sheet2"/>
  <dimension ref="B2:N103"/>
  <sheetViews>
    <sheetView topLeftCell="A57" zoomScale="69" zoomScaleNormal="190" workbookViewId="0">
      <selection activeCell="M10" sqref="M10"/>
    </sheetView>
  </sheetViews>
  <sheetFormatPr defaultRowHeight="14.4"/>
  <cols>
    <col min="1" max="1" width="5.33203125" customWidth="1"/>
    <col min="2" max="2" width="13.21875" customWidth="1"/>
    <col min="3" max="6" width="8.88671875" customWidth="1"/>
    <col min="7" max="12" width="9.5546875" customWidth="1"/>
    <col min="13" max="13" width="8.77734375" customWidth="1"/>
  </cols>
  <sheetData>
    <row r="2" spans="2:10">
      <c r="C2" t="s">
        <v>294</v>
      </c>
      <c r="D2" t="s">
        <v>295</v>
      </c>
    </row>
    <row r="4" spans="2:10">
      <c r="B4" t="s">
        <v>301</v>
      </c>
    </row>
    <row r="5" spans="2:10">
      <c r="B5" t="s">
        <v>296</v>
      </c>
      <c r="D5" t="s">
        <v>304</v>
      </c>
    </row>
    <row r="7" spans="2:10">
      <c r="B7" s="130" t="s">
        <v>297</v>
      </c>
      <c r="C7" s="130"/>
      <c r="D7" s="130"/>
      <c r="E7" s="130"/>
      <c r="F7" s="130"/>
      <c r="G7" s="130"/>
      <c r="H7" s="130"/>
    </row>
    <row r="8" spans="2:10">
      <c r="B8" s="14" t="s">
        <v>298</v>
      </c>
      <c r="C8" s="14" t="s">
        <v>302</v>
      </c>
      <c r="D8" s="14" t="s">
        <v>300</v>
      </c>
      <c r="E8" s="130" t="s">
        <v>308</v>
      </c>
      <c r="F8" s="130"/>
      <c r="G8" s="130" t="s">
        <v>12</v>
      </c>
      <c r="H8" s="130"/>
    </row>
    <row r="9" spans="2:10">
      <c r="B9" s="14" t="s">
        <v>323</v>
      </c>
      <c r="C9" s="14" t="s">
        <v>324</v>
      </c>
      <c r="D9" s="14" t="s">
        <v>324</v>
      </c>
      <c r="E9" s="127" t="s">
        <v>309</v>
      </c>
      <c r="F9" s="127" t="s">
        <v>310</v>
      </c>
      <c r="G9" s="127" t="s">
        <v>309</v>
      </c>
      <c r="H9" s="127" t="s">
        <v>310</v>
      </c>
    </row>
    <row r="10" spans="2:10">
      <c r="B10" s="14" t="s">
        <v>306</v>
      </c>
      <c r="C10" s="14">
        <v>28</v>
      </c>
      <c r="D10" s="14">
        <v>5</v>
      </c>
      <c r="E10" s="14">
        <v>0.4</v>
      </c>
      <c r="F10" s="14">
        <v>0.25</v>
      </c>
      <c r="G10" s="14">
        <v>30</v>
      </c>
      <c r="H10" s="14">
        <v>20</v>
      </c>
    </row>
    <row r="11" spans="2:10">
      <c r="B11" s="14" t="s">
        <v>320</v>
      </c>
      <c r="C11" s="14">
        <v>37</v>
      </c>
      <c r="D11" s="14">
        <v>7</v>
      </c>
      <c r="E11" s="14">
        <v>0.55000000000000004</v>
      </c>
      <c r="F11" s="14">
        <v>0.3</v>
      </c>
      <c r="G11" s="14">
        <v>55</v>
      </c>
      <c r="H11" s="14">
        <v>25</v>
      </c>
    </row>
    <row r="12" spans="2:10">
      <c r="B12" s="14" t="s">
        <v>321</v>
      </c>
      <c r="C12" s="14">
        <v>40</v>
      </c>
      <c r="D12" s="14">
        <v>15</v>
      </c>
      <c r="E12" s="14">
        <v>0.8</v>
      </c>
      <c r="F12" s="14">
        <v>0.4</v>
      </c>
      <c r="G12" s="14">
        <v>85</v>
      </c>
      <c r="H12" s="14">
        <v>45</v>
      </c>
    </row>
    <row r="13" spans="2:10">
      <c r="B13" s="14" t="s">
        <v>322</v>
      </c>
      <c r="C13" s="14">
        <v>42</v>
      </c>
      <c r="D13" s="14">
        <v>20</v>
      </c>
      <c r="E13" s="14">
        <v>1</v>
      </c>
      <c r="F13" s="14">
        <v>0.5</v>
      </c>
      <c r="G13" s="14">
        <v>110</v>
      </c>
      <c r="H13" s="14">
        <v>75</v>
      </c>
    </row>
    <row r="15" spans="2:10">
      <c r="B15" s="170" t="s">
        <v>316</v>
      </c>
      <c r="C15" s="170"/>
      <c r="D15" s="170"/>
      <c r="E15" s="170"/>
      <c r="F15" s="170"/>
      <c r="G15" s="170"/>
      <c r="H15" s="170"/>
      <c r="I15" s="170"/>
      <c r="J15" s="170"/>
    </row>
    <row r="16" spans="2:10">
      <c r="B16" s="14" t="s">
        <v>299</v>
      </c>
      <c r="C16" s="14" t="s">
        <v>315</v>
      </c>
      <c r="D16" s="14">
        <v>0</v>
      </c>
      <c r="E16" s="14">
        <v>12.5</v>
      </c>
      <c r="F16" s="14">
        <v>25</v>
      </c>
      <c r="G16" s="14">
        <v>50</v>
      </c>
      <c r="H16" s="14">
        <v>72</v>
      </c>
      <c r="I16" s="14">
        <v>100</v>
      </c>
      <c r="J16" s="14">
        <v>200</v>
      </c>
    </row>
    <row r="17" spans="2:10">
      <c r="B17" s="14" t="s">
        <v>303</v>
      </c>
      <c r="C17" s="127" t="s">
        <v>309</v>
      </c>
      <c r="D17" s="14">
        <v>0</v>
      </c>
      <c r="E17" s="14">
        <v>12.5</v>
      </c>
      <c r="F17" s="14">
        <v>24</v>
      </c>
      <c r="G17" s="14">
        <v>37.5</v>
      </c>
      <c r="H17" s="14">
        <v>43.1</v>
      </c>
      <c r="I17" s="14">
        <v>47.5</v>
      </c>
      <c r="J17" s="14">
        <v>65</v>
      </c>
    </row>
    <row r="18" spans="2:10">
      <c r="B18" s="14" t="s">
        <v>303</v>
      </c>
      <c r="C18" s="127" t="s">
        <v>310</v>
      </c>
      <c r="D18" s="14">
        <f>0.35*D16</f>
        <v>0</v>
      </c>
      <c r="E18" s="14">
        <f>0.35*E16</f>
        <v>4.375</v>
      </c>
      <c r="F18" s="14">
        <f t="shared" ref="F18:G18" si="0">0.35*F16</f>
        <v>8.75</v>
      </c>
      <c r="G18" s="14">
        <f t="shared" si="0"/>
        <v>17.5</v>
      </c>
      <c r="H18" s="14">
        <v>27.3</v>
      </c>
      <c r="I18" s="14">
        <f>0.35*I16</f>
        <v>35</v>
      </c>
      <c r="J18" s="14">
        <f>0.35*J16</f>
        <v>70</v>
      </c>
    </row>
    <row r="19" spans="2:10">
      <c r="B19" s="14" t="s">
        <v>306</v>
      </c>
      <c r="C19" s="14"/>
      <c r="D19" s="14">
        <f>0*1</f>
        <v>0</v>
      </c>
      <c r="E19" s="14">
        <v>12.5</v>
      </c>
      <c r="F19" s="14">
        <v>25</v>
      </c>
      <c r="G19" s="14">
        <v>38</v>
      </c>
      <c r="H19" s="14">
        <v>36</v>
      </c>
      <c r="I19" s="14">
        <v>50</v>
      </c>
      <c r="J19" s="14">
        <v>100</v>
      </c>
    </row>
    <row r="24" spans="2:10">
      <c r="B24" s="168" t="s">
        <v>307</v>
      </c>
      <c r="C24" s="169"/>
      <c r="D24" s="168" t="s">
        <v>309</v>
      </c>
      <c r="E24" s="169"/>
    </row>
    <row r="25" spans="2:10">
      <c r="B25" s="168" t="s">
        <v>311</v>
      </c>
      <c r="C25" s="169"/>
      <c r="D25" s="168" t="s">
        <v>306</v>
      </c>
      <c r="E25" s="169"/>
    </row>
    <row r="26" spans="2:10">
      <c r="B26" s="14" t="s">
        <v>312</v>
      </c>
      <c r="C26" s="14"/>
      <c r="D26" s="168" t="s">
        <v>313</v>
      </c>
      <c r="E26" s="169"/>
    </row>
    <row r="27" spans="2:10">
      <c r="B27" s="14" t="s">
        <v>11</v>
      </c>
      <c r="C27" s="14" t="s">
        <v>1</v>
      </c>
      <c r="D27" s="15">
        <v>19</v>
      </c>
      <c r="E27" s="14" t="s">
        <v>314</v>
      </c>
    </row>
    <row r="28" spans="2:10">
      <c r="B28" s="14" t="s">
        <v>317</v>
      </c>
      <c r="C28" s="14" t="s">
        <v>318</v>
      </c>
      <c r="D28" s="15">
        <v>50</v>
      </c>
      <c r="E28" s="14" t="s">
        <v>314</v>
      </c>
    </row>
    <row r="29" spans="2:10">
      <c r="B29" s="14" t="s">
        <v>332</v>
      </c>
      <c r="C29" s="14" t="s">
        <v>300</v>
      </c>
      <c r="D29" s="15">
        <v>38</v>
      </c>
      <c r="E29" s="14"/>
    </row>
    <row r="30" spans="2:10">
      <c r="B30" s="14" t="s">
        <v>333</v>
      </c>
      <c r="C30" s="127" t="s">
        <v>305</v>
      </c>
      <c r="D30" s="15">
        <v>38</v>
      </c>
      <c r="E30" s="14"/>
    </row>
    <row r="31" spans="2:10">
      <c r="B31" s="14" t="s">
        <v>334</v>
      </c>
      <c r="C31" s="14" t="s">
        <v>308</v>
      </c>
      <c r="D31" s="15">
        <v>1</v>
      </c>
      <c r="E31" s="14"/>
      <c r="F31" s="126"/>
    </row>
    <row r="32" spans="2:10">
      <c r="B32" s="14" t="s">
        <v>335</v>
      </c>
      <c r="C32" s="14" t="s">
        <v>39</v>
      </c>
      <c r="D32" s="15">
        <v>9</v>
      </c>
      <c r="E32" s="14"/>
    </row>
    <row r="33" spans="2:7">
      <c r="B33" s="14" t="s">
        <v>336</v>
      </c>
      <c r="C33" s="14" t="s">
        <v>12</v>
      </c>
      <c r="D33" s="15">
        <v>110</v>
      </c>
      <c r="E33" s="14"/>
      <c r="G33" s="126"/>
    </row>
    <row r="59" spans="2:14">
      <c r="B59" s="128" t="s">
        <v>9</v>
      </c>
      <c r="C59" s="128" t="s">
        <v>22</v>
      </c>
      <c r="D59" s="128" t="s">
        <v>325</v>
      </c>
      <c r="E59" s="129" t="s">
        <v>326</v>
      </c>
      <c r="F59" s="129" t="s">
        <v>327</v>
      </c>
      <c r="G59" s="129" t="s">
        <v>328</v>
      </c>
      <c r="H59" s="128" t="s">
        <v>145</v>
      </c>
      <c r="I59" s="128" t="s">
        <v>319</v>
      </c>
      <c r="J59" s="128" t="s">
        <v>266</v>
      </c>
      <c r="K59" s="128" t="s">
        <v>331</v>
      </c>
      <c r="L59" s="128" t="s">
        <v>329</v>
      </c>
      <c r="M59" s="128" t="s">
        <v>330</v>
      </c>
      <c r="N59" s="128" t="s">
        <v>122</v>
      </c>
    </row>
    <row r="60" spans="2:14">
      <c r="B60" s="128">
        <v>0</v>
      </c>
      <c r="C60" s="128">
        <v>0.4</v>
      </c>
      <c r="D60" s="128">
        <f t="shared" ref="D60:D67" si="1">MIN(B60,C60*D$29)</f>
        <v>0</v>
      </c>
      <c r="E60" s="128">
        <f t="shared" ref="E60:E67" si="2">0.5*D60*D$27</f>
        <v>0</v>
      </c>
      <c r="F60" s="128">
        <f>B60-D60</f>
        <v>0</v>
      </c>
      <c r="G60" s="128">
        <f t="shared" ref="G60:G67" si="3">D60*D$27</f>
        <v>0</v>
      </c>
      <c r="H60" s="128">
        <f t="shared" ref="H60:H67" si="4">D$28*D$32+G60*D$33</f>
        <v>450</v>
      </c>
      <c r="I60" s="128">
        <f>3.14/4*C60*C60</f>
        <v>0.12560000000000002</v>
      </c>
      <c r="J60" s="128">
        <f>H60*I60</f>
        <v>56.52000000000001</v>
      </c>
      <c r="K60" s="128">
        <f>3.14*C60</f>
        <v>1.2560000000000002</v>
      </c>
      <c r="L60" s="128">
        <f t="shared" ref="L60:L67" si="5">(D$31*E60+D$30)*D60</f>
        <v>0</v>
      </c>
      <c r="M60" s="128">
        <f t="shared" ref="M60:M67" si="6">(D$31*G60+D$30)*F60</f>
        <v>0</v>
      </c>
      <c r="N60" s="128">
        <f>J60+(L60+M60)*K60</f>
        <v>56.52000000000001</v>
      </c>
    </row>
    <row r="61" spans="2:14">
      <c r="B61" s="128">
        <v>5</v>
      </c>
      <c r="C61" s="128">
        <v>0.4</v>
      </c>
      <c r="D61" s="128">
        <f t="shared" si="1"/>
        <v>5</v>
      </c>
      <c r="E61" s="128">
        <f t="shared" si="2"/>
        <v>47.5</v>
      </c>
      <c r="F61" s="128">
        <f>B61-D61</f>
        <v>0</v>
      </c>
      <c r="G61" s="128">
        <f t="shared" si="3"/>
        <v>95</v>
      </c>
      <c r="H61" s="128">
        <f t="shared" si="4"/>
        <v>10900</v>
      </c>
      <c r="I61" s="128">
        <f>3.14/4*C61*C61</f>
        <v>0.12560000000000002</v>
      </c>
      <c r="J61" s="128">
        <f>H61*I61</f>
        <v>1369.0400000000002</v>
      </c>
      <c r="K61" s="128">
        <f>3.14*C61</f>
        <v>1.2560000000000002</v>
      </c>
      <c r="L61" s="128">
        <f t="shared" si="5"/>
        <v>427.5</v>
      </c>
      <c r="M61" s="128">
        <f t="shared" si="6"/>
        <v>0</v>
      </c>
      <c r="N61" s="128">
        <f>J61+(L61+M61)*K61</f>
        <v>1905.9800000000002</v>
      </c>
    </row>
    <row r="62" spans="2:14">
      <c r="B62" s="128">
        <v>10</v>
      </c>
      <c r="C62" s="128">
        <v>0.4</v>
      </c>
      <c r="D62" s="128">
        <f t="shared" si="1"/>
        <v>10</v>
      </c>
      <c r="E62" s="128">
        <f t="shared" si="2"/>
        <v>95</v>
      </c>
      <c r="F62" s="128">
        <f t="shared" ref="F62:F67" si="7">B62-D62</f>
        <v>0</v>
      </c>
      <c r="G62" s="128">
        <f t="shared" si="3"/>
        <v>190</v>
      </c>
      <c r="H62" s="128">
        <f t="shared" si="4"/>
        <v>21350</v>
      </c>
      <c r="I62" s="128">
        <f t="shared" ref="I62:I67" si="8">3.14/4*C62*C62</f>
        <v>0.12560000000000002</v>
      </c>
      <c r="J62" s="128">
        <f t="shared" ref="J62:J67" si="9">H62*I62</f>
        <v>2681.5600000000004</v>
      </c>
      <c r="K62" s="128">
        <f t="shared" ref="K62:K67" si="10">3.14*C62</f>
        <v>1.2560000000000002</v>
      </c>
      <c r="L62" s="128">
        <f t="shared" si="5"/>
        <v>1330</v>
      </c>
      <c r="M62" s="128">
        <f t="shared" si="6"/>
        <v>0</v>
      </c>
      <c r="N62" s="128">
        <f t="shared" ref="N62:N67" si="11">J62+(L62+M62)*K62</f>
        <v>4352.0400000000009</v>
      </c>
    </row>
    <row r="63" spans="2:14">
      <c r="B63" s="128">
        <v>15</v>
      </c>
      <c r="C63" s="128">
        <v>0.4</v>
      </c>
      <c r="D63" s="128">
        <f t="shared" si="1"/>
        <v>15</v>
      </c>
      <c r="E63" s="128">
        <f t="shared" si="2"/>
        <v>142.5</v>
      </c>
      <c r="F63" s="128">
        <f t="shared" si="7"/>
        <v>0</v>
      </c>
      <c r="G63" s="128">
        <f t="shared" si="3"/>
        <v>285</v>
      </c>
      <c r="H63" s="128">
        <f t="shared" si="4"/>
        <v>31800</v>
      </c>
      <c r="I63" s="128">
        <f t="shared" si="8"/>
        <v>0.12560000000000002</v>
      </c>
      <c r="J63" s="128">
        <f t="shared" si="9"/>
        <v>3994.0800000000004</v>
      </c>
      <c r="K63" s="128">
        <f t="shared" si="10"/>
        <v>1.2560000000000002</v>
      </c>
      <c r="L63" s="128">
        <f t="shared" si="5"/>
        <v>2707.5</v>
      </c>
      <c r="M63" s="128">
        <f t="shared" si="6"/>
        <v>0</v>
      </c>
      <c r="N63" s="128">
        <f t="shared" si="11"/>
        <v>7394.7000000000007</v>
      </c>
    </row>
    <row r="64" spans="2:14">
      <c r="B64" s="128">
        <v>20</v>
      </c>
      <c r="C64" s="128">
        <v>0.4</v>
      </c>
      <c r="D64" s="128">
        <f t="shared" si="1"/>
        <v>15.200000000000001</v>
      </c>
      <c r="E64" s="128">
        <f t="shared" si="2"/>
        <v>144.4</v>
      </c>
      <c r="F64" s="128">
        <f t="shared" si="7"/>
        <v>4.7999999999999989</v>
      </c>
      <c r="G64" s="128">
        <f t="shared" si="3"/>
        <v>288.8</v>
      </c>
      <c r="H64" s="128">
        <f t="shared" si="4"/>
        <v>32218</v>
      </c>
      <c r="I64" s="128">
        <f t="shared" si="8"/>
        <v>0.12560000000000002</v>
      </c>
      <c r="J64" s="128">
        <f t="shared" si="9"/>
        <v>4046.5808000000006</v>
      </c>
      <c r="K64" s="128">
        <f t="shared" si="10"/>
        <v>1.2560000000000002</v>
      </c>
      <c r="L64" s="128">
        <f t="shared" si="5"/>
        <v>2772.4800000000005</v>
      </c>
      <c r="M64" s="128">
        <f t="shared" si="6"/>
        <v>1568.6399999999996</v>
      </c>
      <c r="N64" s="128">
        <f t="shared" si="11"/>
        <v>9499.0275200000015</v>
      </c>
    </row>
    <row r="65" spans="2:14">
      <c r="B65" s="128">
        <v>25</v>
      </c>
      <c r="C65" s="128">
        <v>0.4</v>
      </c>
      <c r="D65" s="128">
        <f t="shared" si="1"/>
        <v>15.200000000000001</v>
      </c>
      <c r="E65" s="128">
        <f t="shared" si="2"/>
        <v>144.4</v>
      </c>
      <c r="F65" s="128">
        <f t="shared" si="7"/>
        <v>9.7999999999999989</v>
      </c>
      <c r="G65" s="128">
        <f t="shared" si="3"/>
        <v>288.8</v>
      </c>
      <c r="H65" s="128">
        <f t="shared" si="4"/>
        <v>32218</v>
      </c>
      <c r="I65" s="128">
        <f t="shared" si="8"/>
        <v>0.12560000000000002</v>
      </c>
      <c r="J65" s="128">
        <f t="shared" si="9"/>
        <v>4046.5808000000006</v>
      </c>
      <c r="K65" s="128">
        <f t="shared" si="10"/>
        <v>1.2560000000000002</v>
      </c>
      <c r="L65" s="128">
        <f t="shared" si="5"/>
        <v>2772.4800000000005</v>
      </c>
      <c r="M65" s="128">
        <f t="shared" si="6"/>
        <v>3202.64</v>
      </c>
      <c r="N65" s="128">
        <f t="shared" si="11"/>
        <v>11551.331520000003</v>
      </c>
    </row>
    <row r="66" spans="2:14">
      <c r="B66" s="128">
        <v>30</v>
      </c>
      <c r="C66" s="128">
        <v>0.4</v>
      </c>
      <c r="D66" s="128">
        <f t="shared" si="1"/>
        <v>15.200000000000001</v>
      </c>
      <c r="E66" s="128">
        <f t="shared" si="2"/>
        <v>144.4</v>
      </c>
      <c r="F66" s="128">
        <f t="shared" si="7"/>
        <v>14.799999999999999</v>
      </c>
      <c r="G66" s="128">
        <f t="shared" si="3"/>
        <v>288.8</v>
      </c>
      <c r="H66" s="128">
        <f t="shared" si="4"/>
        <v>32218</v>
      </c>
      <c r="I66" s="128">
        <f t="shared" si="8"/>
        <v>0.12560000000000002</v>
      </c>
      <c r="J66" s="128">
        <f t="shared" si="9"/>
        <v>4046.5808000000006</v>
      </c>
      <c r="K66" s="128">
        <f t="shared" si="10"/>
        <v>1.2560000000000002</v>
      </c>
      <c r="L66" s="128">
        <f t="shared" si="5"/>
        <v>2772.4800000000005</v>
      </c>
      <c r="M66" s="128">
        <f t="shared" si="6"/>
        <v>4836.6399999999994</v>
      </c>
      <c r="N66" s="128">
        <f t="shared" si="11"/>
        <v>13603.635520000003</v>
      </c>
    </row>
    <row r="67" spans="2:14">
      <c r="B67" s="128">
        <v>35</v>
      </c>
      <c r="C67" s="128">
        <v>0.4</v>
      </c>
      <c r="D67" s="128">
        <f t="shared" si="1"/>
        <v>15.200000000000001</v>
      </c>
      <c r="E67" s="128">
        <f t="shared" si="2"/>
        <v>144.4</v>
      </c>
      <c r="F67" s="128">
        <f t="shared" si="7"/>
        <v>19.799999999999997</v>
      </c>
      <c r="G67" s="128">
        <f t="shared" si="3"/>
        <v>288.8</v>
      </c>
      <c r="H67" s="128">
        <f t="shared" si="4"/>
        <v>32218</v>
      </c>
      <c r="I67" s="128">
        <f t="shared" si="8"/>
        <v>0.12560000000000002</v>
      </c>
      <c r="J67" s="128">
        <f t="shared" si="9"/>
        <v>4046.5808000000006</v>
      </c>
      <c r="K67" s="128">
        <f t="shared" si="10"/>
        <v>1.2560000000000002</v>
      </c>
      <c r="L67" s="128">
        <f t="shared" si="5"/>
        <v>2772.4800000000005</v>
      </c>
      <c r="M67" s="128">
        <f t="shared" si="6"/>
        <v>6470.6399999999994</v>
      </c>
      <c r="N67" s="128">
        <f t="shared" si="11"/>
        <v>15655.93952</v>
      </c>
    </row>
    <row r="68" spans="2:14">
      <c r="B68" s="128"/>
      <c r="C68" s="128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</row>
    <row r="69" spans="2:14">
      <c r="B69" s="128">
        <v>0</v>
      </c>
      <c r="C69" s="128">
        <v>0.45</v>
      </c>
      <c r="D69" s="128">
        <f t="shared" ref="D69:D76" si="12">MIN(B69,C69*D$29)</f>
        <v>0</v>
      </c>
      <c r="E69" s="128">
        <f t="shared" ref="E69:E76" si="13">0.5*D69*D$27</f>
        <v>0</v>
      </c>
      <c r="F69" s="128">
        <f>B69-D69</f>
        <v>0</v>
      </c>
      <c r="G69" s="128">
        <f t="shared" ref="G69:G76" si="14">D69*D$27</f>
        <v>0</v>
      </c>
      <c r="H69" s="128">
        <f t="shared" ref="H69:H76" si="15">D$28*D$32+G69*D$33</f>
        <v>450</v>
      </c>
      <c r="I69" s="128">
        <f>3.14/4*C69*C69</f>
        <v>0.15896250000000001</v>
      </c>
      <c r="J69" s="128">
        <f>H69*I69</f>
        <v>71.533124999999998</v>
      </c>
      <c r="K69" s="128">
        <f>3.14*C69</f>
        <v>1.413</v>
      </c>
      <c r="L69" s="128">
        <f t="shared" ref="L69:L76" si="16">(D$31*E69+D$30)*D69</f>
        <v>0</v>
      </c>
      <c r="M69" s="128">
        <f t="shared" ref="M69:M76" si="17">(D$31*G69+D$30)*F69</f>
        <v>0</v>
      </c>
      <c r="N69" s="128">
        <f>J69+(L69+M69)*K69</f>
        <v>71.533124999999998</v>
      </c>
    </row>
    <row r="70" spans="2:14">
      <c r="B70" s="128">
        <v>5</v>
      </c>
      <c r="C70" s="128">
        <v>0.45</v>
      </c>
      <c r="D70" s="128">
        <f t="shared" si="12"/>
        <v>5</v>
      </c>
      <c r="E70" s="128">
        <f t="shared" si="13"/>
        <v>47.5</v>
      </c>
      <c r="F70" s="128">
        <f>B70-D70</f>
        <v>0</v>
      </c>
      <c r="G70" s="128">
        <f t="shared" si="14"/>
        <v>95</v>
      </c>
      <c r="H70" s="128">
        <f t="shared" si="15"/>
        <v>10900</v>
      </c>
      <c r="I70" s="128">
        <f>3.14/4*C70*C70</f>
        <v>0.15896250000000001</v>
      </c>
      <c r="J70" s="128">
        <f>H70*I70</f>
        <v>1732.6912500000001</v>
      </c>
      <c r="K70" s="128">
        <f>3.14*C70</f>
        <v>1.413</v>
      </c>
      <c r="L70" s="128">
        <f t="shared" si="16"/>
        <v>427.5</v>
      </c>
      <c r="M70" s="128">
        <f t="shared" si="17"/>
        <v>0</v>
      </c>
      <c r="N70" s="128">
        <f>J70+(L70+M70)*K70</f>
        <v>2336.7487500000002</v>
      </c>
    </row>
    <row r="71" spans="2:14">
      <c r="B71" s="128">
        <v>10</v>
      </c>
      <c r="C71" s="128">
        <v>0.45</v>
      </c>
      <c r="D71" s="128">
        <f t="shared" si="12"/>
        <v>10</v>
      </c>
      <c r="E71" s="128">
        <f t="shared" si="13"/>
        <v>95</v>
      </c>
      <c r="F71" s="128">
        <f t="shared" ref="F71:F76" si="18">B71-D71</f>
        <v>0</v>
      </c>
      <c r="G71" s="128">
        <f t="shared" si="14"/>
        <v>190</v>
      </c>
      <c r="H71" s="128">
        <f t="shared" si="15"/>
        <v>21350</v>
      </c>
      <c r="I71" s="128">
        <f t="shared" ref="I71:I76" si="19">3.14/4*C71*C71</f>
        <v>0.15896250000000001</v>
      </c>
      <c r="J71" s="128">
        <f t="shared" ref="J71:J76" si="20">H71*I71</f>
        <v>3393.8493750000002</v>
      </c>
      <c r="K71" s="128">
        <f t="shared" ref="K71:K76" si="21">3.14*C71</f>
        <v>1.413</v>
      </c>
      <c r="L71" s="128">
        <f t="shared" si="16"/>
        <v>1330</v>
      </c>
      <c r="M71" s="128">
        <f t="shared" si="17"/>
        <v>0</v>
      </c>
      <c r="N71" s="128">
        <f t="shared" ref="N71:N76" si="22">J71+(L71+M71)*K71</f>
        <v>5273.1393750000007</v>
      </c>
    </row>
    <row r="72" spans="2:14">
      <c r="B72" s="128">
        <v>15</v>
      </c>
      <c r="C72" s="128">
        <v>0.45</v>
      </c>
      <c r="D72" s="128">
        <f t="shared" si="12"/>
        <v>15</v>
      </c>
      <c r="E72" s="128">
        <f t="shared" si="13"/>
        <v>142.5</v>
      </c>
      <c r="F72" s="128">
        <f t="shared" si="18"/>
        <v>0</v>
      </c>
      <c r="G72" s="128">
        <f t="shared" si="14"/>
        <v>285</v>
      </c>
      <c r="H72" s="128">
        <f t="shared" si="15"/>
        <v>31800</v>
      </c>
      <c r="I72" s="128">
        <f t="shared" si="19"/>
        <v>0.15896250000000001</v>
      </c>
      <c r="J72" s="128">
        <f t="shared" si="20"/>
        <v>5055.0075000000006</v>
      </c>
      <c r="K72" s="128">
        <f t="shared" si="21"/>
        <v>1.413</v>
      </c>
      <c r="L72" s="128">
        <f t="shared" si="16"/>
        <v>2707.5</v>
      </c>
      <c r="M72" s="128">
        <f t="shared" si="17"/>
        <v>0</v>
      </c>
      <c r="N72" s="128">
        <f t="shared" si="22"/>
        <v>8880.7050000000017</v>
      </c>
    </row>
    <row r="73" spans="2:14">
      <c r="B73" s="128">
        <v>20</v>
      </c>
      <c r="C73" s="128">
        <v>0.45</v>
      </c>
      <c r="D73" s="128">
        <f t="shared" si="12"/>
        <v>17.100000000000001</v>
      </c>
      <c r="E73" s="128">
        <f t="shared" si="13"/>
        <v>162.45000000000002</v>
      </c>
      <c r="F73" s="128">
        <f t="shared" si="18"/>
        <v>2.8999999999999986</v>
      </c>
      <c r="G73" s="128">
        <f t="shared" si="14"/>
        <v>324.90000000000003</v>
      </c>
      <c r="H73" s="128">
        <f t="shared" si="15"/>
        <v>36189.000000000007</v>
      </c>
      <c r="I73" s="128">
        <f t="shared" si="19"/>
        <v>0.15896250000000001</v>
      </c>
      <c r="J73" s="128">
        <f t="shared" si="20"/>
        <v>5752.6939125000017</v>
      </c>
      <c r="K73" s="128">
        <f t="shared" si="21"/>
        <v>1.413</v>
      </c>
      <c r="L73" s="128">
        <f t="shared" si="16"/>
        <v>3427.6950000000006</v>
      </c>
      <c r="M73" s="128">
        <f t="shared" si="17"/>
        <v>1052.4099999999996</v>
      </c>
      <c r="N73" s="128">
        <f t="shared" si="22"/>
        <v>12083.082277500002</v>
      </c>
    </row>
    <row r="74" spans="2:14">
      <c r="B74" s="128">
        <v>25</v>
      </c>
      <c r="C74" s="128">
        <v>0.45</v>
      </c>
      <c r="D74" s="128">
        <f t="shared" si="12"/>
        <v>17.100000000000001</v>
      </c>
      <c r="E74" s="128">
        <f t="shared" si="13"/>
        <v>162.45000000000002</v>
      </c>
      <c r="F74" s="128">
        <f t="shared" si="18"/>
        <v>7.8999999999999986</v>
      </c>
      <c r="G74" s="128">
        <f t="shared" si="14"/>
        <v>324.90000000000003</v>
      </c>
      <c r="H74" s="128">
        <f t="shared" si="15"/>
        <v>36189.000000000007</v>
      </c>
      <c r="I74" s="128">
        <f t="shared" si="19"/>
        <v>0.15896250000000001</v>
      </c>
      <c r="J74" s="128">
        <f t="shared" si="20"/>
        <v>5752.6939125000017</v>
      </c>
      <c r="K74" s="128">
        <f t="shared" si="21"/>
        <v>1.413</v>
      </c>
      <c r="L74" s="128">
        <f t="shared" si="16"/>
        <v>3427.6950000000006</v>
      </c>
      <c r="M74" s="128">
        <f t="shared" si="17"/>
        <v>2866.91</v>
      </c>
      <c r="N74" s="128">
        <f t="shared" si="22"/>
        <v>14646.970777500002</v>
      </c>
    </row>
    <row r="75" spans="2:14">
      <c r="B75" s="128">
        <v>30</v>
      </c>
      <c r="C75" s="128">
        <v>0.45</v>
      </c>
      <c r="D75" s="128">
        <f t="shared" si="12"/>
        <v>17.100000000000001</v>
      </c>
      <c r="E75" s="128">
        <f t="shared" si="13"/>
        <v>162.45000000000002</v>
      </c>
      <c r="F75" s="128">
        <f t="shared" si="18"/>
        <v>12.899999999999999</v>
      </c>
      <c r="G75" s="128">
        <f t="shared" si="14"/>
        <v>324.90000000000003</v>
      </c>
      <c r="H75" s="128">
        <f t="shared" si="15"/>
        <v>36189.000000000007</v>
      </c>
      <c r="I75" s="128">
        <f t="shared" si="19"/>
        <v>0.15896250000000001</v>
      </c>
      <c r="J75" s="128">
        <f t="shared" si="20"/>
        <v>5752.6939125000017</v>
      </c>
      <c r="K75" s="128">
        <f t="shared" si="21"/>
        <v>1.413</v>
      </c>
      <c r="L75" s="128">
        <f t="shared" si="16"/>
        <v>3427.6950000000006</v>
      </c>
      <c r="M75" s="128">
        <f t="shared" si="17"/>
        <v>4681.41</v>
      </c>
      <c r="N75" s="128">
        <f t="shared" si="22"/>
        <v>17210.859277500003</v>
      </c>
    </row>
    <row r="76" spans="2:14">
      <c r="B76" s="128">
        <v>35</v>
      </c>
      <c r="C76" s="128">
        <v>0.45</v>
      </c>
      <c r="D76" s="128">
        <f t="shared" si="12"/>
        <v>17.100000000000001</v>
      </c>
      <c r="E76" s="128">
        <f t="shared" si="13"/>
        <v>162.45000000000002</v>
      </c>
      <c r="F76" s="128">
        <f t="shared" si="18"/>
        <v>17.899999999999999</v>
      </c>
      <c r="G76" s="128">
        <f t="shared" si="14"/>
        <v>324.90000000000003</v>
      </c>
      <c r="H76" s="128">
        <f t="shared" si="15"/>
        <v>36189.000000000007</v>
      </c>
      <c r="I76" s="128">
        <f t="shared" si="19"/>
        <v>0.15896250000000001</v>
      </c>
      <c r="J76" s="128">
        <f t="shared" si="20"/>
        <v>5752.6939125000017</v>
      </c>
      <c r="K76" s="128">
        <f t="shared" si="21"/>
        <v>1.413</v>
      </c>
      <c r="L76" s="128">
        <f t="shared" si="16"/>
        <v>3427.6950000000006</v>
      </c>
      <c r="M76" s="128">
        <f t="shared" si="17"/>
        <v>6495.91</v>
      </c>
      <c r="N76" s="128">
        <f t="shared" si="22"/>
        <v>19774.747777500001</v>
      </c>
    </row>
    <row r="77" spans="2:14">
      <c r="B77" s="128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</row>
    <row r="78" spans="2:14">
      <c r="B78" s="128">
        <v>0</v>
      </c>
      <c r="C78" s="128">
        <v>0.5</v>
      </c>
      <c r="D78" s="128">
        <f t="shared" ref="D78:D85" si="23">MIN(B78,C78*D$29)</f>
        <v>0</v>
      </c>
      <c r="E78" s="128">
        <f t="shared" ref="E78:E85" si="24">0.5*D78*D$27</f>
        <v>0</v>
      </c>
      <c r="F78" s="128">
        <f>B78-D78</f>
        <v>0</v>
      </c>
      <c r="G78" s="128">
        <f t="shared" ref="G78:G85" si="25">D78*D$27</f>
        <v>0</v>
      </c>
      <c r="H78" s="128">
        <f t="shared" ref="H78:H85" si="26">D$28*D$32+G78*D$33</f>
        <v>450</v>
      </c>
      <c r="I78" s="128">
        <f>3.14/4*C78*C78</f>
        <v>0.19625000000000001</v>
      </c>
      <c r="J78" s="128">
        <f>H78*I78</f>
        <v>88.3125</v>
      </c>
      <c r="K78" s="128">
        <f>3.14*C78</f>
        <v>1.57</v>
      </c>
      <c r="L78" s="128">
        <f t="shared" ref="L78:L85" si="27">(D$31*E78+D$30)*D78</f>
        <v>0</v>
      </c>
      <c r="M78" s="128">
        <f t="shared" ref="M78:M85" si="28">(D$31*G78+D$30)*F78</f>
        <v>0</v>
      </c>
      <c r="N78" s="128">
        <f>J78+(L78+M78)*K78</f>
        <v>88.3125</v>
      </c>
    </row>
    <row r="79" spans="2:14">
      <c r="B79" s="128">
        <v>5</v>
      </c>
      <c r="C79" s="128">
        <v>0.5</v>
      </c>
      <c r="D79" s="128">
        <f t="shared" si="23"/>
        <v>5</v>
      </c>
      <c r="E79" s="128">
        <f t="shared" si="24"/>
        <v>47.5</v>
      </c>
      <c r="F79" s="128">
        <f>B79-D79</f>
        <v>0</v>
      </c>
      <c r="G79" s="128">
        <f t="shared" si="25"/>
        <v>95</v>
      </c>
      <c r="H79" s="128">
        <f t="shared" si="26"/>
        <v>10900</v>
      </c>
      <c r="I79" s="128">
        <f>3.14/4*C79*C79</f>
        <v>0.19625000000000001</v>
      </c>
      <c r="J79" s="128">
        <f>H79*I79</f>
        <v>2139.125</v>
      </c>
      <c r="K79" s="128">
        <f>3.14*C79</f>
        <v>1.57</v>
      </c>
      <c r="L79" s="128">
        <f t="shared" si="27"/>
        <v>427.5</v>
      </c>
      <c r="M79" s="128">
        <f t="shared" si="28"/>
        <v>0</v>
      </c>
      <c r="N79" s="128">
        <f>J79+(L79+M79)*K79</f>
        <v>2810.3</v>
      </c>
    </row>
    <row r="80" spans="2:14">
      <c r="B80" s="128">
        <v>10</v>
      </c>
      <c r="C80" s="128">
        <v>0.5</v>
      </c>
      <c r="D80" s="128">
        <f t="shared" si="23"/>
        <v>10</v>
      </c>
      <c r="E80" s="128">
        <f t="shared" si="24"/>
        <v>95</v>
      </c>
      <c r="F80" s="128">
        <f t="shared" ref="F80:F85" si="29">B80-D80</f>
        <v>0</v>
      </c>
      <c r="G80" s="128">
        <f t="shared" si="25"/>
        <v>190</v>
      </c>
      <c r="H80" s="128">
        <f t="shared" si="26"/>
        <v>21350</v>
      </c>
      <c r="I80" s="128">
        <f t="shared" ref="I80:I85" si="30">3.14/4*C80*C80</f>
        <v>0.19625000000000001</v>
      </c>
      <c r="J80" s="128">
        <f t="shared" ref="J80:J85" si="31">H80*I80</f>
        <v>4189.9375</v>
      </c>
      <c r="K80" s="128">
        <f t="shared" ref="K80:K85" si="32">3.14*C80</f>
        <v>1.57</v>
      </c>
      <c r="L80" s="128">
        <f t="shared" si="27"/>
        <v>1330</v>
      </c>
      <c r="M80" s="128">
        <f t="shared" si="28"/>
        <v>0</v>
      </c>
      <c r="N80" s="128">
        <f t="shared" ref="N80:N85" si="33">J80+(L80+M80)*K80</f>
        <v>6278.0375000000004</v>
      </c>
    </row>
    <row r="81" spans="2:14">
      <c r="B81" s="128">
        <v>15</v>
      </c>
      <c r="C81" s="128">
        <v>0.5</v>
      </c>
      <c r="D81" s="128">
        <f t="shared" si="23"/>
        <v>15</v>
      </c>
      <c r="E81" s="128">
        <f t="shared" si="24"/>
        <v>142.5</v>
      </c>
      <c r="F81" s="128">
        <f t="shared" si="29"/>
        <v>0</v>
      </c>
      <c r="G81" s="128">
        <f t="shared" si="25"/>
        <v>285</v>
      </c>
      <c r="H81" s="128">
        <f t="shared" si="26"/>
        <v>31800</v>
      </c>
      <c r="I81" s="128">
        <f t="shared" si="30"/>
        <v>0.19625000000000001</v>
      </c>
      <c r="J81" s="128">
        <f t="shared" si="31"/>
        <v>6240.75</v>
      </c>
      <c r="K81" s="128">
        <f t="shared" si="32"/>
        <v>1.57</v>
      </c>
      <c r="L81" s="128">
        <f t="shared" si="27"/>
        <v>2707.5</v>
      </c>
      <c r="M81" s="128">
        <f t="shared" si="28"/>
        <v>0</v>
      </c>
      <c r="N81" s="128">
        <f t="shared" si="33"/>
        <v>10491.525000000001</v>
      </c>
    </row>
    <row r="82" spans="2:14">
      <c r="B82" s="128">
        <v>20</v>
      </c>
      <c r="C82" s="128">
        <v>0.5</v>
      </c>
      <c r="D82" s="128">
        <f t="shared" si="23"/>
        <v>19</v>
      </c>
      <c r="E82" s="128">
        <f t="shared" si="24"/>
        <v>180.5</v>
      </c>
      <c r="F82" s="128">
        <f t="shared" si="29"/>
        <v>1</v>
      </c>
      <c r="G82" s="128">
        <f t="shared" si="25"/>
        <v>361</v>
      </c>
      <c r="H82" s="128">
        <f t="shared" si="26"/>
        <v>40160</v>
      </c>
      <c r="I82" s="128">
        <f t="shared" si="30"/>
        <v>0.19625000000000001</v>
      </c>
      <c r="J82" s="128">
        <f t="shared" si="31"/>
        <v>7881.4000000000005</v>
      </c>
      <c r="K82" s="128">
        <f t="shared" si="32"/>
        <v>1.57</v>
      </c>
      <c r="L82" s="128">
        <f t="shared" si="27"/>
        <v>4151.5</v>
      </c>
      <c r="M82" s="128">
        <f t="shared" si="28"/>
        <v>399</v>
      </c>
      <c r="N82" s="128">
        <f t="shared" si="33"/>
        <v>15025.685000000001</v>
      </c>
    </row>
    <row r="83" spans="2:14">
      <c r="B83" s="128">
        <v>25</v>
      </c>
      <c r="C83" s="128">
        <v>0.5</v>
      </c>
      <c r="D83" s="128">
        <f t="shared" si="23"/>
        <v>19</v>
      </c>
      <c r="E83" s="128">
        <f t="shared" si="24"/>
        <v>180.5</v>
      </c>
      <c r="F83" s="128">
        <f t="shared" si="29"/>
        <v>6</v>
      </c>
      <c r="G83" s="128">
        <f t="shared" si="25"/>
        <v>361</v>
      </c>
      <c r="H83" s="128">
        <f t="shared" si="26"/>
        <v>40160</v>
      </c>
      <c r="I83" s="128">
        <f t="shared" si="30"/>
        <v>0.19625000000000001</v>
      </c>
      <c r="J83" s="128">
        <f t="shared" si="31"/>
        <v>7881.4000000000005</v>
      </c>
      <c r="K83" s="128">
        <f t="shared" si="32"/>
        <v>1.57</v>
      </c>
      <c r="L83" s="128">
        <f t="shared" si="27"/>
        <v>4151.5</v>
      </c>
      <c r="M83" s="128">
        <f t="shared" si="28"/>
        <v>2394</v>
      </c>
      <c r="N83" s="128">
        <f t="shared" si="33"/>
        <v>18157.835000000003</v>
      </c>
    </row>
    <row r="84" spans="2:14">
      <c r="B84" s="128">
        <v>30</v>
      </c>
      <c r="C84" s="128">
        <v>0.5</v>
      </c>
      <c r="D84" s="128">
        <f t="shared" si="23"/>
        <v>19</v>
      </c>
      <c r="E84" s="128">
        <f t="shared" si="24"/>
        <v>180.5</v>
      </c>
      <c r="F84" s="128">
        <f t="shared" si="29"/>
        <v>11</v>
      </c>
      <c r="G84" s="128">
        <f t="shared" si="25"/>
        <v>361</v>
      </c>
      <c r="H84" s="128">
        <f t="shared" si="26"/>
        <v>40160</v>
      </c>
      <c r="I84" s="128">
        <f t="shared" si="30"/>
        <v>0.19625000000000001</v>
      </c>
      <c r="J84" s="128">
        <f t="shared" si="31"/>
        <v>7881.4000000000005</v>
      </c>
      <c r="K84" s="128">
        <f t="shared" si="32"/>
        <v>1.57</v>
      </c>
      <c r="L84" s="128">
        <f t="shared" si="27"/>
        <v>4151.5</v>
      </c>
      <c r="M84" s="128">
        <f t="shared" si="28"/>
        <v>4389</v>
      </c>
      <c r="N84" s="128">
        <f t="shared" si="33"/>
        <v>21289.985000000001</v>
      </c>
    </row>
    <row r="85" spans="2:14">
      <c r="B85" s="128">
        <v>35</v>
      </c>
      <c r="C85" s="128">
        <v>0.5</v>
      </c>
      <c r="D85" s="128">
        <f t="shared" si="23"/>
        <v>19</v>
      </c>
      <c r="E85" s="128">
        <f t="shared" si="24"/>
        <v>180.5</v>
      </c>
      <c r="F85" s="128">
        <f t="shared" si="29"/>
        <v>16</v>
      </c>
      <c r="G85" s="128">
        <f t="shared" si="25"/>
        <v>361</v>
      </c>
      <c r="H85" s="128">
        <f t="shared" si="26"/>
        <v>40160</v>
      </c>
      <c r="I85" s="128">
        <f t="shared" si="30"/>
        <v>0.19625000000000001</v>
      </c>
      <c r="J85" s="128">
        <f t="shared" si="31"/>
        <v>7881.4000000000005</v>
      </c>
      <c r="K85" s="128">
        <f t="shared" si="32"/>
        <v>1.57</v>
      </c>
      <c r="L85" s="128">
        <f t="shared" si="27"/>
        <v>4151.5</v>
      </c>
      <c r="M85" s="128">
        <f t="shared" si="28"/>
        <v>6384</v>
      </c>
      <c r="N85" s="128">
        <f t="shared" si="33"/>
        <v>24422.135000000002</v>
      </c>
    </row>
    <row r="86" spans="2:14">
      <c r="B86" s="128"/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</row>
    <row r="87" spans="2:14">
      <c r="B87" s="128">
        <v>0</v>
      </c>
      <c r="C87" s="128">
        <v>0.55000000000000004</v>
      </c>
      <c r="D87" s="128">
        <f t="shared" ref="D87:D94" si="34">MIN(B87,C87*D$29)</f>
        <v>0</v>
      </c>
      <c r="E87" s="128">
        <f t="shared" ref="E87:E94" si="35">0.5*D87*D$27</f>
        <v>0</v>
      </c>
      <c r="F87" s="128">
        <f>B87-D87</f>
        <v>0</v>
      </c>
      <c r="G87" s="128">
        <f t="shared" ref="G87:G94" si="36">D87*D$27</f>
        <v>0</v>
      </c>
      <c r="H87" s="128">
        <f t="shared" ref="H87:H94" si="37">D$28*D$32+G87*D$33</f>
        <v>450</v>
      </c>
      <c r="I87" s="128">
        <f>3.14/4*C87*C87</f>
        <v>0.23746250000000005</v>
      </c>
      <c r="J87" s="128">
        <f>H87*I87</f>
        <v>106.85812500000002</v>
      </c>
      <c r="K87" s="128">
        <f>3.14*C87</f>
        <v>1.7270000000000003</v>
      </c>
      <c r="L87" s="128">
        <f t="shared" ref="L87:L94" si="38">(D$31*E87+D$30)*D87</f>
        <v>0</v>
      </c>
      <c r="M87" s="128">
        <f t="shared" ref="M87:M94" si="39">(D$31*G87+D$30)*F87</f>
        <v>0</v>
      </c>
      <c r="N87" s="128">
        <f>J87+(L87+M87)*K87</f>
        <v>106.85812500000002</v>
      </c>
    </row>
    <row r="88" spans="2:14">
      <c r="B88" s="128">
        <v>5</v>
      </c>
      <c r="C88" s="128">
        <v>0.55000000000000004</v>
      </c>
      <c r="D88" s="128">
        <f t="shared" si="34"/>
        <v>5</v>
      </c>
      <c r="E88" s="128">
        <f t="shared" si="35"/>
        <v>47.5</v>
      </c>
      <c r="F88" s="128">
        <f>B88-D88</f>
        <v>0</v>
      </c>
      <c r="G88" s="128">
        <f t="shared" si="36"/>
        <v>95</v>
      </c>
      <c r="H88" s="128">
        <f t="shared" si="37"/>
        <v>10900</v>
      </c>
      <c r="I88" s="128">
        <f>3.14/4*C88*C88</f>
        <v>0.23746250000000005</v>
      </c>
      <c r="J88" s="128">
        <f>H88*I88</f>
        <v>2588.3412500000004</v>
      </c>
      <c r="K88" s="128">
        <f>3.14*C88</f>
        <v>1.7270000000000003</v>
      </c>
      <c r="L88" s="128">
        <f t="shared" si="38"/>
        <v>427.5</v>
      </c>
      <c r="M88" s="128">
        <f t="shared" si="39"/>
        <v>0</v>
      </c>
      <c r="N88" s="128">
        <f>J88+(L88+M88)*K88</f>
        <v>3326.6337500000004</v>
      </c>
    </row>
    <row r="89" spans="2:14">
      <c r="B89" s="128">
        <v>10</v>
      </c>
      <c r="C89" s="128">
        <v>0.55000000000000004</v>
      </c>
      <c r="D89" s="128">
        <f t="shared" si="34"/>
        <v>10</v>
      </c>
      <c r="E89" s="128">
        <f t="shared" si="35"/>
        <v>95</v>
      </c>
      <c r="F89" s="128">
        <f t="shared" ref="F89:F94" si="40">B89-D89</f>
        <v>0</v>
      </c>
      <c r="G89" s="128">
        <f t="shared" si="36"/>
        <v>190</v>
      </c>
      <c r="H89" s="128">
        <f t="shared" si="37"/>
        <v>21350</v>
      </c>
      <c r="I89" s="128">
        <f t="shared" ref="I89:I94" si="41">3.14/4*C89*C89</f>
        <v>0.23746250000000005</v>
      </c>
      <c r="J89" s="128">
        <f t="shared" ref="J89:J94" si="42">H89*I89</f>
        <v>5069.8243750000011</v>
      </c>
      <c r="K89" s="128">
        <f t="shared" ref="K89:K94" si="43">3.14*C89</f>
        <v>1.7270000000000003</v>
      </c>
      <c r="L89" s="128">
        <f t="shared" si="38"/>
        <v>1330</v>
      </c>
      <c r="M89" s="128">
        <f t="shared" si="39"/>
        <v>0</v>
      </c>
      <c r="N89" s="128">
        <f t="shared" ref="N89:N94" si="44">J89+(L89+M89)*K89</f>
        <v>7366.7343750000018</v>
      </c>
    </row>
    <row r="90" spans="2:14">
      <c r="B90" s="128">
        <v>15</v>
      </c>
      <c r="C90" s="128">
        <v>0.55000000000000004</v>
      </c>
      <c r="D90" s="128">
        <f t="shared" si="34"/>
        <v>15</v>
      </c>
      <c r="E90" s="128">
        <f t="shared" si="35"/>
        <v>142.5</v>
      </c>
      <c r="F90" s="128">
        <f t="shared" si="40"/>
        <v>0</v>
      </c>
      <c r="G90" s="128">
        <f t="shared" si="36"/>
        <v>285</v>
      </c>
      <c r="H90" s="128">
        <f t="shared" si="37"/>
        <v>31800</v>
      </c>
      <c r="I90" s="128">
        <f t="shared" si="41"/>
        <v>0.23746250000000005</v>
      </c>
      <c r="J90" s="128">
        <f t="shared" si="42"/>
        <v>7551.3075000000017</v>
      </c>
      <c r="K90" s="128">
        <f t="shared" si="43"/>
        <v>1.7270000000000003</v>
      </c>
      <c r="L90" s="128">
        <f t="shared" si="38"/>
        <v>2707.5</v>
      </c>
      <c r="M90" s="128">
        <f t="shared" si="39"/>
        <v>0</v>
      </c>
      <c r="N90" s="128">
        <f t="shared" si="44"/>
        <v>12227.160000000003</v>
      </c>
    </row>
    <row r="91" spans="2:14">
      <c r="B91" s="128">
        <v>20</v>
      </c>
      <c r="C91" s="128">
        <v>0.55000000000000004</v>
      </c>
      <c r="D91" s="128">
        <f t="shared" si="34"/>
        <v>20</v>
      </c>
      <c r="E91" s="128">
        <f t="shared" si="35"/>
        <v>190</v>
      </c>
      <c r="F91" s="128">
        <f t="shared" si="40"/>
        <v>0</v>
      </c>
      <c r="G91" s="128">
        <f t="shared" si="36"/>
        <v>380</v>
      </c>
      <c r="H91" s="128">
        <f t="shared" si="37"/>
        <v>42250</v>
      </c>
      <c r="I91" s="128">
        <f t="shared" si="41"/>
        <v>0.23746250000000005</v>
      </c>
      <c r="J91" s="128">
        <f t="shared" si="42"/>
        <v>10032.790625000001</v>
      </c>
      <c r="K91" s="128">
        <f t="shared" si="43"/>
        <v>1.7270000000000003</v>
      </c>
      <c r="L91" s="128">
        <f t="shared" si="38"/>
        <v>4560</v>
      </c>
      <c r="M91" s="128">
        <f t="shared" si="39"/>
        <v>0</v>
      </c>
      <c r="N91" s="128">
        <f t="shared" si="44"/>
        <v>17907.910625000004</v>
      </c>
    </row>
    <row r="92" spans="2:14">
      <c r="B92" s="128">
        <v>25</v>
      </c>
      <c r="C92" s="128">
        <v>0.55000000000000004</v>
      </c>
      <c r="D92" s="128">
        <f t="shared" si="34"/>
        <v>20.900000000000002</v>
      </c>
      <c r="E92" s="128">
        <f t="shared" si="35"/>
        <v>198.55</v>
      </c>
      <c r="F92" s="128">
        <f t="shared" si="40"/>
        <v>4.0999999999999979</v>
      </c>
      <c r="G92" s="128">
        <f t="shared" si="36"/>
        <v>397.1</v>
      </c>
      <c r="H92" s="128">
        <f t="shared" si="37"/>
        <v>44131</v>
      </c>
      <c r="I92" s="128">
        <f t="shared" si="41"/>
        <v>0.23746250000000005</v>
      </c>
      <c r="J92" s="128">
        <f t="shared" si="42"/>
        <v>10479.457587500003</v>
      </c>
      <c r="K92" s="128">
        <f t="shared" si="43"/>
        <v>1.7270000000000003</v>
      </c>
      <c r="L92" s="128">
        <f t="shared" si="38"/>
        <v>4943.8950000000004</v>
      </c>
      <c r="M92" s="128">
        <f t="shared" si="39"/>
        <v>1783.9099999999992</v>
      </c>
      <c r="N92" s="128">
        <f t="shared" si="44"/>
        <v>22098.376822500002</v>
      </c>
    </row>
    <row r="93" spans="2:14">
      <c r="B93" s="128">
        <v>30</v>
      </c>
      <c r="C93" s="128">
        <v>0.55000000000000004</v>
      </c>
      <c r="D93" s="128">
        <f t="shared" si="34"/>
        <v>20.900000000000002</v>
      </c>
      <c r="E93" s="128">
        <f t="shared" si="35"/>
        <v>198.55</v>
      </c>
      <c r="F93" s="128">
        <f t="shared" si="40"/>
        <v>9.0999999999999979</v>
      </c>
      <c r="G93" s="128">
        <f t="shared" si="36"/>
        <v>397.1</v>
      </c>
      <c r="H93" s="128">
        <f t="shared" si="37"/>
        <v>44131</v>
      </c>
      <c r="I93" s="128">
        <f t="shared" si="41"/>
        <v>0.23746250000000005</v>
      </c>
      <c r="J93" s="128">
        <f t="shared" si="42"/>
        <v>10479.457587500003</v>
      </c>
      <c r="K93" s="128">
        <f t="shared" si="43"/>
        <v>1.7270000000000003</v>
      </c>
      <c r="L93" s="128">
        <f t="shared" si="38"/>
        <v>4943.8950000000004</v>
      </c>
      <c r="M93" s="128">
        <f t="shared" si="39"/>
        <v>3959.4099999999994</v>
      </c>
      <c r="N93" s="128">
        <f t="shared" si="44"/>
        <v>25855.465322500007</v>
      </c>
    </row>
    <row r="94" spans="2:14">
      <c r="B94" s="128">
        <v>35</v>
      </c>
      <c r="C94" s="128">
        <v>0.55000000000000004</v>
      </c>
      <c r="D94" s="128">
        <f t="shared" si="34"/>
        <v>20.900000000000002</v>
      </c>
      <c r="E94" s="128">
        <f t="shared" si="35"/>
        <v>198.55</v>
      </c>
      <c r="F94" s="128">
        <f t="shared" si="40"/>
        <v>14.099999999999998</v>
      </c>
      <c r="G94" s="128">
        <f t="shared" si="36"/>
        <v>397.1</v>
      </c>
      <c r="H94" s="128">
        <f t="shared" si="37"/>
        <v>44131</v>
      </c>
      <c r="I94" s="128">
        <f t="shared" si="41"/>
        <v>0.23746250000000005</v>
      </c>
      <c r="J94" s="128">
        <f t="shared" si="42"/>
        <v>10479.457587500003</v>
      </c>
      <c r="K94" s="128">
        <f t="shared" si="43"/>
        <v>1.7270000000000003</v>
      </c>
      <c r="L94" s="128">
        <f t="shared" si="38"/>
        <v>4943.8950000000004</v>
      </c>
      <c r="M94" s="128">
        <f t="shared" si="39"/>
        <v>6134.9099999999989</v>
      </c>
      <c r="N94" s="128">
        <f t="shared" si="44"/>
        <v>29612.553822500005</v>
      </c>
    </row>
    <row r="95" spans="2:14">
      <c r="B95" s="128"/>
      <c r="C95" s="128"/>
      <c r="D95" s="128"/>
      <c r="E95" s="128"/>
      <c r="F95" s="128"/>
      <c r="G95" s="128"/>
      <c r="H95" s="128"/>
      <c r="I95" s="128"/>
      <c r="J95" s="128"/>
      <c r="K95" s="128"/>
      <c r="L95" s="128"/>
      <c r="M95" s="128"/>
      <c r="N95" s="128"/>
    </row>
    <row r="96" spans="2:14">
      <c r="B96" s="128">
        <v>0</v>
      </c>
      <c r="C96" s="128">
        <v>0.6</v>
      </c>
      <c r="D96" s="128">
        <f t="shared" ref="D96:D103" si="45">MIN(B96,C96*D$29)</f>
        <v>0</v>
      </c>
      <c r="E96" s="128">
        <f t="shared" ref="E96:E103" si="46">0.5*D96*D$27</f>
        <v>0</v>
      </c>
      <c r="F96" s="128">
        <f>B96-D96</f>
        <v>0</v>
      </c>
      <c r="G96" s="128">
        <f t="shared" ref="G96:G103" si="47">D96*D$27</f>
        <v>0</v>
      </c>
      <c r="H96" s="128">
        <f t="shared" ref="H96:H103" si="48">D$28*D$32+G96*D$33</f>
        <v>450</v>
      </c>
      <c r="I96" s="128">
        <f>3.14/4*C96*C96</f>
        <v>0.28259999999999996</v>
      </c>
      <c r="J96" s="128">
        <f>H96*I96</f>
        <v>127.16999999999999</v>
      </c>
      <c r="K96" s="128">
        <f>3.14*C96</f>
        <v>1.8839999999999999</v>
      </c>
      <c r="L96" s="128">
        <f t="shared" ref="L96:L103" si="49">(D$31*E96+D$30)*D96</f>
        <v>0</v>
      </c>
      <c r="M96" s="128">
        <f t="shared" ref="M96:M103" si="50">(D$31*G96+D$30)*F96</f>
        <v>0</v>
      </c>
      <c r="N96" s="128">
        <f>J96+(L96+M96)*K96</f>
        <v>127.16999999999999</v>
      </c>
    </row>
    <row r="97" spans="2:14">
      <c r="B97" s="128">
        <v>5</v>
      </c>
      <c r="C97" s="128">
        <v>0.6</v>
      </c>
      <c r="D97" s="128">
        <f t="shared" si="45"/>
        <v>5</v>
      </c>
      <c r="E97" s="128">
        <f t="shared" si="46"/>
        <v>47.5</v>
      </c>
      <c r="F97" s="128">
        <f>B97-D97</f>
        <v>0</v>
      </c>
      <c r="G97" s="128">
        <f t="shared" si="47"/>
        <v>95</v>
      </c>
      <c r="H97" s="128">
        <f t="shared" si="48"/>
        <v>10900</v>
      </c>
      <c r="I97" s="128">
        <f>3.14/4*C97*C97</f>
        <v>0.28259999999999996</v>
      </c>
      <c r="J97" s="128">
        <f>H97*I97</f>
        <v>3080.3399999999997</v>
      </c>
      <c r="K97" s="128">
        <f>3.14*C97</f>
        <v>1.8839999999999999</v>
      </c>
      <c r="L97" s="128">
        <f t="shared" si="49"/>
        <v>427.5</v>
      </c>
      <c r="M97" s="128">
        <f t="shared" si="50"/>
        <v>0</v>
      </c>
      <c r="N97" s="128">
        <f>J97+(L97+M97)*K97</f>
        <v>3885.7499999999995</v>
      </c>
    </row>
    <row r="98" spans="2:14">
      <c r="B98" s="128">
        <v>10</v>
      </c>
      <c r="C98" s="128">
        <v>0.6</v>
      </c>
      <c r="D98" s="128">
        <f t="shared" si="45"/>
        <v>10</v>
      </c>
      <c r="E98" s="128">
        <f t="shared" si="46"/>
        <v>95</v>
      </c>
      <c r="F98" s="128">
        <f t="shared" ref="F98:F103" si="51">B98-D98</f>
        <v>0</v>
      </c>
      <c r="G98" s="128">
        <f t="shared" si="47"/>
        <v>190</v>
      </c>
      <c r="H98" s="128">
        <f t="shared" si="48"/>
        <v>21350</v>
      </c>
      <c r="I98" s="128">
        <f t="shared" ref="I98:I103" si="52">3.14/4*C98*C98</f>
        <v>0.28259999999999996</v>
      </c>
      <c r="J98" s="128">
        <f t="shared" ref="J98:J103" si="53">H98*I98</f>
        <v>6033.5099999999993</v>
      </c>
      <c r="K98" s="128">
        <f t="shared" ref="K98:K103" si="54">3.14*C98</f>
        <v>1.8839999999999999</v>
      </c>
      <c r="L98" s="128">
        <f t="shared" si="49"/>
        <v>1330</v>
      </c>
      <c r="M98" s="128">
        <f t="shared" si="50"/>
        <v>0</v>
      </c>
      <c r="N98" s="128">
        <f t="shared" ref="N98:N103" si="55">J98+(L98+M98)*K98</f>
        <v>8539.23</v>
      </c>
    </row>
    <row r="99" spans="2:14">
      <c r="B99" s="128">
        <v>15</v>
      </c>
      <c r="C99" s="128">
        <v>0.6</v>
      </c>
      <c r="D99" s="128">
        <f t="shared" si="45"/>
        <v>15</v>
      </c>
      <c r="E99" s="128">
        <f t="shared" si="46"/>
        <v>142.5</v>
      </c>
      <c r="F99" s="128">
        <f t="shared" si="51"/>
        <v>0</v>
      </c>
      <c r="G99" s="128">
        <f t="shared" si="47"/>
        <v>285</v>
      </c>
      <c r="H99" s="128">
        <f t="shared" si="48"/>
        <v>31800</v>
      </c>
      <c r="I99" s="128">
        <f t="shared" si="52"/>
        <v>0.28259999999999996</v>
      </c>
      <c r="J99" s="128">
        <f t="shared" si="53"/>
        <v>8986.6799999999985</v>
      </c>
      <c r="K99" s="128">
        <f t="shared" si="54"/>
        <v>1.8839999999999999</v>
      </c>
      <c r="L99" s="128">
        <f t="shared" si="49"/>
        <v>2707.5</v>
      </c>
      <c r="M99" s="128">
        <f t="shared" si="50"/>
        <v>0</v>
      </c>
      <c r="N99" s="128">
        <f t="shared" si="55"/>
        <v>14087.609999999997</v>
      </c>
    </row>
    <row r="100" spans="2:14">
      <c r="B100" s="128">
        <v>20</v>
      </c>
      <c r="C100" s="128">
        <v>0.6</v>
      </c>
      <c r="D100" s="128">
        <f t="shared" si="45"/>
        <v>20</v>
      </c>
      <c r="E100" s="128">
        <f t="shared" si="46"/>
        <v>190</v>
      </c>
      <c r="F100" s="128">
        <f t="shared" si="51"/>
        <v>0</v>
      </c>
      <c r="G100" s="128">
        <f t="shared" si="47"/>
        <v>380</v>
      </c>
      <c r="H100" s="128">
        <f t="shared" si="48"/>
        <v>42250</v>
      </c>
      <c r="I100" s="128">
        <f t="shared" si="52"/>
        <v>0.28259999999999996</v>
      </c>
      <c r="J100" s="128">
        <f t="shared" si="53"/>
        <v>11939.849999999999</v>
      </c>
      <c r="K100" s="128">
        <f t="shared" si="54"/>
        <v>1.8839999999999999</v>
      </c>
      <c r="L100" s="128">
        <f t="shared" si="49"/>
        <v>4560</v>
      </c>
      <c r="M100" s="128">
        <f t="shared" si="50"/>
        <v>0</v>
      </c>
      <c r="N100" s="128">
        <f t="shared" si="55"/>
        <v>20530.89</v>
      </c>
    </row>
    <row r="101" spans="2:14">
      <c r="B101" s="128">
        <v>25</v>
      </c>
      <c r="C101" s="128">
        <v>0.6</v>
      </c>
      <c r="D101" s="128">
        <f t="shared" si="45"/>
        <v>22.8</v>
      </c>
      <c r="E101" s="128">
        <f t="shared" si="46"/>
        <v>216.6</v>
      </c>
      <c r="F101" s="128">
        <f t="shared" si="51"/>
        <v>2.1999999999999993</v>
      </c>
      <c r="G101" s="128">
        <f t="shared" si="47"/>
        <v>433.2</v>
      </c>
      <c r="H101" s="128">
        <f t="shared" si="48"/>
        <v>48102</v>
      </c>
      <c r="I101" s="128">
        <f t="shared" si="52"/>
        <v>0.28259999999999996</v>
      </c>
      <c r="J101" s="128">
        <f t="shared" si="53"/>
        <v>13593.625199999999</v>
      </c>
      <c r="K101" s="128">
        <f t="shared" si="54"/>
        <v>1.8839999999999999</v>
      </c>
      <c r="L101" s="128">
        <f t="shared" si="49"/>
        <v>5804.88</v>
      </c>
      <c r="M101" s="128">
        <f t="shared" si="50"/>
        <v>1036.6399999999996</v>
      </c>
      <c r="N101" s="128">
        <f t="shared" si="55"/>
        <v>26483.048879999995</v>
      </c>
    </row>
    <row r="102" spans="2:14">
      <c r="B102" s="128">
        <v>30</v>
      </c>
      <c r="C102" s="128">
        <v>0.6</v>
      </c>
      <c r="D102" s="128">
        <f t="shared" si="45"/>
        <v>22.8</v>
      </c>
      <c r="E102" s="128">
        <f t="shared" si="46"/>
        <v>216.6</v>
      </c>
      <c r="F102" s="128">
        <f t="shared" si="51"/>
        <v>7.1999999999999993</v>
      </c>
      <c r="G102" s="128">
        <f t="shared" si="47"/>
        <v>433.2</v>
      </c>
      <c r="H102" s="128">
        <f t="shared" si="48"/>
        <v>48102</v>
      </c>
      <c r="I102" s="128">
        <f t="shared" si="52"/>
        <v>0.28259999999999996</v>
      </c>
      <c r="J102" s="128">
        <f t="shared" si="53"/>
        <v>13593.625199999999</v>
      </c>
      <c r="K102" s="128">
        <f t="shared" si="54"/>
        <v>1.8839999999999999</v>
      </c>
      <c r="L102" s="128">
        <f t="shared" si="49"/>
        <v>5804.88</v>
      </c>
      <c r="M102" s="128">
        <f t="shared" si="50"/>
        <v>3392.6399999999994</v>
      </c>
      <c r="N102" s="128">
        <f t="shared" si="55"/>
        <v>30921.75288</v>
      </c>
    </row>
    <row r="103" spans="2:14">
      <c r="B103" s="128">
        <v>35</v>
      </c>
      <c r="C103" s="128">
        <v>0.6</v>
      </c>
      <c r="D103" s="128">
        <f t="shared" si="45"/>
        <v>22.8</v>
      </c>
      <c r="E103" s="128">
        <f t="shared" si="46"/>
        <v>216.6</v>
      </c>
      <c r="F103" s="128">
        <f t="shared" si="51"/>
        <v>12.2</v>
      </c>
      <c r="G103" s="128">
        <f t="shared" si="47"/>
        <v>433.2</v>
      </c>
      <c r="H103" s="128">
        <f t="shared" si="48"/>
        <v>48102</v>
      </c>
      <c r="I103" s="128">
        <f t="shared" si="52"/>
        <v>0.28259999999999996</v>
      </c>
      <c r="J103" s="128">
        <f t="shared" si="53"/>
        <v>13593.625199999999</v>
      </c>
      <c r="K103" s="128">
        <f t="shared" si="54"/>
        <v>1.8839999999999999</v>
      </c>
      <c r="L103" s="128">
        <f t="shared" si="49"/>
        <v>5804.88</v>
      </c>
      <c r="M103" s="128">
        <f t="shared" si="50"/>
        <v>5748.6399999999994</v>
      </c>
      <c r="N103" s="128">
        <f t="shared" si="55"/>
        <v>35360.456879999998</v>
      </c>
    </row>
  </sheetData>
  <mergeCells count="9">
    <mergeCell ref="B7:H7"/>
    <mergeCell ref="B15:J15"/>
    <mergeCell ref="E8:F8"/>
    <mergeCell ref="G8:H8"/>
    <mergeCell ref="B24:C24"/>
    <mergeCell ref="B25:C25"/>
    <mergeCell ref="D24:E24"/>
    <mergeCell ref="D25:E25"/>
    <mergeCell ref="D26:E26"/>
  </mergeCells>
  <phoneticPr fontId="18" type="noConversion"/>
  <pageMargins left="0.7" right="0.7" top="0.75" bottom="0.75" header="0.3" footer="0.3"/>
  <pageSetup paperSize="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Gauss quadreture</vt:lpstr>
      <vt:lpstr>Geotechnical Analysis</vt:lpstr>
      <vt:lpstr>eccentric Isolated Footing </vt:lpstr>
      <vt:lpstr>Compined Footing</vt:lpstr>
      <vt:lpstr>Strap Footing</vt:lpstr>
      <vt:lpstr>Isolated Footings</vt:lpstr>
      <vt:lpstr>PILE (STATIC ANALYSIS)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nour</dc:creator>
  <cp:lastModifiedBy>mohammed nour eldein</cp:lastModifiedBy>
  <cp:lastPrinted>2023-10-22T22:37:18Z</cp:lastPrinted>
  <dcterms:created xsi:type="dcterms:W3CDTF">2023-02-24T22:13:49Z</dcterms:created>
  <dcterms:modified xsi:type="dcterms:W3CDTF">2023-10-26T14:12:46Z</dcterms:modified>
</cp:coreProperties>
</file>