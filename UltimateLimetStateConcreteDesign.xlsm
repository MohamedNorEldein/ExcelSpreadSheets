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 codeName="ThisWorkbook"/>
  <mc:AlternateContent xmlns:mc="http://schemas.openxmlformats.org/markup-compatibility/2006">
    <mc:Choice Requires="x15">
      <x15ac:absPath xmlns:x15ac="http://schemas.microsoft.com/office/spreadsheetml/2010/11/ac" url="D:\Engineering\Spreed sheets\"/>
    </mc:Choice>
  </mc:AlternateContent>
  <xr:revisionPtr revIDLastSave="0" documentId="13_ncr:1_{1BE1EC4E-E318-49C6-9AC2-22EC5ECCD0BA}" xr6:coauthVersionLast="47" xr6:coauthVersionMax="47" xr10:uidLastSave="{00000000-0000-0000-0000-000000000000}"/>
  <bookViews>
    <workbookView xWindow="-108" yWindow="-108" windowWidth="23256" windowHeight="12720" tabRatio="519" firstSheet="2" activeTab="2" xr2:uid="{00000000-000D-0000-FFFF-FFFF00000000}"/>
  </bookViews>
  <sheets>
    <sheet name="Design of Section" sheetId="1" r:id="rId1"/>
    <sheet name="Falnged Section Design" sheetId="13" r:id="rId2"/>
    <sheet name="Section Analysis" sheetId="6" r:id="rId3"/>
    <sheet name="ContinousBeam" sheetId="2" r:id="rId4"/>
    <sheet name="Coulmns" sheetId="11" r:id="rId5"/>
    <sheet name="FLAT SLAP" sheetId="10" r:id="rId6"/>
    <sheet name="mommemt distribution" sheetId="12" r:id="rId7"/>
  </sheets>
  <externalReferences>
    <externalReference r:id="rId8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1" i="11" l="1"/>
  <c r="L3" i="12"/>
  <c r="O4" i="12" s="1"/>
  <c r="D6" i="12"/>
  <c r="E6" i="12"/>
  <c r="F6" i="12"/>
  <c r="M31" i="13"/>
  <c r="Q45" i="13"/>
  <c r="P45" i="13"/>
  <c r="H46" i="13"/>
  <c r="G46" i="13"/>
  <c r="D31" i="13"/>
  <c r="M27" i="13"/>
  <c r="M25" i="13"/>
  <c r="M26" i="13"/>
  <c r="M22" i="13"/>
  <c r="M15" i="13"/>
  <c r="M14" i="13"/>
  <c r="Q13" i="13"/>
  <c r="M13" i="13"/>
  <c r="D41" i="13"/>
  <c r="D15" i="13"/>
  <c r="G22" i="1"/>
  <c r="G23" i="1"/>
  <c r="G24" i="1"/>
  <c r="G25" i="1"/>
  <c r="G26" i="1"/>
  <c r="G27" i="1"/>
  <c r="G47" i="2"/>
  <c r="M47" i="2"/>
  <c r="N47" i="2"/>
  <c r="G48" i="2"/>
  <c r="M48" i="2"/>
  <c r="N48" i="2"/>
  <c r="G49" i="2"/>
  <c r="M49" i="2"/>
  <c r="N49" i="2"/>
  <c r="G50" i="2"/>
  <c r="M50" i="2"/>
  <c r="N50" i="2"/>
  <c r="G51" i="2"/>
  <c r="M51" i="2"/>
  <c r="N51" i="2"/>
  <c r="AX37" i="2"/>
  <c r="BB37" i="2"/>
  <c r="AX38" i="2"/>
  <c r="BB38" i="2"/>
  <c r="AX39" i="2"/>
  <c r="BB39" i="2"/>
  <c r="AX40" i="2"/>
  <c r="BB40" i="2"/>
  <c r="AX41" i="2"/>
  <c r="BB41" i="2"/>
  <c r="AX35" i="2"/>
  <c r="BB35" i="2"/>
  <c r="AX36" i="2"/>
  <c r="BB36" i="2"/>
  <c r="AE5" i="2"/>
  <c r="Z5" i="2"/>
  <c r="D22" i="13"/>
  <c r="D27" i="13"/>
  <c r="D26" i="13"/>
  <c r="D25" i="13"/>
  <c r="D14" i="13"/>
  <c r="H13" i="13"/>
  <c r="D13" i="13"/>
  <c r="BM4" i="2"/>
  <c r="BN4" i="2"/>
  <c r="O22" i="1" a="1"/>
  <c r="N4" i="12" l="1"/>
  <c r="O5" i="12"/>
  <c r="N5" i="12"/>
  <c r="O22" i="1"/>
  <c r="M28" i="13"/>
  <c r="M40" i="13" s="1"/>
  <c r="D28" i="13"/>
  <c r="I38" i="2"/>
  <c r="O44" i="2"/>
  <c r="P44" i="2"/>
  <c r="Q44" i="2"/>
  <c r="R44" i="2" s="1"/>
  <c r="O45" i="2"/>
  <c r="P45" i="2"/>
  <c r="Q45" i="2"/>
  <c r="R45" i="2" s="1"/>
  <c r="O46" i="2"/>
  <c r="P46" i="2"/>
  <c r="Q46" i="2"/>
  <c r="R46" i="2" s="1"/>
  <c r="O47" i="2"/>
  <c r="P47" i="2"/>
  <c r="Q47" i="2"/>
  <c r="R47" i="2" s="1"/>
  <c r="O48" i="2"/>
  <c r="P48" i="2"/>
  <c r="Q48" i="2"/>
  <c r="R48" i="2" s="1"/>
  <c r="O49" i="2"/>
  <c r="P49" i="2"/>
  <c r="Q49" i="2"/>
  <c r="R49" i="2" s="1"/>
  <c r="O50" i="2"/>
  <c r="P50" i="2"/>
  <c r="Q50" i="2"/>
  <c r="R50" i="2" s="1"/>
  <c r="O51" i="2"/>
  <c r="P51" i="2"/>
  <c r="Q51" i="2"/>
  <c r="R51" i="2" s="1"/>
  <c r="O52" i="2"/>
  <c r="P52" i="2"/>
  <c r="Q52" i="2"/>
  <c r="R52" i="2" s="1"/>
  <c r="O53" i="2"/>
  <c r="P53" i="2"/>
  <c r="Q53" i="2"/>
  <c r="R53" i="2" s="1"/>
  <c r="O54" i="2"/>
  <c r="P54" i="2"/>
  <c r="Q54" i="2"/>
  <c r="R54" i="2" s="1"/>
  <c r="O55" i="2"/>
  <c r="P55" i="2"/>
  <c r="Q55" i="2"/>
  <c r="R55" i="2" s="1"/>
  <c r="O56" i="2"/>
  <c r="P56" i="2"/>
  <c r="Q56" i="2"/>
  <c r="R56" i="2" s="1"/>
  <c r="O57" i="2"/>
  <c r="P57" i="2"/>
  <c r="Q57" i="2"/>
  <c r="R57" i="2" s="1"/>
  <c r="O58" i="2"/>
  <c r="P58" i="2"/>
  <c r="Q58" i="2"/>
  <c r="R58" i="2" s="1"/>
  <c r="O59" i="2"/>
  <c r="P59" i="2"/>
  <c r="Q59" i="2"/>
  <c r="R59" i="2" s="1"/>
  <c r="O60" i="2"/>
  <c r="P60" i="2"/>
  <c r="Q60" i="2"/>
  <c r="R60" i="2" s="1"/>
  <c r="O61" i="2"/>
  <c r="P61" i="2"/>
  <c r="Q61" i="2"/>
  <c r="R61" i="2" s="1"/>
  <c r="O62" i="2"/>
  <c r="P62" i="2"/>
  <c r="Q62" i="2"/>
  <c r="R62" i="2" s="1"/>
  <c r="P43" i="2"/>
  <c r="M45" i="2"/>
  <c r="N45" i="2"/>
  <c r="M46" i="2"/>
  <c r="N46" i="2"/>
  <c r="M43" i="2"/>
  <c r="N43" i="2"/>
  <c r="O43" i="2"/>
  <c r="Q43" i="2"/>
  <c r="R43" i="2" s="1"/>
  <c r="C47" i="12"/>
  <c r="M44" i="2"/>
  <c r="N44" i="2"/>
  <c r="D18" i="2"/>
  <c r="G44" i="2" s="1"/>
  <c r="AO6" i="2"/>
  <c r="K24" i="1"/>
  <c r="K26" i="1"/>
  <c r="K27" i="1"/>
  <c r="L27" i="1"/>
  <c r="K23" i="1"/>
  <c r="L23" i="1"/>
  <c r="L24" i="1"/>
  <c r="K25" i="1"/>
  <c r="L25" i="1"/>
  <c r="L26" i="1"/>
  <c r="F41" i="12"/>
  <c r="H41" i="12"/>
  <c r="J41" i="12"/>
  <c r="L41" i="12"/>
  <c r="N41" i="12"/>
  <c r="P41" i="12"/>
  <c r="R41" i="12"/>
  <c r="D41" i="12"/>
  <c r="C19" i="12"/>
  <c r="L19" i="12"/>
  <c r="M19" i="12"/>
  <c r="R19" i="12"/>
  <c r="C21" i="12"/>
  <c r="L21" i="12"/>
  <c r="M21" i="12"/>
  <c r="R21" i="12"/>
  <c r="C23" i="12"/>
  <c r="L23" i="12"/>
  <c r="M23" i="12"/>
  <c r="R23" i="12"/>
  <c r="C25" i="12"/>
  <c r="L25" i="12"/>
  <c r="M25" i="12"/>
  <c r="R25" i="12"/>
  <c r="C27" i="12"/>
  <c r="L27" i="12"/>
  <c r="M27" i="12"/>
  <c r="R27" i="12"/>
  <c r="C29" i="12"/>
  <c r="L29" i="12"/>
  <c r="M29" i="12"/>
  <c r="R29" i="12"/>
  <c r="C31" i="12"/>
  <c r="L31" i="12"/>
  <c r="M31" i="12"/>
  <c r="R31" i="12"/>
  <c r="C33" i="12"/>
  <c r="L33" i="12"/>
  <c r="M33" i="12"/>
  <c r="R33" i="12"/>
  <c r="C35" i="12"/>
  <c r="L35" i="12"/>
  <c r="M35" i="12"/>
  <c r="R35" i="12"/>
  <c r="C37" i="12"/>
  <c r="L37" i="12"/>
  <c r="M37" i="12"/>
  <c r="R37" i="12"/>
  <c r="C39" i="12"/>
  <c r="L39" i="12"/>
  <c r="M39" i="12"/>
  <c r="R39" i="12"/>
  <c r="F13" i="12" a="1"/>
  <c r="F13" i="12" s="1"/>
  <c r="G13" i="12" s="1"/>
  <c r="H13" i="12" a="1"/>
  <c r="H13" i="12" s="1"/>
  <c r="I13" i="12" s="1"/>
  <c r="J13" i="12" a="1"/>
  <c r="J13" i="12" s="1"/>
  <c r="L13" i="12" a="1"/>
  <c r="L13" i="12" s="1"/>
  <c r="M13" i="12" s="1"/>
  <c r="N13" i="12" a="1"/>
  <c r="N13" i="12" s="1"/>
  <c r="P13" i="12" a="1"/>
  <c r="P13" i="12" s="1"/>
  <c r="R13" i="12" a="1"/>
  <c r="R13" i="12" s="1"/>
  <c r="D13" i="12" a="1"/>
  <c r="D13" i="12" s="1"/>
  <c r="E13" i="12" s="1"/>
  <c r="C6" i="12"/>
  <c r="C17" i="12"/>
  <c r="L17" i="12"/>
  <c r="M17" i="12"/>
  <c r="R17" i="12"/>
  <c r="M15" i="12"/>
  <c r="R15" i="12"/>
  <c r="L15" i="12"/>
  <c r="C15" i="12"/>
  <c r="N29" i="6"/>
  <c r="BS19" i="6"/>
  <c r="BN22" i="6"/>
  <c r="BO22" i="6"/>
  <c r="C48" i="12" a="1"/>
  <c r="C12" i="12" a="1"/>
  <c r="C49" i="12" a="1"/>
  <c r="M38" i="13" l="1"/>
  <c r="M39" i="13" s="1"/>
  <c r="M41" i="13" s="1"/>
  <c r="S57" i="2"/>
  <c r="AT36" i="2" s="1"/>
  <c r="T52" i="2"/>
  <c r="S60" i="2"/>
  <c r="AT39" i="2" s="1"/>
  <c r="T53" i="2"/>
  <c r="D39" i="13"/>
  <c r="D40" i="13" s="1"/>
  <c r="D42" i="13" s="1"/>
  <c r="T51" i="2"/>
  <c r="T47" i="2"/>
  <c r="T60" i="2"/>
  <c r="S58" i="2"/>
  <c r="AT37" i="2" s="1"/>
  <c r="S56" i="2"/>
  <c r="T49" i="2"/>
  <c r="T59" i="2"/>
  <c r="S62" i="2"/>
  <c r="AT41" i="2" s="1"/>
  <c r="T48" i="2"/>
  <c r="T58" i="2"/>
  <c r="S52" i="2"/>
  <c r="T55" i="2"/>
  <c r="T61" i="2"/>
  <c r="S54" i="2"/>
  <c r="T45" i="2"/>
  <c r="S50" i="2"/>
  <c r="S48" i="2"/>
  <c r="S53" i="2"/>
  <c r="T43" i="2"/>
  <c r="S51" i="2"/>
  <c r="T44" i="2"/>
  <c r="T62" i="2"/>
  <c r="T50" i="2"/>
  <c r="S55" i="2"/>
  <c r="T57" i="2"/>
  <c r="S44" i="2"/>
  <c r="T54" i="2"/>
  <c r="S59" i="2"/>
  <c r="T46" i="2"/>
  <c r="T56" i="2"/>
  <c r="S61" i="2"/>
  <c r="AT40" i="2" s="1"/>
  <c r="S49" i="2"/>
  <c r="C48" i="12"/>
  <c r="C49" i="12"/>
  <c r="S47" i="2"/>
  <c r="G45" i="2"/>
  <c r="S45" i="2" s="1"/>
  <c r="G46" i="2"/>
  <c r="S46" i="2" s="1"/>
  <c r="G43" i="2"/>
  <c r="S43" i="2" s="1"/>
  <c r="K13" i="12"/>
  <c r="L14" i="12" s="1"/>
  <c r="Q13" i="12"/>
  <c r="Q14" i="12" s="1"/>
  <c r="P15" i="12" s="1"/>
  <c r="O13" i="12"/>
  <c r="P14" i="12" s="1"/>
  <c r="Q15" i="12" s="1"/>
  <c r="Q16" i="12" s="1"/>
  <c r="C12" i="12"/>
  <c r="C14" i="12" s="1"/>
  <c r="N14" i="12"/>
  <c r="O15" i="12" s="1"/>
  <c r="J14" i="12"/>
  <c r="K15" i="12" s="1"/>
  <c r="M14" i="12"/>
  <c r="E14" i="12"/>
  <c r="D15" i="12" s="1"/>
  <c r="I14" i="12"/>
  <c r="H15" i="12" s="1"/>
  <c r="H14" i="12"/>
  <c r="I15" i="12" s="1"/>
  <c r="G14" i="12"/>
  <c r="F15" i="12" s="1"/>
  <c r="D14" i="12"/>
  <c r="E15" i="12" s="1"/>
  <c r="F14" i="12"/>
  <c r="G15" i="12" s="1"/>
  <c r="BR8" i="6"/>
  <c r="BO8" i="6"/>
  <c r="BP22" i="6" s="1"/>
  <c r="CD19" i="1"/>
  <c r="BZ22" i="1" s="1"/>
  <c r="BX22" i="1"/>
  <c r="CC8" i="1"/>
  <c r="BZ8" i="1"/>
  <c r="G102" i="11"/>
  <c r="Z40" i="6"/>
  <c r="Z41" i="6"/>
  <c r="Z42" i="6"/>
  <c r="Z43" i="6"/>
  <c r="Z44" i="6"/>
  <c r="Z38" i="6"/>
  <c r="AH16" i="1"/>
  <c r="AA17" i="6"/>
  <c r="D32" i="13" a="1"/>
  <c r="D43" i="13" a="1"/>
  <c r="M32" i="13" a="1"/>
  <c r="M42" i="13" a="1"/>
  <c r="M32" i="13" l="1"/>
  <c r="M42" i="13"/>
  <c r="M44" i="13" s="1"/>
  <c r="M45" i="13" s="1"/>
  <c r="AT35" i="2"/>
  <c r="AT38" i="2"/>
  <c r="D43" i="13"/>
  <c r="D45" i="13" s="1"/>
  <c r="D46" i="13" s="1"/>
  <c r="D32" i="13"/>
  <c r="D35" i="13" s="1"/>
  <c r="D36" i="13" s="1"/>
  <c r="R14" i="12"/>
  <c r="O14" i="12"/>
  <c r="N15" i="12" s="1"/>
  <c r="N16" i="12" s="1"/>
  <c r="O17" i="12" s="1"/>
  <c r="K14" i="12"/>
  <c r="J15" i="12" s="1"/>
  <c r="C16" i="12"/>
  <c r="D16" i="12"/>
  <c r="E17" i="12" s="1"/>
  <c r="K16" i="12"/>
  <c r="L16" i="12"/>
  <c r="R16" i="12"/>
  <c r="O16" i="12"/>
  <c r="N17" i="12" s="1"/>
  <c r="P16" i="12"/>
  <c r="Q17" i="12" s="1"/>
  <c r="E16" i="12"/>
  <c r="D17" i="12" s="1"/>
  <c r="F16" i="12"/>
  <c r="G16" i="12"/>
  <c r="H16" i="12"/>
  <c r="P17" i="12"/>
  <c r="BT22" i="6"/>
  <c r="BQ22" i="6"/>
  <c r="BR22" i="6" s="1"/>
  <c r="BY22" i="1"/>
  <c r="CA22" i="1" a="1"/>
  <c r="M34" i="13" l="1"/>
  <c r="P34" i="13" s="1"/>
  <c r="M35" i="13"/>
  <c r="M36" i="13" s="1"/>
  <c r="D34" i="13"/>
  <c r="G34" i="13" s="1"/>
  <c r="M16" i="12"/>
  <c r="I16" i="12"/>
  <c r="J16" i="12"/>
  <c r="K17" i="12" s="1"/>
  <c r="I17" i="12"/>
  <c r="F17" i="12"/>
  <c r="O18" i="12"/>
  <c r="N19" i="12" s="1"/>
  <c r="P18" i="12"/>
  <c r="G17" i="12"/>
  <c r="C18" i="12"/>
  <c r="D18" i="12"/>
  <c r="E19" i="12" s="1"/>
  <c r="Q18" i="12"/>
  <c r="P19" i="12" s="1"/>
  <c r="R18" i="12"/>
  <c r="M18" i="12"/>
  <c r="N18" i="12"/>
  <c r="O19" i="12" s="1"/>
  <c r="J17" i="12"/>
  <c r="CA22" i="1"/>
  <c r="CD22" i="1" s="1"/>
  <c r="AJ20" i="6"/>
  <c r="P35" i="13" l="1"/>
  <c r="G35" i="13"/>
  <c r="Q19" i="12"/>
  <c r="I18" i="12"/>
  <c r="H19" i="12" s="1"/>
  <c r="J18" i="12"/>
  <c r="K19" i="12" s="1"/>
  <c r="O20" i="12"/>
  <c r="N21" i="12" s="1"/>
  <c r="P20" i="12"/>
  <c r="Q21" i="12" s="1"/>
  <c r="E18" i="12"/>
  <c r="F18" i="12"/>
  <c r="M20" i="12"/>
  <c r="N20" i="12"/>
  <c r="O21" i="12" s="1"/>
  <c r="K18" i="12"/>
  <c r="L18" i="12"/>
  <c r="H17" i="12"/>
  <c r="G44" i="13" l="1"/>
  <c r="G47" i="13" s="1"/>
  <c r="H44" i="13"/>
  <c r="H47" i="13" s="1"/>
  <c r="Q43" i="13"/>
  <c r="Q46" i="13" s="1"/>
  <c r="P43" i="13"/>
  <c r="P46" i="13" s="1"/>
  <c r="G19" i="12"/>
  <c r="G20" i="12" s="1"/>
  <c r="F21" i="12" s="1"/>
  <c r="R22" i="12"/>
  <c r="Q22" i="12"/>
  <c r="P23" i="12" s="1"/>
  <c r="M22" i="12"/>
  <c r="N22" i="12"/>
  <c r="O23" i="12" s="1"/>
  <c r="Q20" i="12"/>
  <c r="P21" i="12" s="1"/>
  <c r="O22" i="12" s="1"/>
  <c r="N23" i="12" s="1"/>
  <c r="R20" i="12"/>
  <c r="K20" i="12"/>
  <c r="J21" i="12" s="1"/>
  <c r="L20" i="12"/>
  <c r="D19" i="12"/>
  <c r="G18" i="12"/>
  <c r="F19" i="12" s="1"/>
  <c r="H18" i="12"/>
  <c r="I19" i="12" s="1"/>
  <c r="J19" i="12"/>
  <c r="H20" i="12" l="1"/>
  <c r="I21" i="12" s="1"/>
  <c r="I22" i="12" s="1"/>
  <c r="H23" i="12" s="1"/>
  <c r="P22" i="12"/>
  <c r="Q23" i="12" s="1"/>
  <c r="Q24" i="12" s="1"/>
  <c r="P25" i="12" s="1"/>
  <c r="C20" i="12"/>
  <c r="D20" i="12"/>
  <c r="E21" i="12" s="1"/>
  <c r="E22" i="12" s="1"/>
  <c r="D23" i="12" s="1"/>
  <c r="J20" i="12"/>
  <c r="K21" i="12" s="1"/>
  <c r="I20" i="12"/>
  <c r="H21" i="12" s="1"/>
  <c r="M24" i="12"/>
  <c r="N24" i="12"/>
  <c r="O25" i="12" s="1"/>
  <c r="F20" i="12"/>
  <c r="E20" i="12"/>
  <c r="D21" i="12" s="1"/>
  <c r="O24" i="12"/>
  <c r="N25" i="12" s="1"/>
  <c r="P24" i="12"/>
  <c r="Q25" i="12" s="1"/>
  <c r="J22" i="12" l="1"/>
  <c r="K23" i="12" s="1"/>
  <c r="L24" i="12" s="1"/>
  <c r="R24" i="12"/>
  <c r="C24" i="12"/>
  <c r="D24" i="12"/>
  <c r="E25" i="12" s="1"/>
  <c r="F22" i="12"/>
  <c r="G23" i="12" s="1"/>
  <c r="Q26" i="12"/>
  <c r="P27" i="12" s="1"/>
  <c r="R26" i="12"/>
  <c r="M26" i="12"/>
  <c r="N26" i="12"/>
  <c r="O27" i="12" s="1"/>
  <c r="C22" i="12"/>
  <c r="D22" i="12"/>
  <c r="G21" i="12"/>
  <c r="G22" i="12" s="1"/>
  <c r="F23" i="12" s="1"/>
  <c r="L22" i="12"/>
  <c r="K22" i="12"/>
  <c r="J23" i="12" s="1"/>
  <c r="O26" i="12"/>
  <c r="N27" i="12" s="1"/>
  <c r="P26" i="12"/>
  <c r="Q27" i="12" s="1"/>
  <c r="K24" i="12" l="1"/>
  <c r="J25" i="12" s="1"/>
  <c r="H22" i="12"/>
  <c r="I23" i="12" s="1"/>
  <c r="E23" i="12"/>
  <c r="E24" i="12" s="1"/>
  <c r="D25" i="12" s="1"/>
  <c r="G24" i="12"/>
  <c r="F25" i="12" s="1"/>
  <c r="F26" i="12" s="1"/>
  <c r="G27" i="12" s="1"/>
  <c r="H24" i="12"/>
  <c r="I25" i="12" s="1"/>
  <c r="R28" i="12"/>
  <c r="Q28" i="12"/>
  <c r="P29" i="12" s="1"/>
  <c r="N28" i="12"/>
  <c r="O29" i="12" s="1"/>
  <c r="M28" i="12"/>
  <c r="O28" i="12"/>
  <c r="N29" i="12" s="1"/>
  <c r="P28" i="12"/>
  <c r="Q29" i="12" s="1"/>
  <c r="J24" i="12" l="1"/>
  <c r="K25" i="12" s="1"/>
  <c r="K26" i="12" s="1"/>
  <c r="J27" i="12" s="1"/>
  <c r="I24" i="12"/>
  <c r="H25" i="12" s="1"/>
  <c r="D26" i="12"/>
  <c r="E27" i="12" s="1"/>
  <c r="C26" i="12"/>
  <c r="Q30" i="12"/>
  <c r="P31" i="12" s="1"/>
  <c r="R30" i="12"/>
  <c r="M30" i="12"/>
  <c r="N30" i="12"/>
  <c r="O31" i="12" s="1"/>
  <c r="E26" i="12"/>
  <c r="D27" i="12" s="1"/>
  <c r="F24" i="12"/>
  <c r="G25" i="12" s="1"/>
  <c r="O30" i="12"/>
  <c r="N31" i="12" s="1"/>
  <c r="P30" i="12"/>
  <c r="Q31" i="12" s="1"/>
  <c r="J26" i="12"/>
  <c r="K27" i="12" s="1"/>
  <c r="I26" i="12"/>
  <c r="H27" i="12" s="1"/>
  <c r="G28" i="12" s="1"/>
  <c r="F29" i="12" s="1"/>
  <c r="H26" i="12" l="1"/>
  <c r="I27" i="12" s="1"/>
  <c r="I28" i="12" s="1"/>
  <c r="H29" i="12" s="1"/>
  <c r="L26" i="12"/>
  <c r="L28" i="12"/>
  <c r="K28" i="12"/>
  <c r="J29" i="12" s="1"/>
  <c r="N32" i="12"/>
  <c r="O33" i="12" s="1"/>
  <c r="M32" i="12"/>
  <c r="G26" i="12"/>
  <c r="F27" i="12" s="1"/>
  <c r="P32" i="12"/>
  <c r="Q33" i="12" s="1"/>
  <c r="O32" i="12"/>
  <c r="N33" i="12" s="1"/>
  <c r="Q32" i="12"/>
  <c r="P33" i="12" s="1"/>
  <c r="R32" i="12"/>
  <c r="D28" i="12"/>
  <c r="E29" i="12" s="1"/>
  <c r="E30" i="12" s="1"/>
  <c r="D31" i="12" s="1"/>
  <c r="C28" i="12"/>
  <c r="H28" i="12"/>
  <c r="I29" i="12" s="1"/>
  <c r="J28" i="12" l="1"/>
  <c r="K29" i="12" s="1"/>
  <c r="K30" i="12" s="1"/>
  <c r="J31" i="12" s="1"/>
  <c r="D32" i="12"/>
  <c r="E33" i="12" s="1"/>
  <c r="C32" i="12"/>
  <c r="N34" i="12"/>
  <c r="O35" i="12" s="1"/>
  <c r="M34" i="12"/>
  <c r="F30" i="12"/>
  <c r="G31" i="12" s="1"/>
  <c r="J30" i="12"/>
  <c r="K31" i="12" s="1"/>
  <c r="I30" i="12"/>
  <c r="H31" i="12" s="1"/>
  <c r="P34" i="12"/>
  <c r="Q35" i="12" s="1"/>
  <c r="O34" i="12"/>
  <c r="N35" i="12" s="1"/>
  <c r="Q34" i="12"/>
  <c r="P35" i="12" s="1"/>
  <c r="R34" i="12"/>
  <c r="E28" i="12"/>
  <c r="D29" i="12" s="1"/>
  <c r="F28" i="12"/>
  <c r="G29" i="12" s="1"/>
  <c r="L30" i="12" l="1"/>
  <c r="H32" i="12"/>
  <c r="I33" i="12" s="1"/>
  <c r="M36" i="12"/>
  <c r="N36" i="12"/>
  <c r="O37" i="12" s="1"/>
  <c r="Q36" i="12"/>
  <c r="P37" i="12" s="1"/>
  <c r="R36" i="12"/>
  <c r="O36" i="12"/>
  <c r="N37" i="12" s="1"/>
  <c r="P36" i="12"/>
  <c r="Q37" i="12" s="1"/>
  <c r="L32" i="12"/>
  <c r="K32" i="12"/>
  <c r="J33" i="12" s="1"/>
  <c r="G32" i="12"/>
  <c r="F33" i="12" s="1"/>
  <c r="F34" i="12" s="1"/>
  <c r="G35" i="12" s="1"/>
  <c r="H30" i="12"/>
  <c r="I31" i="12" s="1"/>
  <c r="J32" i="12" s="1"/>
  <c r="K33" i="12" s="1"/>
  <c r="G30" i="12"/>
  <c r="F31" i="12" s="1"/>
  <c r="C30" i="12"/>
  <c r="D30" i="12"/>
  <c r="E31" i="12" s="1"/>
  <c r="I34" i="12" l="1"/>
  <c r="H35" i="12" s="1"/>
  <c r="G36" i="12" s="1"/>
  <c r="F37" i="12" s="1"/>
  <c r="I32" i="12"/>
  <c r="H33" i="12" s="1"/>
  <c r="K34" i="12"/>
  <c r="J35" i="12" s="1"/>
  <c r="L34" i="12"/>
  <c r="J34" i="12"/>
  <c r="K35" i="12" s="1"/>
  <c r="Q38" i="12"/>
  <c r="P39" i="12" s="1"/>
  <c r="R38" i="12"/>
  <c r="R40" i="12" s="1"/>
  <c r="M38" i="12"/>
  <c r="M40" i="12" s="1"/>
  <c r="N38" i="12"/>
  <c r="O39" i="12" s="1"/>
  <c r="E34" i="12"/>
  <c r="D35" i="12" s="1"/>
  <c r="E32" i="12"/>
  <c r="D33" i="12" s="1"/>
  <c r="F32" i="12"/>
  <c r="G33" i="12" s="1"/>
  <c r="O38" i="12"/>
  <c r="N39" i="12" s="1"/>
  <c r="P38" i="12"/>
  <c r="Q39" i="12" s="1"/>
  <c r="H36" i="12" l="1"/>
  <c r="I37" i="12" s="1"/>
  <c r="O40" i="12"/>
  <c r="P40" i="12"/>
  <c r="H34" i="12"/>
  <c r="I35" i="12" s="1"/>
  <c r="J36" i="12" s="1"/>
  <c r="K37" i="12" s="1"/>
  <c r="G34" i="12"/>
  <c r="F35" i="12" s="1"/>
  <c r="C34" i="12"/>
  <c r="D34" i="12"/>
  <c r="E35" i="12" s="1"/>
  <c r="D36" i="12"/>
  <c r="E37" i="12" s="1"/>
  <c r="E38" i="12" s="1"/>
  <c r="D39" i="12" s="1"/>
  <c r="C36" i="12"/>
  <c r="K36" i="12"/>
  <c r="J37" i="12" s="1"/>
  <c r="L36" i="12"/>
  <c r="Q40" i="12"/>
  <c r="Q41" i="12" s="1"/>
  <c r="N40" i="12"/>
  <c r="M41" i="12" s="1"/>
  <c r="I36" i="12" l="1"/>
  <c r="H37" i="12" s="1"/>
  <c r="O41" i="12"/>
  <c r="F38" i="12"/>
  <c r="G39" i="12" s="1"/>
  <c r="J38" i="12"/>
  <c r="K39" i="12" s="1"/>
  <c r="I38" i="12"/>
  <c r="H39" i="12" s="1"/>
  <c r="K38" i="12"/>
  <c r="J39" i="12" s="1"/>
  <c r="L38" i="12"/>
  <c r="L40" i="12" s="1"/>
  <c r="F36" i="12"/>
  <c r="G37" i="12" s="1"/>
  <c r="E36" i="12"/>
  <c r="D37" i="12" s="1"/>
  <c r="G38" i="12" l="1"/>
  <c r="F39" i="12" s="1"/>
  <c r="F40" i="12" s="1"/>
  <c r="H38" i="12"/>
  <c r="I39" i="12" s="1"/>
  <c r="I40" i="12" s="1"/>
  <c r="J40" i="12"/>
  <c r="C38" i="12"/>
  <c r="C40" i="12" s="1"/>
  <c r="D38" i="12"/>
  <c r="E39" i="12" s="1"/>
  <c r="E40" i="12" s="1"/>
  <c r="K40" i="12"/>
  <c r="K41" i="12" s="1"/>
  <c r="G40" i="12" l="1"/>
  <c r="D40" i="12"/>
  <c r="C41" i="12" s="1"/>
  <c r="I41" i="12"/>
  <c r="H40" i="12"/>
  <c r="E41" i="12"/>
  <c r="G41" i="12" l="1"/>
  <c r="BD22" i="2"/>
  <c r="BB23" i="2"/>
  <c r="BB24" i="2"/>
  <c r="BB25" i="2"/>
  <c r="BB26" i="2"/>
  <c r="BB27" i="2"/>
  <c r="BB28" i="2"/>
  <c r="BB29" i="2"/>
  <c r="BB30" i="2"/>
  <c r="BB31" i="2"/>
  <c r="BB32" i="2"/>
  <c r="BB33" i="2"/>
  <c r="BB34" i="2"/>
  <c r="BB22" i="2"/>
  <c r="BB8" i="2"/>
  <c r="AX23" i="2"/>
  <c r="AX24" i="2"/>
  <c r="AX25" i="2"/>
  <c r="AX26" i="2"/>
  <c r="AX27" i="2"/>
  <c r="AX28" i="2"/>
  <c r="AX29" i="2"/>
  <c r="AX30" i="2"/>
  <c r="AX31" i="2"/>
  <c r="AX32" i="2"/>
  <c r="AX33" i="2"/>
  <c r="AX34" i="2"/>
  <c r="AX22" i="2"/>
  <c r="BB7" i="2"/>
  <c r="AT26" i="2"/>
  <c r="AT32" i="2"/>
  <c r="AA5" i="2"/>
  <c r="I39" i="2"/>
  <c r="K39" i="2" s="1"/>
  <c r="K38" i="2"/>
  <c r="H39" i="2"/>
  <c r="J39" i="2" s="1"/>
  <c r="H38" i="2"/>
  <c r="J38" i="2" s="1"/>
  <c r="D16" i="2"/>
  <c r="AO7" i="2"/>
  <c r="K50" i="11"/>
  <c r="J51" i="11"/>
  <c r="K51" i="11"/>
  <c r="F108" i="11"/>
  <c r="I107" i="11"/>
  <c r="F107" i="11"/>
  <c r="G103" i="11"/>
  <c r="G106" i="11"/>
  <c r="Y22" i="1"/>
  <c r="Y21" i="1"/>
  <c r="I22" i="11"/>
  <c r="F106" i="11"/>
  <c r="W22" i="1"/>
  <c r="W28" i="1" s="1"/>
  <c r="E68" i="11"/>
  <c r="J43" i="11" a="1"/>
  <c r="J43" i="11" s="1"/>
  <c r="J44" i="11" s="1"/>
  <c r="J55" i="11" s="1"/>
  <c r="J56" i="11" s="1"/>
  <c r="AB18" i="1"/>
  <c r="W25" i="1" s="1"/>
  <c r="W26" i="1" s="1"/>
  <c r="E43" i="11" a="1"/>
  <c r="E43" i="11" s="1"/>
  <c r="E44" i="11" s="1"/>
  <c r="E55" i="11" s="1"/>
  <c r="E56" i="11" s="1"/>
  <c r="I21" i="11"/>
  <c r="I20" i="11"/>
  <c r="D21" i="11"/>
  <c r="D20" i="11"/>
  <c r="D19" i="11"/>
  <c r="G19" i="2"/>
  <c r="G10" i="2"/>
  <c r="G18" i="2"/>
  <c r="G9" i="2"/>
  <c r="G8" i="2"/>
  <c r="AT25" i="2" l="1"/>
  <c r="AT27" i="2"/>
  <c r="AT22" i="2"/>
  <c r="AT23" i="2"/>
  <c r="AT30" i="2"/>
  <c r="AT31" i="2"/>
  <c r="AT33" i="2"/>
  <c r="AT29" i="2"/>
  <c r="AT28" i="2"/>
  <c r="AT34" i="2"/>
  <c r="AT24" i="2"/>
  <c r="E28" i="11"/>
  <c r="J28" i="11"/>
  <c r="J29" i="11"/>
  <c r="E70" i="11"/>
  <c r="E69" i="11"/>
  <c r="E73" i="11" s="1"/>
  <c r="E74" i="11" s="1"/>
  <c r="E29" i="11"/>
  <c r="C63" i="2"/>
  <c r="K19" i="1"/>
  <c r="N22" i="1" s="1"/>
  <c r="J124" i="10"/>
  <c r="I124" i="10"/>
  <c r="H124" i="10"/>
  <c r="F124" i="10"/>
  <c r="E124" i="10"/>
  <c r="D124" i="10"/>
  <c r="J123" i="10"/>
  <c r="I123" i="10"/>
  <c r="H123" i="10"/>
  <c r="F123" i="10"/>
  <c r="E123" i="10"/>
  <c r="D123" i="10"/>
  <c r="D122" i="10"/>
  <c r="K121" i="10"/>
  <c r="J110" i="10"/>
  <c r="I110" i="10"/>
  <c r="H110" i="10"/>
  <c r="F110" i="10"/>
  <c r="E110" i="10"/>
  <c r="D110" i="10"/>
  <c r="J109" i="10"/>
  <c r="I109" i="10"/>
  <c r="H109" i="10"/>
  <c r="F109" i="10"/>
  <c r="E109" i="10"/>
  <c r="D109" i="10"/>
  <c r="J108" i="10"/>
  <c r="I108" i="10"/>
  <c r="H108" i="10"/>
  <c r="F108" i="10"/>
  <c r="E108" i="10"/>
  <c r="D108" i="10"/>
  <c r="D107" i="10"/>
  <c r="K106" i="10"/>
  <c r="J105" i="10"/>
  <c r="I105" i="10"/>
  <c r="H105" i="10"/>
  <c r="F105" i="10"/>
  <c r="E105" i="10"/>
  <c r="D105" i="10"/>
  <c r="H104" i="10"/>
  <c r="H104" i="10" a="1"/>
  <c r="D104" i="10"/>
  <c r="D104" i="10" a="1"/>
  <c r="J101" i="10"/>
  <c r="D101" i="10"/>
  <c r="J88" i="10"/>
  <c r="I88" i="10"/>
  <c r="H88" i="10"/>
  <c r="F88" i="10"/>
  <c r="E88" i="10"/>
  <c r="D88" i="10"/>
  <c r="J87" i="10"/>
  <c r="I87" i="10"/>
  <c r="H87" i="10"/>
  <c r="F87" i="10"/>
  <c r="E87" i="10"/>
  <c r="D87" i="10"/>
  <c r="J86" i="10"/>
  <c r="I86" i="10"/>
  <c r="H86" i="10"/>
  <c r="F86" i="10"/>
  <c r="E86" i="10"/>
  <c r="D86" i="10"/>
  <c r="D85" i="10"/>
  <c r="K84" i="10"/>
  <c r="J73" i="10"/>
  <c r="I73" i="10"/>
  <c r="H73" i="10"/>
  <c r="F73" i="10"/>
  <c r="E73" i="10"/>
  <c r="D73" i="10"/>
  <c r="J72" i="10"/>
  <c r="I72" i="10"/>
  <c r="H72" i="10"/>
  <c r="F72" i="10"/>
  <c r="E72" i="10"/>
  <c r="D72" i="10"/>
  <c r="J71" i="10"/>
  <c r="I71" i="10"/>
  <c r="H71" i="10"/>
  <c r="F71" i="10"/>
  <c r="E71" i="10"/>
  <c r="D71" i="10"/>
  <c r="K69" i="10"/>
  <c r="J68" i="10"/>
  <c r="I68" i="10"/>
  <c r="H68" i="10"/>
  <c r="F68" i="10"/>
  <c r="E68" i="10"/>
  <c r="D68" i="10"/>
  <c r="H67" i="10"/>
  <c r="H67" i="10" a="1"/>
  <c r="D67" i="10"/>
  <c r="D67" i="10" a="1"/>
  <c r="J64" i="10"/>
  <c r="D64" i="10"/>
  <c r="K59" i="10"/>
  <c r="J59" i="10"/>
  <c r="I59" i="10"/>
  <c r="H59" i="10"/>
  <c r="F59" i="10"/>
  <c r="E59" i="10"/>
  <c r="D59" i="10"/>
  <c r="C59" i="10"/>
  <c r="K58" i="10"/>
  <c r="J58" i="10"/>
  <c r="I58" i="10"/>
  <c r="H58" i="10"/>
  <c r="F58" i="10"/>
  <c r="E58" i="10"/>
  <c r="D58" i="10"/>
  <c r="C58" i="10"/>
  <c r="K57" i="10"/>
  <c r="J57" i="10"/>
  <c r="I57" i="10"/>
  <c r="H57" i="10"/>
  <c r="F57" i="10"/>
  <c r="E57" i="10"/>
  <c r="D57" i="10"/>
  <c r="C57" i="10"/>
  <c r="K56" i="10"/>
  <c r="J56" i="10"/>
  <c r="I56" i="10"/>
  <c r="H56" i="10"/>
  <c r="F56" i="10"/>
  <c r="E56" i="10"/>
  <c r="D56" i="10"/>
  <c r="C56" i="10"/>
  <c r="K55" i="10"/>
  <c r="J55" i="10"/>
  <c r="I55" i="10"/>
  <c r="H55" i="10"/>
  <c r="F55" i="10"/>
  <c r="E55" i="10"/>
  <c r="D55" i="10"/>
  <c r="C55" i="10"/>
  <c r="K54" i="10"/>
  <c r="J54" i="10"/>
  <c r="I54" i="10"/>
  <c r="H54" i="10"/>
  <c r="F54" i="10"/>
  <c r="E54" i="10"/>
  <c r="D54" i="10"/>
  <c r="C54" i="10"/>
  <c r="K53" i="10"/>
  <c r="J53" i="10"/>
  <c r="I53" i="10"/>
  <c r="H53" i="10"/>
  <c r="F53" i="10"/>
  <c r="E53" i="10"/>
  <c r="D53" i="10"/>
  <c r="C53" i="10"/>
  <c r="K52" i="10"/>
  <c r="J52" i="10"/>
  <c r="I52" i="10"/>
  <c r="H52" i="10"/>
  <c r="F52" i="10"/>
  <c r="E52" i="10"/>
  <c r="D52" i="10"/>
  <c r="C52" i="10"/>
  <c r="K51" i="10"/>
  <c r="J51" i="10"/>
  <c r="I51" i="10"/>
  <c r="H51" i="10"/>
  <c r="F51" i="10"/>
  <c r="E51" i="10"/>
  <c r="D51" i="10"/>
  <c r="C51" i="10"/>
  <c r="E44" i="10"/>
  <c r="H43" i="10"/>
  <c r="D43" i="10"/>
  <c r="D41" i="10"/>
  <c r="J35" i="10"/>
  <c r="J34" i="10"/>
  <c r="G34" i="10"/>
  <c r="J33" i="10"/>
  <c r="J32" i="10"/>
  <c r="D32" i="10"/>
  <c r="J31" i="10"/>
  <c r="G31" i="10"/>
  <c r="D31" i="10"/>
  <c r="D30" i="10"/>
  <c r="D29" i="10"/>
  <c r="D27" i="10"/>
  <c r="E20" i="10"/>
  <c r="H11" i="10"/>
  <c r="K9" i="10"/>
  <c r="H9" i="10"/>
  <c r="K8" i="10"/>
  <c r="H8" i="10"/>
  <c r="H7" i="10"/>
  <c r="S91" i="6"/>
  <c r="S90" i="6"/>
  <c r="S89" i="6"/>
  <c r="S88" i="6"/>
  <c r="T57" i="6"/>
  <c r="X56" i="6"/>
  <c r="X55" i="6"/>
  <c r="X54" i="6"/>
  <c r="Z54" i="6" s="1"/>
  <c r="X53" i="6"/>
  <c r="X52" i="6"/>
  <c r="X51" i="6"/>
  <c r="X50" i="6"/>
  <c r="X49" i="6"/>
  <c r="X48" i="6"/>
  <c r="X47" i="6"/>
  <c r="X46" i="6"/>
  <c r="Z46" i="6" s="1"/>
  <c r="T46" i="6"/>
  <c r="X45" i="6"/>
  <c r="Z45" i="6" s="1"/>
  <c r="T45" i="6"/>
  <c r="T44" i="6"/>
  <c r="T43" i="6"/>
  <c r="T42" i="6"/>
  <c r="T41" i="6"/>
  <c r="T40" i="6"/>
  <c r="X39" i="6"/>
  <c r="W34" i="6"/>
  <c r="W33" i="6"/>
  <c r="V33" i="6"/>
  <c r="U26" i="6"/>
  <c r="U25" i="6"/>
  <c r="K25" i="6"/>
  <c r="G25" i="6"/>
  <c r="BA23" i="6"/>
  <c r="AV23" i="6"/>
  <c r="AJ23" i="6"/>
  <c r="K24" i="6"/>
  <c r="G24" i="6"/>
  <c r="BA22" i="6"/>
  <c r="AV22" i="6"/>
  <c r="AJ22" i="6"/>
  <c r="K23" i="6"/>
  <c r="G23" i="6"/>
  <c r="BA21" i="6"/>
  <c r="AV21" i="6"/>
  <c r="AJ21" i="6"/>
  <c r="BA20" i="6"/>
  <c r="AV20" i="6"/>
  <c r="AK20" i="6"/>
  <c r="AS16" i="6"/>
  <c r="AA16" i="6"/>
  <c r="U14" i="6"/>
  <c r="V13" i="6"/>
  <c r="V12" i="6"/>
  <c r="V11" i="6"/>
  <c r="AS10" i="6"/>
  <c r="AZ20" i="6" s="1"/>
  <c r="AA10" i="6"/>
  <c r="AI20" i="6" s="1"/>
  <c r="V10" i="6"/>
  <c r="K9" i="6"/>
  <c r="H9" i="6"/>
  <c r="X7" i="6"/>
  <c r="T7" i="6"/>
  <c r="T10" i="6" s="1"/>
  <c r="T88" i="6" s="1"/>
  <c r="AY23" i="1"/>
  <c r="BP22" i="1"/>
  <c r="BQ22" i="1" s="1"/>
  <c r="BL22" i="1"/>
  <c r="BJ22" i="1"/>
  <c r="BH22" i="1"/>
  <c r="AY22" i="1"/>
  <c r="L22" i="1"/>
  <c r="K22" i="1"/>
  <c r="BP21" i="1"/>
  <c r="BQ21" i="1" s="1"/>
  <c r="BL21" i="1"/>
  <c r="BJ21" i="1"/>
  <c r="BH21" i="1"/>
  <c r="AY21" i="1"/>
  <c r="AB21" i="1"/>
  <c r="BP20" i="1"/>
  <c r="BQ20" i="1" s="1"/>
  <c r="BL20" i="1"/>
  <c r="BJ20" i="1"/>
  <c r="BH20" i="1"/>
  <c r="AY20" i="1"/>
  <c r="AB20" i="1"/>
  <c r="AR16" i="1"/>
  <c r="AE16" i="1"/>
  <c r="AB16" i="1"/>
  <c r="BG15" i="1"/>
  <c r="BG14" i="1"/>
  <c r="AR10" i="1"/>
  <c r="AV21" i="1" s="1"/>
  <c r="AE10" i="1"/>
  <c r="AI22" i="1" s="1"/>
  <c r="AB10" i="1"/>
  <c r="AB19" i="1" s="1"/>
  <c r="BG9" i="1"/>
  <c r="K8" i="1"/>
  <c r="H8" i="1"/>
  <c r="BG7" i="1"/>
  <c r="BG4" i="1"/>
  <c r="BG6" i="1" s="1"/>
  <c r="U42" i="6" a="1"/>
  <c r="U44" i="6" a="1"/>
  <c r="U48" i="6" a="1"/>
  <c r="H74" i="10" a="1"/>
  <c r="U40" i="6" a="1"/>
  <c r="F111" i="10" a="1"/>
  <c r="D125" i="10" a="1"/>
  <c r="U39" i="6" a="1"/>
  <c r="U41" i="6" a="1"/>
  <c r="J111" i="10" a="1"/>
  <c r="F125" i="10" a="1"/>
  <c r="U53" i="6" a="1"/>
  <c r="E111" i="10" a="1"/>
  <c r="F74" i="10" a="1"/>
  <c r="J125" i="10" a="1"/>
  <c r="U46" i="6" a="1"/>
  <c r="Y5" i="2" a="1"/>
  <c r="E125" i="10" a="1"/>
  <c r="U49" i="6" a="1"/>
  <c r="U45" i="6" a="1"/>
  <c r="I89" i="10" a="1"/>
  <c r="F89" i="10" a="1"/>
  <c r="H89" i="10" a="1"/>
  <c r="I74" i="10" a="1"/>
  <c r="U51" i="6" a="1"/>
  <c r="D111" i="10" a="1"/>
  <c r="I125" i="10" a="1"/>
  <c r="D74" i="10" a="1"/>
  <c r="U57" i="6" a="1"/>
  <c r="U56" i="6" a="1"/>
  <c r="J89" i="10" a="1"/>
  <c r="E74" i="10" a="1"/>
  <c r="H125" i="10" a="1"/>
  <c r="U31" i="6" a="1"/>
  <c r="I111" i="10" a="1"/>
  <c r="U43" i="6" a="1"/>
  <c r="U52" i="6" a="1"/>
  <c r="J74" i="10" a="1"/>
  <c r="H111" i="10" a="1"/>
  <c r="U55" i="6" a="1"/>
  <c r="U54" i="6" a="1"/>
  <c r="U50" i="6" a="1"/>
  <c r="E89" i="10" a="1"/>
  <c r="D89" i="10" a="1"/>
  <c r="U47" i="6" a="1"/>
  <c r="BM20" i="1" l="1"/>
  <c r="BO13" i="2"/>
  <c r="BO33" i="2"/>
  <c r="BO43" i="2"/>
  <c r="BO64" i="2"/>
  <c r="BO24" i="2"/>
  <c r="BO34" i="2"/>
  <c r="BO54" i="2"/>
  <c r="BO21" i="2"/>
  <c r="BO42" i="2"/>
  <c r="BO15" i="2"/>
  <c r="BO25" i="2"/>
  <c r="BO45" i="2"/>
  <c r="BO55" i="2"/>
  <c r="BO36" i="2"/>
  <c r="BO27" i="2"/>
  <c r="BO18" i="2"/>
  <c r="BO48" i="2"/>
  <c r="BO22" i="2"/>
  <c r="BO16" i="2"/>
  <c r="BO46" i="2"/>
  <c r="BO57" i="2"/>
  <c r="BO37" i="2"/>
  <c r="BO58" i="2"/>
  <c r="BO28" i="2"/>
  <c r="BO31" i="2"/>
  <c r="BO19" i="2"/>
  <c r="BO49" i="2"/>
  <c r="BO60" i="2"/>
  <c r="BO10" i="2"/>
  <c r="BO39" i="2"/>
  <c r="BO61" i="2"/>
  <c r="BO30" i="2"/>
  <c r="BO40" i="2"/>
  <c r="BO51" i="2"/>
  <c r="BO52" i="2"/>
  <c r="BO12" i="2"/>
  <c r="BO63" i="2"/>
  <c r="BO7" i="2"/>
  <c r="Y5" i="2"/>
  <c r="BL5" i="2"/>
  <c r="BO4" i="2"/>
  <c r="BO6" i="2"/>
  <c r="BO9" i="2"/>
  <c r="AJ20" i="1"/>
  <c r="M23" i="1"/>
  <c r="M25" i="1"/>
  <c r="M27" i="1"/>
  <c r="M22" i="1"/>
  <c r="M24" i="1"/>
  <c r="M26" i="1"/>
  <c r="N23" i="1"/>
  <c r="N26" i="1"/>
  <c r="N24" i="1"/>
  <c r="N25" i="1"/>
  <c r="N27" i="1"/>
  <c r="T47" i="6"/>
  <c r="Z47" i="6"/>
  <c r="AE22" i="6"/>
  <c r="AE23" i="6"/>
  <c r="T39" i="6"/>
  <c r="Z39" i="6"/>
  <c r="T49" i="6"/>
  <c r="Z49" i="6"/>
  <c r="T50" i="6"/>
  <c r="Z50" i="6"/>
  <c r="T51" i="6"/>
  <c r="Z51" i="6"/>
  <c r="T56" i="6"/>
  <c r="Z56" i="6"/>
  <c r="BB22" i="6"/>
  <c r="T53" i="6"/>
  <c r="Z53" i="6"/>
  <c r="T54" i="6"/>
  <c r="T48" i="6"/>
  <c r="Z48" i="6"/>
  <c r="BB20" i="6"/>
  <c r="T52" i="6"/>
  <c r="Z52" i="6"/>
  <c r="BB23" i="6"/>
  <c r="BB21" i="6"/>
  <c r="T55" i="6"/>
  <c r="Z55" i="6"/>
  <c r="BK20" i="1"/>
  <c r="BK22" i="1"/>
  <c r="AI21" i="1"/>
  <c r="BM22" i="1"/>
  <c r="AJ21" i="1"/>
  <c r="BM21" i="1"/>
  <c r="AI20" i="1"/>
  <c r="BK21" i="1"/>
  <c r="AJ22" i="1"/>
  <c r="AK22" i="1" s="1"/>
  <c r="AL22" i="1" s="1"/>
  <c r="AI23" i="1"/>
  <c r="AJ23" i="1"/>
  <c r="AU20" i="1"/>
  <c r="AV20" i="1"/>
  <c r="AU23" i="1"/>
  <c r="AV23" i="1"/>
  <c r="AU22" i="1"/>
  <c r="AV22" i="1"/>
  <c r="AU21" i="1"/>
  <c r="AK21" i="6"/>
  <c r="AK22" i="6"/>
  <c r="AK23" i="6"/>
  <c r="U43" i="6"/>
  <c r="U49" i="6"/>
  <c r="U55" i="6"/>
  <c r="U44" i="6"/>
  <c r="U50" i="6"/>
  <c r="U56" i="6"/>
  <c r="U45" i="6"/>
  <c r="U51" i="6"/>
  <c r="U57" i="6"/>
  <c r="U48" i="6"/>
  <c r="U40" i="6"/>
  <c r="U46" i="6"/>
  <c r="U52" i="6"/>
  <c r="U41" i="6"/>
  <c r="U47" i="6"/>
  <c r="U53" i="6"/>
  <c r="U42" i="6"/>
  <c r="U54" i="6"/>
  <c r="U39" i="6"/>
  <c r="U31" i="6"/>
  <c r="W6" i="2"/>
  <c r="AK42" i="2"/>
  <c r="AK43" i="2" s="1"/>
  <c r="AK44" i="2" s="1"/>
  <c r="AK45" i="2" s="1"/>
  <c r="AK46" i="2" s="1"/>
  <c r="AK47" i="2" s="1"/>
  <c r="AK48" i="2" s="1"/>
  <c r="AK49" i="2" s="1"/>
  <c r="AK50" i="2" s="1"/>
  <c r="AK51" i="2" s="1"/>
  <c r="AK52" i="2" s="1"/>
  <c r="AK53" i="2" s="1"/>
  <c r="AK54" i="2" s="1"/>
  <c r="AK55" i="2" s="1"/>
  <c r="AK56" i="2" s="1"/>
  <c r="AK57" i="2" s="1"/>
  <c r="AK58" i="2" s="1"/>
  <c r="AK59" i="2" s="1"/>
  <c r="AK60" i="2" s="1"/>
  <c r="AK61" i="2" s="1"/>
  <c r="AK62" i="2" s="1"/>
  <c r="AS23" i="2"/>
  <c r="AK16" i="2"/>
  <c r="X5" i="2" a="1"/>
  <c r="X5" i="2" s="1"/>
  <c r="W24" i="1"/>
  <c r="W23" i="1"/>
  <c r="J57" i="11"/>
  <c r="J59" i="11" s="1"/>
  <c r="E57" i="11"/>
  <c r="E59" i="11" s="1"/>
  <c r="J60" i="11"/>
  <c r="E60" i="11"/>
  <c r="AI22" i="6"/>
  <c r="AW20" i="6"/>
  <c r="AW22" i="6"/>
  <c r="AI21" i="6"/>
  <c r="T11" i="6"/>
  <c r="T89" i="6" s="1"/>
  <c r="AW21" i="6"/>
  <c r="AI23" i="6"/>
  <c r="AW23" i="6"/>
  <c r="AZ21" i="6"/>
  <c r="AZ22" i="6"/>
  <c r="AZ23" i="6"/>
  <c r="T12" i="6"/>
  <c r="T90" i="6" s="1"/>
  <c r="T13" i="6"/>
  <c r="T91" i="6" s="1"/>
  <c r="AE21" i="6"/>
  <c r="AE20" i="6"/>
  <c r="L23" i="6"/>
  <c r="M23" i="6" s="1"/>
  <c r="P23" i="6" s="1"/>
  <c r="L24" i="6"/>
  <c r="N24" i="6" s="1"/>
  <c r="L25" i="6"/>
  <c r="N25" i="6" s="1"/>
  <c r="H74" i="10"/>
  <c r="H76" i="10" s="1"/>
  <c r="H77" i="10"/>
  <c r="J92" i="10"/>
  <c r="J89" i="10"/>
  <c r="J91" i="10" s="1"/>
  <c r="E111" i="10"/>
  <c r="E113" i="10" s="1"/>
  <c r="E118" i="10" s="1"/>
  <c r="E114" i="10"/>
  <c r="E115" i="10" s="1"/>
  <c r="D125" i="10"/>
  <c r="D127" i="10" s="1"/>
  <c r="D128" i="10"/>
  <c r="I77" i="10"/>
  <c r="I74" i="10"/>
  <c r="I76" i="10" s="1"/>
  <c r="D92" i="10"/>
  <c r="D89" i="10"/>
  <c r="D91" i="10" s="1"/>
  <c r="F114" i="10"/>
  <c r="F118" i="10" s="1"/>
  <c r="F111" i="10"/>
  <c r="F113" i="10" s="1"/>
  <c r="F115" i="10" s="1"/>
  <c r="E128" i="10"/>
  <c r="E125" i="10"/>
  <c r="E127" i="10" s="1"/>
  <c r="J77" i="10"/>
  <c r="J74" i="10"/>
  <c r="J76" i="10" s="1"/>
  <c r="E92" i="10"/>
  <c r="E89" i="10"/>
  <c r="E91" i="10" s="1"/>
  <c r="H114" i="10"/>
  <c r="H118" i="10" s="1"/>
  <c r="H111" i="10"/>
  <c r="H113" i="10" s="1"/>
  <c r="H115" i="10" s="1"/>
  <c r="F128" i="10"/>
  <c r="F125" i="10"/>
  <c r="F127" i="10" s="1"/>
  <c r="D74" i="10"/>
  <c r="D76" i="10" s="1"/>
  <c r="D77" i="10"/>
  <c r="F92" i="10"/>
  <c r="F89" i="10"/>
  <c r="F91" i="10" s="1"/>
  <c r="I114" i="10"/>
  <c r="I115" i="10" s="1"/>
  <c r="I111" i="10"/>
  <c r="I113" i="10" s="1"/>
  <c r="I118" i="10" s="1"/>
  <c r="H128" i="10"/>
  <c r="H125" i="10"/>
  <c r="H127" i="10" s="1"/>
  <c r="E74" i="10"/>
  <c r="E76" i="10" s="1"/>
  <c r="E77" i="10"/>
  <c r="H92" i="10"/>
  <c r="H89" i="10"/>
  <c r="H91" i="10" s="1"/>
  <c r="J114" i="10"/>
  <c r="J118" i="10" s="1"/>
  <c r="J111" i="10"/>
  <c r="J113" i="10" s="1"/>
  <c r="J115" i="10" s="1"/>
  <c r="I128" i="10"/>
  <c r="I125" i="10"/>
  <c r="I127" i="10" s="1"/>
  <c r="F74" i="10"/>
  <c r="F76" i="10" s="1"/>
  <c r="F77" i="10"/>
  <c r="I89" i="10"/>
  <c r="I91" i="10" s="1"/>
  <c r="I92" i="10"/>
  <c r="D111" i="10"/>
  <c r="D113" i="10" s="1"/>
  <c r="D115" i="10" s="1"/>
  <c r="D114" i="10"/>
  <c r="D118" i="10" s="1"/>
  <c r="J128" i="10"/>
  <c r="J125" i="10"/>
  <c r="J127" i="10" s="1"/>
  <c r="BC20" i="6" a="1"/>
  <c r="BC21" i="6" a="1"/>
  <c r="V48" i="6" a="1"/>
  <c r="V50" i="6" a="1"/>
  <c r="BC23" i="6" a="1"/>
  <c r="AM22" i="1" a="1"/>
  <c r="AL21" i="6" a="1"/>
  <c r="V40" i="6" a="1"/>
  <c r="O26" i="1" a="1"/>
  <c r="O27" i="1" a="1"/>
  <c r="V57" i="6" a="1"/>
  <c r="V55" i="6" a="1"/>
  <c r="O25" i="1" a="1"/>
  <c r="V53" i="6" a="1"/>
  <c r="V47" i="6" a="1"/>
  <c r="V52" i="6" a="1"/>
  <c r="AL20" i="6" a="1"/>
  <c r="V54" i="6" a="1"/>
  <c r="O23" i="1" a="1"/>
  <c r="V56" i="6" a="1"/>
  <c r="V44" i="6" a="1"/>
  <c r="AL22" i="6" a="1"/>
  <c r="V41" i="6" a="1"/>
  <c r="V42" i="6" a="1"/>
  <c r="V46" i="6" a="1"/>
  <c r="O24" i="1" a="1"/>
  <c r="V45" i="6" a="1"/>
  <c r="V39" i="6" a="1"/>
  <c r="AL23" i="6" a="1"/>
  <c r="V49" i="6" a="1"/>
  <c r="V43" i="6" a="1"/>
  <c r="BC22" i="6" a="1"/>
  <c r="V51" i="6" a="1"/>
  <c r="T34" i="6" a="1"/>
  <c r="BN21" i="1" l="1"/>
  <c r="BR21" i="1" s="1"/>
  <c r="BN20" i="1"/>
  <c r="BR20" i="1" s="1"/>
  <c r="AK20" i="1"/>
  <c r="AL20" i="1" s="1"/>
  <c r="BL6" i="2"/>
  <c r="BM5" i="2"/>
  <c r="BO5" i="2" s="1" a="1"/>
  <c r="BO5" i="2" s="1"/>
  <c r="O26" i="1"/>
  <c r="O24" i="1"/>
  <c r="Q22" i="1"/>
  <c r="R22" i="1" s="1"/>
  <c r="O27" i="1"/>
  <c r="O25" i="1"/>
  <c r="O23" i="1"/>
  <c r="AK21" i="1"/>
  <c r="AL21" i="1" s="1"/>
  <c r="BN22" i="1"/>
  <c r="BR22" i="1" s="1"/>
  <c r="W7" i="2"/>
  <c r="AB5" i="2"/>
  <c r="BC20" i="6"/>
  <c r="BC21" i="6"/>
  <c r="AL23" i="6"/>
  <c r="BC23" i="6"/>
  <c r="AL22" i="6"/>
  <c r="BC22" i="6"/>
  <c r="AM22" i="1"/>
  <c r="AN22" i="1" s="1"/>
  <c r="AO22" i="1" s="1"/>
  <c r="AW20" i="1"/>
  <c r="AX20" i="1" s="1"/>
  <c r="AK23" i="1"/>
  <c r="AL23" i="1" s="1"/>
  <c r="V46" i="6"/>
  <c r="AW21" i="1"/>
  <c r="AX21" i="1" s="1"/>
  <c r="AW22" i="1"/>
  <c r="AX22" i="1" s="1"/>
  <c r="AW23" i="1"/>
  <c r="AX23" i="1" s="1"/>
  <c r="AL21" i="6"/>
  <c r="AL20" i="6"/>
  <c r="V48" i="6"/>
  <c r="V57" i="6"/>
  <c r="T34" i="6"/>
  <c r="V51" i="6"/>
  <c r="V39" i="6"/>
  <c r="V38" i="6" s="1"/>
  <c r="V45" i="6"/>
  <c r="V42" i="6"/>
  <c r="V40" i="6"/>
  <c r="V56" i="6"/>
  <c r="V50" i="6"/>
  <c r="V44" i="6"/>
  <c r="V47" i="6"/>
  <c r="V55" i="6"/>
  <c r="V41" i="6"/>
  <c r="V49" i="6"/>
  <c r="V54" i="6"/>
  <c r="V53" i="6"/>
  <c r="V52" i="6"/>
  <c r="V43" i="6"/>
  <c r="AK17" i="2"/>
  <c r="V6" i="2"/>
  <c r="AA6" i="2" s="1" a="1"/>
  <c r="AA6" i="2" s="1"/>
  <c r="X6" i="2" a="1"/>
  <c r="X6" i="2" s="1"/>
  <c r="AS24" i="2"/>
  <c r="AU24" i="2" s="1" a="1"/>
  <c r="AU24" i="2" s="1"/>
  <c r="BD23" i="2"/>
  <c r="AN62" i="2"/>
  <c r="AL62" i="2"/>
  <c r="AU22" i="2" a="1"/>
  <c r="AU22" i="2" s="1"/>
  <c r="AU23" i="2" a="1"/>
  <c r="AU23" i="2" s="1"/>
  <c r="J62" i="11"/>
  <c r="J65" i="11" s="1"/>
  <c r="W27" i="1"/>
  <c r="E62" i="11"/>
  <c r="E65" i="11" s="1"/>
  <c r="N23" i="6"/>
  <c r="O23" i="6" s="1"/>
  <c r="M25" i="6"/>
  <c r="P25" i="6" s="1"/>
  <c r="O25" i="6" s="1"/>
  <c r="M24" i="6"/>
  <c r="P24" i="6" s="1"/>
  <c r="O24" i="6" s="1"/>
  <c r="F132" i="10"/>
  <c r="F129" i="10"/>
  <c r="D78" i="10"/>
  <c r="D81" i="10"/>
  <c r="H119" i="10"/>
  <c r="H120" i="10" s="1"/>
  <c r="E132" i="10"/>
  <c r="E129" i="10"/>
  <c r="F116" i="10"/>
  <c r="F117" i="10" s="1"/>
  <c r="D132" i="10"/>
  <c r="D129" i="10"/>
  <c r="E96" i="10"/>
  <c r="E93" i="10"/>
  <c r="F119" i="10"/>
  <c r="F120" i="10" s="1"/>
  <c r="E116" i="10"/>
  <c r="E117" i="10" s="1"/>
  <c r="I132" i="10"/>
  <c r="I129" i="10"/>
  <c r="H132" i="10"/>
  <c r="H129" i="10"/>
  <c r="J78" i="10"/>
  <c r="J81" i="10"/>
  <c r="D96" i="10"/>
  <c r="D93" i="10"/>
  <c r="E119" i="10"/>
  <c r="E120" i="10" s="1"/>
  <c r="I93" i="10"/>
  <c r="I96" i="10"/>
  <c r="J116" i="10"/>
  <c r="J117" i="10" s="1"/>
  <c r="J93" i="10"/>
  <c r="J96" i="10"/>
  <c r="J119" i="10"/>
  <c r="J120" i="10" s="1"/>
  <c r="H96" i="10"/>
  <c r="H93" i="10"/>
  <c r="H116" i="10"/>
  <c r="H117" i="10" s="1"/>
  <c r="J132" i="10"/>
  <c r="J129" i="10"/>
  <c r="I119" i="10"/>
  <c r="I120" i="10" s="1"/>
  <c r="T77" i="6"/>
  <c r="T83" i="6" s="1"/>
  <c r="I116" i="10"/>
  <c r="I117" i="10" s="1"/>
  <c r="I78" i="10"/>
  <c r="I81" i="10"/>
  <c r="D119" i="10"/>
  <c r="D120" i="10" s="1"/>
  <c r="F96" i="10"/>
  <c r="F93" i="10"/>
  <c r="H78" i="10"/>
  <c r="H81" i="10"/>
  <c r="D116" i="10"/>
  <c r="D117" i="10" s="1"/>
  <c r="E81" i="10"/>
  <c r="E78" i="10"/>
  <c r="F78" i="10"/>
  <c r="F81" i="10"/>
  <c r="BD22" i="6" a="1"/>
  <c r="BD23" i="6" a="1"/>
  <c r="AM20" i="1" a="1"/>
  <c r="AC5" i="2" a="1"/>
  <c r="AZ21" i="1" a="1"/>
  <c r="AM22" i="6" a="1"/>
  <c r="AM23" i="1" a="1"/>
  <c r="AM21" i="1" a="1"/>
  <c r="AZ23" i="1" a="1"/>
  <c r="AB35" i="1" a="1"/>
  <c r="BD21" i="6" a="1"/>
  <c r="AZ20" i="1" a="1"/>
  <c r="BD20" i="6" a="1"/>
  <c r="AZ22" i="1" a="1"/>
  <c r="AM20" i="6" a="1"/>
  <c r="AM23" i="6" a="1"/>
  <c r="AM21" i="6" a="1"/>
  <c r="AM20" i="1" l="1"/>
  <c r="AN20" i="1" s="1"/>
  <c r="AO20" i="1" s="1"/>
  <c r="Q23" i="1"/>
  <c r="R23" i="1" s="1"/>
  <c r="Q25" i="1"/>
  <c r="R25" i="1" s="1"/>
  <c r="Q27" i="1"/>
  <c r="R27" i="1" s="1"/>
  <c r="Q24" i="1"/>
  <c r="R24" i="1" s="1"/>
  <c r="Q26" i="1"/>
  <c r="R26" i="1" s="1"/>
  <c r="AG5" i="2"/>
  <c r="AH5" i="2" s="1"/>
  <c r="AE6" i="2" a="1"/>
  <c r="AE6" i="2" s="1"/>
  <c r="W8" i="2"/>
  <c r="X8" i="2" s="1" a="1"/>
  <c r="X8" i="2" s="1"/>
  <c r="BL7" i="2"/>
  <c r="BM6" i="2"/>
  <c r="BN6" i="2" s="1" a="1"/>
  <c r="BN6" i="2" s="1"/>
  <c r="BN7" i="2" s="1"/>
  <c r="Z6" i="2" a="1"/>
  <c r="Z6" i="2" s="1"/>
  <c r="AB6" i="2" s="1"/>
  <c r="AZ21" i="1"/>
  <c r="BA21" i="1" s="1"/>
  <c r="BB21" i="1" s="1"/>
  <c r="AM21" i="1"/>
  <c r="AN21" i="1" s="1"/>
  <c r="AO21" i="1" s="1"/>
  <c r="AB35" i="1"/>
  <c r="AB36" i="1" s="1"/>
  <c r="AB39" i="1" s="1"/>
  <c r="V7" i="2"/>
  <c r="AE7" i="2" s="1" a="1"/>
  <c r="AE7" i="2" s="1"/>
  <c r="X7" i="2" a="1"/>
  <c r="X7" i="2" s="1"/>
  <c r="BD23" i="6"/>
  <c r="BF23" i="6" s="1"/>
  <c r="BD21" i="6"/>
  <c r="BF21" i="6" s="1"/>
  <c r="AM22" i="6"/>
  <c r="AO22" i="6" s="1"/>
  <c r="AM23" i="6"/>
  <c r="AO23" i="6" s="1"/>
  <c r="BD22" i="6"/>
  <c r="BF22" i="6" s="1"/>
  <c r="BD20" i="6"/>
  <c r="BF20" i="6" s="1"/>
  <c r="AZ22" i="1"/>
  <c r="BA22" i="1" s="1"/>
  <c r="BB22" i="1" s="1"/>
  <c r="AM23" i="1"/>
  <c r="AN23" i="1" s="1"/>
  <c r="AO23" i="1" s="1"/>
  <c r="AZ23" i="1"/>
  <c r="BA23" i="1" s="1"/>
  <c r="BB23" i="1" s="1"/>
  <c r="AZ20" i="1"/>
  <c r="BA20" i="1" s="1"/>
  <c r="BB20" i="1" s="1"/>
  <c r="AC5" i="2"/>
  <c r="AF5" i="2" s="1"/>
  <c r="AI5" i="2" s="1"/>
  <c r="E72" i="11"/>
  <c r="AM21" i="6"/>
  <c r="AO21" i="6" s="1"/>
  <c r="AM20" i="6"/>
  <c r="AO20" i="6" s="1"/>
  <c r="AK18" i="2"/>
  <c r="AS25" i="2"/>
  <c r="BD24" i="2"/>
  <c r="AM62" i="2"/>
  <c r="AV23" i="2"/>
  <c r="AW23" i="2" s="1" a="1"/>
  <c r="AW23" i="2" s="1"/>
  <c r="AY23" i="2" s="1"/>
  <c r="AV22" i="2"/>
  <c r="AW22" i="2" s="1" a="1"/>
  <c r="AW22" i="2" s="1"/>
  <c r="AY22" i="2" s="1"/>
  <c r="BJ22" i="2" s="1"/>
  <c r="AV24" i="2"/>
  <c r="AW24" i="2" s="1" a="1"/>
  <c r="AW24" i="2" s="1"/>
  <c r="AY24" i="2" s="1"/>
  <c r="E71" i="11"/>
  <c r="E76" i="11"/>
  <c r="I97" i="10"/>
  <c r="I98" i="10" s="1"/>
  <c r="F97" i="10"/>
  <c r="F98" i="10" s="1"/>
  <c r="E133" i="10"/>
  <c r="E134" i="10" s="1"/>
  <c r="H94" i="10"/>
  <c r="H95" i="10" s="1"/>
  <c r="D94" i="10"/>
  <c r="D95" i="10" s="1"/>
  <c r="E79" i="10"/>
  <c r="E80" i="10" s="1"/>
  <c r="I82" i="10"/>
  <c r="I83" i="10" s="1"/>
  <c r="H97" i="10"/>
  <c r="H98" i="10" s="1"/>
  <c r="E82" i="10"/>
  <c r="E83" i="10" s="1"/>
  <c r="I79" i="10"/>
  <c r="I80" i="10" s="1"/>
  <c r="J82" i="10"/>
  <c r="J83" i="10" s="1"/>
  <c r="E94" i="10"/>
  <c r="E95" i="10" s="1"/>
  <c r="D82" i="10"/>
  <c r="D83" i="10" s="1"/>
  <c r="J133" i="10"/>
  <c r="J134" i="10" s="1"/>
  <c r="J79" i="10"/>
  <c r="J80" i="10" s="1"/>
  <c r="E97" i="10"/>
  <c r="E98" i="10" s="1"/>
  <c r="D79" i="10"/>
  <c r="D80" i="10" s="1"/>
  <c r="J97" i="10"/>
  <c r="J98" i="10" s="1"/>
  <c r="H130" i="10"/>
  <c r="H131" i="10" s="1"/>
  <c r="F130" i="10"/>
  <c r="F131" i="10" s="1"/>
  <c r="V34" i="6"/>
  <c r="U35" i="6"/>
  <c r="H82" i="10"/>
  <c r="H83" i="10" s="1"/>
  <c r="T95" i="6"/>
  <c r="T96" i="6" s="1"/>
  <c r="U90" i="6"/>
  <c r="V90" i="6" s="1"/>
  <c r="W90" i="6" s="1"/>
  <c r="X90" i="6" s="1"/>
  <c r="U88" i="6"/>
  <c r="V88" i="6" s="1"/>
  <c r="W88" i="6" s="1"/>
  <c r="U91" i="6"/>
  <c r="V91" i="6" s="1"/>
  <c r="W91" i="6" s="1"/>
  <c r="X91" i="6" s="1"/>
  <c r="U89" i="6"/>
  <c r="V89" i="6" s="1"/>
  <c r="W89" i="6" s="1"/>
  <c r="X89" i="6" s="1"/>
  <c r="J94" i="10"/>
  <c r="J95" i="10" s="1"/>
  <c r="H133" i="10"/>
  <c r="H134" i="10" s="1"/>
  <c r="F133" i="10"/>
  <c r="F134" i="10" s="1"/>
  <c r="F82" i="10"/>
  <c r="F83" i="10" s="1"/>
  <c r="H79" i="10"/>
  <c r="H80" i="10" s="1"/>
  <c r="I130" i="10"/>
  <c r="I131" i="10" s="1"/>
  <c r="D130" i="10"/>
  <c r="D131" i="10" s="1"/>
  <c r="F79" i="10"/>
  <c r="F80" i="10" s="1"/>
  <c r="I133" i="10"/>
  <c r="I134" i="10" s="1"/>
  <c r="D133" i="10"/>
  <c r="D134" i="10" s="1"/>
  <c r="J130" i="10"/>
  <c r="J131" i="10" s="1"/>
  <c r="F94" i="10"/>
  <c r="F95" i="10" s="1"/>
  <c r="I94" i="10"/>
  <c r="I95" i="10" s="1"/>
  <c r="E130" i="10"/>
  <c r="E131" i="10" s="1"/>
  <c r="D97" i="10"/>
  <c r="D98" i="10" s="1"/>
  <c r="AC6" i="2" a="1"/>
  <c r="E75" i="11" l="1"/>
  <c r="W9" i="2"/>
  <c r="X9" i="2" s="1" a="1"/>
  <c r="X9" i="2" s="1"/>
  <c r="V8" i="2"/>
  <c r="AA8" i="2" s="1" a="1"/>
  <c r="AA8" i="2" s="1"/>
  <c r="AG6" i="2"/>
  <c r="AH6" i="2" s="1"/>
  <c r="BL8" i="2"/>
  <c r="BM7" i="2"/>
  <c r="BN5" i="2"/>
  <c r="Z7" i="2" a="1"/>
  <c r="Z7" i="2" s="1"/>
  <c r="AA7" i="2" a="1"/>
  <c r="AA7" i="2" s="1"/>
  <c r="AC6" i="2"/>
  <c r="AF6" i="2" s="1"/>
  <c r="AI6" i="2" s="1"/>
  <c r="AK19" i="2"/>
  <c r="AS26" i="2"/>
  <c r="BD25" i="2"/>
  <c r="AU25" i="2" a="1"/>
  <c r="AU25" i="2" s="1"/>
  <c r="AZ24" i="2"/>
  <c r="BA24" i="2" s="1"/>
  <c r="BC24" i="2" s="1"/>
  <c r="BJ24" i="2"/>
  <c r="AZ23" i="2"/>
  <c r="BA23" i="2" s="1"/>
  <c r="BJ23" i="2"/>
  <c r="AZ22" i="2"/>
  <c r="BA22" i="2" s="1"/>
  <c r="BC22" i="2" s="1"/>
  <c r="X88" i="6"/>
  <c r="X92" i="6" s="1"/>
  <c r="W92" i="6"/>
  <c r="T99" i="6" s="1"/>
  <c r="E91" i="11" a="1"/>
  <c r="E91" i="11" l="1"/>
  <c r="E92" i="11" s="1"/>
  <c r="E93" i="11" s="1"/>
  <c r="E107" i="11" s="1"/>
  <c r="G107" i="11" s="1"/>
  <c r="W10" i="2"/>
  <c r="X10" i="2" s="1" a="1"/>
  <c r="X10" i="2" s="1"/>
  <c r="AE8" i="2" a="1"/>
  <c r="AE8" i="2" s="1"/>
  <c r="Z8" i="2" a="1"/>
  <c r="Z8" i="2" s="1"/>
  <c r="AB8" i="2" s="1"/>
  <c r="V9" i="2"/>
  <c r="AA9" i="2" s="1" a="1"/>
  <c r="AA9" i="2" s="1"/>
  <c r="BL9" i="2"/>
  <c r="BM8" i="2"/>
  <c r="BO8" i="2" s="1" a="1"/>
  <c r="BO8" i="2" s="1"/>
  <c r="AL41" i="2"/>
  <c r="AN41" i="2" s="1"/>
  <c r="AB7" i="2"/>
  <c r="AK20" i="2"/>
  <c r="BD26" i="2"/>
  <c r="AS27" i="2"/>
  <c r="AU26" i="2" a="1"/>
  <c r="AU26" i="2" s="1"/>
  <c r="AV26" i="2" s="1"/>
  <c r="AW26" i="2" s="1" a="1"/>
  <c r="AW26" i="2" s="1"/>
  <c r="AY26" i="2" s="1"/>
  <c r="AZ26" i="2" s="1"/>
  <c r="BA26" i="2" s="1"/>
  <c r="BC23" i="2"/>
  <c r="BE23" i="2" s="1"/>
  <c r="AV25" i="2"/>
  <c r="AW25" i="2" s="1" a="1"/>
  <c r="AW25" i="2" s="1"/>
  <c r="AY25" i="2" s="1"/>
  <c r="BE22" i="2"/>
  <c r="BF22" i="2" s="1"/>
  <c r="BH22" i="2" s="1"/>
  <c r="BG22" i="2" s="1"/>
  <c r="BE24" i="2"/>
  <c r="BF24" i="2" s="1"/>
  <c r="BH24" i="2" s="1"/>
  <c r="BG24" i="2" s="1"/>
  <c r="T100" i="6"/>
  <c r="AC8" i="2" a="1"/>
  <c r="AC7" i="2" a="1"/>
  <c r="W11" i="2" l="1"/>
  <c r="V10" i="2"/>
  <c r="Z10" i="2" s="1" a="1"/>
  <c r="Z10" i="2" s="1"/>
  <c r="AE10" i="2" a="1"/>
  <c r="AE10" i="2" s="1"/>
  <c r="AE9" i="2" a="1"/>
  <c r="AE9" i="2" s="1"/>
  <c r="Z9" i="2" a="1"/>
  <c r="Z9" i="2" s="1"/>
  <c r="AB9" i="2" s="1"/>
  <c r="AG8" i="2"/>
  <c r="AH8" i="2" s="1"/>
  <c r="AG7" i="2"/>
  <c r="AC7" i="2"/>
  <c r="AF7" i="2" s="1"/>
  <c r="AH7" i="2" s="1"/>
  <c r="BL10" i="2"/>
  <c r="BM9" i="2"/>
  <c r="BN9" i="2" s="1" a="1"/>
  <c r="BN9" i="2" s="1"/>
  <c r="AC8" i="2"/>
  <c r="AF8" i="2" s="1"/>
  <c r="AM41" i="2"/>
  <c r="AO41" i="2" s="1"/>
  <c r="AP41" i="2" s="1"/>
  <c r="AQ41" i="2" s="1"/>
  <c r="AK21" i="2"/>
  <c r="V11" i="2"/>
  <c r="AE11" i="2" s="1" a="1"/>
  <c r="AE11" i="2" s="1"/>
  <c r="X11" i="2" a="1"/>
  <c r="X11" i="2" s="1"/>
  <c r="W12" i="2"/>
  <c r="AZ25" i="2"/>
  <c r="BA25" i="2" s="1"/>
  <c r="BJ25" i="2"/>
  <c r="BJ26" i="2"/>
  <c r="BF23" i="2"/>
  <c r="BH23" i="2" s="1"/>
  <c r="BG23" i="2" s="1"/>
  <c r="AS28" i="2"/>
  <c r="BD27" i="2"/>
  <c r="AU27" i="2" a="1"/>
  <c r="AU27" i="2" s="1"/>
  <c r="AV27" i="2" s="1"/>
  <c r="AW27" i="2" s="1" a="1"/>
  <c r="AW27" i="2" s="1"/>
  <c r="AY27" i="2" s="1"/>
  <c r="AZ27" i="2" s="1"/>
  <c r="BA27" i="2" s="1"/>
  <c r="BC27" i="2" s="1"/>
  <c r="BC26" i="2"/>
  <c r="BE26" i="2" s="1"/>
  <c r="BI22" i="2"/>
  <c r="E108" i="11"/>
  <c r="H107" i="11"/>
  <c r="AC9" i="2" a="1"/>
  <c r="AI7" i="2" l="1"/>
  <c r="AI8" i="2"/>
  <c r="AA10" i="2" a="1"/>
  <c r="AA10" i="2" s="1"/>
  <c r="AB10" i="2" s="1"/>
  <c r="BN8" i="2"/>
  <c r="BN10" i="2"/>
  <c r="AC9" i="2"/>
  <c r="AF9" i="2" s="1"/>
  <c r="AG9" i="2"/>
  <c r="AH9" i="2" s="1"/>
  <c r="AL15" i="2"/>
  <c r="AN15" i="2" s="1"/>
  <c r="AM15" i="2" s="1"/>
  <c r="BL11" i="2"/>
  <c r="BM10" i="2"/>
  <c r="AA11" i="2" a="1"/>
  <c r="AA11" i="2" s="1"/>
  <c r="AK22" i="2"/>
  <c r="Z11" i="2" a="1"/>
  <c r="Z11" i="2" s="1"/>
  <c r="W13" i="2"/>
  <c r="X12" i="2" a="1"/>
  <c r="X12" i="2" s="1"/>
  <c r="V12" i="2"/>
  <c r="AA12" i="2" s="1" a="1"/>
  <c r="AA12" i="2" s="1"/>
  <c r="BE27" i="2"/>
  <c r="BF27" i="2" s="1"/>
  <c r="BH27" i="2" s="1"/>
  <c r="BG27" i="2" s="1"/>
  <c r="BJ27" i="2"/>
  <c r="BC25" i="2"/>
  <c r="BF26" i="2"/>
  <c r="BH26" i="2" s="1"/>
  <c r="BG26" i="2" s="1"/>
  <c r="BD28" i="2"/>
  <c r="AS29" i="2"/>
  <c r="AU28" i="2" a="1"/>
  <c r="AU28" i="2" s="1"/>
  <c r="AV28" i="2" s="1"/>
  <c r="AW28" i="2" s="1" a="1"/>
  <c r="AW28" i="2" s="1"/>
  <c r="AY28" i="2" s="1"/>
  <c r="AZ28" i="2" s="1"/>
  <c r="BA28" i="2" s="1"/>
  <c r="H108" i="11"/>
  <c r="G108" i="11"/>
  <c r="G109" i="11" s="1"/>
  <c r="AC10" i="2" a="1"/>
  <c r="AI9" i="2" l="1"/>
  <c r="AL42" i="2" s="1"/>
  <c r="AN42" i="2" s="1"/>
  <c r="AM42" i="2" s="1"/>
  <c r="AO42" i="2" s="1"/>
  <c r="AP42" i="2" s="1"/>
  <c r="AQ42" i="2" s="1"/>
  <c r="AG10" i="2"/>
  <c r="AC10" i="2"/>
  <c r="AF10" i="2" s="1"/>
  <c r="AH10" i="2" s="1"/>
  <c r="AL16" i="2" s="1"/>
  <c r="AN16" i="2" s="1"/>
  <c r="AE12" i="2" a="1"/>
  <c r="AE12" i="2" s="1"/>
  <c r="BL12" i="2"/>
  <c r="BM11" i="2"/>
  <c r="BO11" i="2" s="1" a="1"/>
  <c r="BO11" i="2" s="1"/>
  <c r="AB11" i="2"/>
  <c r="AK23" i="2"/>
  <c r="Z12" i="2" a="1"/>
  <c r="Z12" i="2" s="1"/>
  <c r="AB12" i="2" s="1"/>
  <c r="V13" i="2"/>
  <c r="AE13" i="2" s="1" a="1"/>
  <c r="AE13" i="2" s="1"/>
  <c r="X13" i="2" a="1"/>
  <c r="X13" i="2" s="1"/>
  <c r="W14" i="2"/>
  <c r="BE25" i="2"/>
  <c r="BF25" i="2" s="1"/>
  <c r="BH25" i="2" s="1"/>
  <c r="BG25" i="2" s="1"/>
  <c r="BI25" i="2" s="1"/>
  <c r="BC28" i="2"/>
  <c r="BE28" i="2" s="1"/>
  <c r="BJ28" i="2"/>
  <c r="BD29" i="2"/>
  <c r="AU29" i="2" a="1"/>
  <c r="AU29" i="2" s="1"/>
  <c r="AV29" i="2" s="1"/>
  <c r="AW29" i="2" s="1" a="1"/>
  <c r="AW29" i="2" s="1"/>
  <c r="AY29" i="2" s="1"/>
  <c r="AZ29" i="2" s="1"/>
  <c r="BA29" i="2" s="1"/>
  <c r="AS30" i="2"/>
  <c r="BI23" i="2"/>
  <c r="BI27" i="2"/>
  <c r="BI24" i="2"/>
  <c r="BI26" i="2"/>
  <c r="AO15" i="2"/>
  <c r="AC12" i="2" a="1"/>
  <c r="AC11" i="2" a="1"/>
  <c r="AI10" i="2" l="1"/>
  <c r="AG12" i="2"/>
  <c r="AG11" i="2"/>
  <c r="BL13" i="2"/>
  <c r="BM12" i="2"/>
  <c r="BN12" i="2" s="1" a="1"/>
  <c r="BN12" i="2" s="1"/>
  <c r="AC11" i="2"/>
  <c r="AF11" i="2" s="1"/>
  <c r="AA13" i="2" a="1"/>
  <c r="AA13" i="2" s="1"/>
  <c r="AC12" i="2"/>
  <c r="AF12" i="2" s="1"/>
  <c r="AP15" i="2"/>
  <c r="AQ15" i="2" s="1"/>
  <c r="AM16" i="2"/>
  <c r="AO16" i="2" s="1"/>
  <c r="AP16" i="2" s="1"/>
  <c r="AQ16" i="2" s="1"/>
  <c r="AK24" i="2"/>
  <c r="Z13" i="2" a="1"/>
  <c r="Z13" i="2" s="1"/>
  <c r="W15" i="2"/>
  <c r="V14" i="2"/>
  <c r="AE14" i="2" s="1" a="1"/>
  <c r="AE14" i="2" s="1"/>
  <c r="X14" i="2" a="1"/>
  <c r="X14" i="2" s="1"/>
  <c r="BF28" i="2"/>
  <c r="BH28" i="2" s="1"/>
  <c r="BG28" i="2" s="1"/>
  <c r="BI28" i="2" s="1"/>
  <c r="BJ29" i="2"/>
  <c r="BD30" i="2"/>
  <c r="AS31" i="2"/>
  <c r="AU30" i="2" a="1"/>
  <c r="AU30" i="2" s="1"/>
  <c r="AV30" i="2" s="1"/>
  <c r="AW30" i="2" s="1" a="1"/>
  <c r="AW30" i="2" s="1"/>
  <c r="AY30" i="2" s="1"/>
  <c r="AZ30" i="2" s="1"/>
  <c r="BA30" i="2" s="1"/>
  <c r="BC29" i="2"/>
  <c r="BE29" i="2" s="1"/>
  <c r="AH11" i="2" l="1"/>
  <c r="BN11" i="2"/>
  <c r="BN13" i="2"/>
  <c r="AI12" i="2"/>
  <c r="AH12" i="2"/>
  <c r="AI11" i="2"/>
  <c r="BL14" i="2"/>
  <c r="BM13" i="2"/>
  <c r="AB13" i="2"/>
  <c r="Z14" i="2" a="1"/>
  <c r="Z14" i="2" s="1"/>
  <c r="AK25" i="2"/>
  <c r="AA14" i="2" a="1"/>
  <c r="AA14" i="2" s="1"/>
  <c r="W16" i="2"/>
  <c r="X15" i="2" a="1"/>
  <c r="X15" i="2" s="1"/>
  <c r="V15" i="2"/>
  <c r="Z15" i="2" s="1" a="1"/>
  <c r="Z15" i="2" s="1"/>
  <c r="BF29" i="2"/>
  <c r="BH29" i="2" s="1"/>
  <c r="BG29" i="2" s="1"/>
  <c r="BI29" i="2" s="1"/>
  <c r="BC30" i="2"/>
  <c r="BD31" i="2"/>
  <c r="AS32" i="2"/>
  <c r="AU31" i="2" a="1"/>
  <c r="AU31" i="2" s="1"/>
  <c r="AV31" i="2" s="1"/>
  <c r="AW31" i="2" s="1" a="1"/>
  <c r="AW31" i="2" s="1"/>
  <c r="AY31" i="2" s="1"/>
  <c r="AZ31" i="2" s="1"/>
  <c r="BA31" i="2" s="1"/>
  <c r="BJ30" i="2"/>
  <c r="AC13" i="2" a="1"/>
  <c r="AE15" i="2" l="1" a="1"/>
  <c r="AE15" i="2" s="1"/>
  <c r="AG13" i="2"/>
  <c r="BL15" i="2"/>
  <c r="BM14" i="2"/>
  <c r="BO14" i="2" s="1" a="1"/>
  <c r="BO14" i="2" s="1"/>
  <c r="AL43" i="2"/>
  <c r="AN43" i="2" s="1"/>
  <c r="AM43" i="2" s="1"/>
  <c r="AO43" i="2" s="1"/>
  <c r="AP43" i="2" s="1"/>
  <c r="AQ43" i="2" s="1"/>
  <c r="AC13" i="2"/>
  <c r="AF13" i="2" s="1"/>
  <c r="AB14" i="2"/>
  <c r="AK26" i="2"/>
  <c r="AA15" i="2" a="1"/>
  <c r="AA15" i="2" s="1"/>
  <c r="AB15" i="2" s="1"/>
  <c r="W17" i="2"/>
  <c r="X16" i="2" a="1"/>
  <c r="X16" i="2" s="1"/>
  <c r="V16" i="2"/>
  <c r="AE16" i="2" s="1" a="1"/>
  <c r="AE16" i="2" s="1"/>
  <c r="BD32" i="2"/>
  <c r="AS33" i="2"/>
  <c r="AU32" i="2" a="1"/>
  <c r="AU32" i="2" s="1"/>
  <c r="AV32" i="2" s="1"/>
  <c r="AW32" i="2" s="1" a="1"/>
  <c r="AW32" i="2" s="1"/>
  <c r="AY32" i="2" s="1"/>
  <c r="AZ32" i="2" s="1"/>
  <c r="BA32" i="2" s="1"/>
  <c r="BE30" i="2"/>
  <c r="BF30" i="2" s="1"/>
  <c r="BH30" i="2" s="1"/>
  <c r="BG30" i="2" s="1"/>
  <c r="BI30" i="2" s="1"/>
  <c r="BJ31" i="2"/>
  <c r="BC31" i="2"/>
  <c r="AC15" i="2" a="1"/>
  <c r="AC14" i="2" a="1"/>
  <c r="AH13" i="2" l="1"/>
  <c r="AL17" i="2" s="1"/>
  <c r="AI13" i="2"/>
  <c r="AG14" i="2"/>
  <c r="AG15" i="2"/>
  <c r="AH15" i="2" s="1"/>
  <c r="BL16" i="2"/>
  <c r="BM15" i="2"/>
  <c r="BN15" i="2" s="1" a="1"/>
  <c r="BN15" i="2" s="1"/>
  <c r="Z16" i="2" a="1"/>
  <c r="Z16" i="2" s="1"/>
  <c r="AC14" i="2"/>
  <c r="AF14" i="2" s="1"/>
  <c r="AC15" i="2"/>
  <c r="AF15" i="2" s="1"/>
  <c r="AK27" i="2"/>
  <c r="AA16" i="2" a="1"/>
  <c r="AA16" i="2" s="1"/>
  <c r="W18" i="2"/>
  <c r="V17" i="2"/>
  <c r="AE17" i="2" s="1" a="1"/>
  <c r="AE17" i="2" s="1"/>
  <c r="X17" i="2" a="1"/>
  <c r="X17" i="2" s="1"/>
  <c r="BD33" i="2"/>
  <c r="AS34" i="2"/>
  <c r="AS35" i="2" s="1"/>
  <c r="AU33" i="2" a="1"/>
  <c r="AU33" i="2" s="1"/>
  <c r="AV33" i="2" s="1"/>
  <c r="AW33" i="2" s="1" a="1"/>
  <c r="AW33" i="2" s="1"/>
  <c r="AY33" i="2" s="1"/>
  <c r="AZ33" i="2" s="1"/>
  <c r="BA33" i="2" s="1"/>
  <c r="BC32" i="2"/>
  <c r="BE32" i="2" s="1"/>
  <c r="BE31" i="2"/>
  <c r="BF31" i="2" s="1"/>
  <c r="BH31" i="2" s="1"/>
  <c r="BG31" i="2" s="1"/>
  <c r="BI31" i="2" s="1"/>
  <c r="BJ32" i="2"/>
  <c r="AH14" i="2" l="1"/>
  <c r="AI15" i="2"/>
  <c r="AI14" i="2"/>
  <c r="BN16" i="2"/>
  <c r="BN14" i="2"/>
  <c r="BD35" i="2"/>
  <c r="AS36" i="2"/>
  <c r="AU35" i="2" a="1"/>
  <c r="AU35" i="2" s="1"/>
  <c r="AN17" i="2"/>
  <c r="AM17" i="2" s="1"/>
  <c r="AO17" i="2" s="1"/>
  <c r="AP17" i="2" s="1"/>
  <c r="AQ17" i="2" s="1"/>
  <c r="BL17" i="2"/>
  <c r="BM16" i="2"/>
  <c r="AB16" i="2"/>
  <c r="Z17" i="2" a="1"/>
  <c r="Z17" i="2" s="1"/>
  <c r="AK28" i="2"/>
  <c r="W19" i="2"/>
  <c r="V18" i="2"/>
  <c r="AA18" i="2" s="1" a="1"/>
  <c r="AA18" i="2" s="1"/>
  <c r="X18" i="2" a="1"/>
  <c r="X18" i="2" s="1"/>
  <c r="AA17" i="2" a="1"/>
  <c r="AA17" i="2" s="1"/>
  <c r="BJ33" i="2"/>
  <c r="BF32" i="2"/>
  <c r="BH32" i="2" s="1"/>
  <c r="BG32" i="2" s="1"/>
  <c r="BI32" i="2" s="1"/>
  <c r="BC33" i="2"/>
  <c r="BE33" i="2" s="1"/>
  <c r="BD34" i="2"/>
  <c r="AU34" i="2" a="1"/>
  <c r="AU34" i="2" s="1"/>
  <c r="AV34" i="2" s="1"/>
  <c r="AW34" i="2" s="1" a="1"/>
  <c r="AW34" i="2" s="1"/>
  <c r="AY34" i="2" s="1"/>
  <c r="AZ34" i="2" s="1"/>
  <c r="BA34" i="2" s="1"/>
  <c r="AC16" i="2" a="1"/>
  <c r="AV35" i="2" l="1"/>
  <c r="AW35" i="2" s="1" a="1"/>
  <c r="AW35" i="2" s="1"/>
  <c r="AY35" i="2" s="1"/>
  <c r="AS37" i="2"/>
  <c r="BD36" i="2"/>
  <c r="AU36" i="2" a="1"/>
  <c r="AU36" i="2" s="1"/>
  <c r="AV36" i="2" s="1"/>
  <c r="AW36" i="2" s="1" a="1"/>
  <c r="AW36" i="2" s="1"/>
  <c r="AY36" i="2" s="1"/>
  <c r="AZ36" i="2" s="1"/>
  <c r="AE18" i="2" a="1"/>
  <c r="AE18" i="2" s="1"/>
  <c r="AG16" i="2"/>
  <c r="AL44" i="2"/>
  <c r="AN44" i="2" s="1"/>
  <c r="AM44" i="2" s="1"/>
  <c r="AO44" i="2" s="1"/>
  <c r="AP44" i="2" s="1"/>
  <c r="AQ44" i="2" s="1"/>
  <c r="BL18" i="2"/>
  <c r="BM17" i="2"/>
  <c r="BO17" i="2" s="1" a="1"/>
  <c r="BO17" i="2" s="1"/>
  <c r="AC16" i="2"/>
  <c r="AF16" i="2" s="1"/>
  <c r="AB17" i="2"/>
  <c r="AK29" i="2"/>
  <c r="W20" i="2"/>
  <c r="V19" i="2"/>
  <c r="AE19" i="2" s="1" a="1"/>
  <c r="AE19" i="2" s="1"/>
  <c r="X19" i="2" a="1"/>
  <c r="X19" i="2" s="1"/>
  <c r="Z18" i="2" a="1"/>
  <c r="Z18" i="2" s="1"/>
  <c r="AB18" i="2" s="1"/>
  <c r="BC34" i="2"/>
  <c r="BJ34" i="2"/>
  <c r="BF33" i="2"/>
  <c r="BH33" i="2" s="1"/>
  <c r="BG33" i="2" s="1"/>
  <c r="BI33" i="2" s="1"/>
  <c r="AC17" i="2" a="1"/>
  <c r="AC18" i="2" a="1"/>
  <c r="AI16" i="2" l="1"/>
  <c r="AH16" i="2"/>
  <c r="AL18" i="2" s="1"/>
  <c r="AZ35" i="2"/>
  <c r="BJ35" i="2"/>
  <c r="BA36" i="2"/>
  <c r="BC36" i="2" s="1"/>
  <c r="BE36" i="2" s="1"/>
  <c r="BJ36" i="2"/>
  <c r="BD37" i="2"/>
  <c r="AS38" i="2"/>
  <c r="AU37" i="2" a="1"/>
  <c r="AU37" i="2" s="1"/>
  <c r="AV37" i="2" s="1"/>
  <c r="AW37" i="2" s="1" a="1"/>
  <c r="AW37" i="2" s="1"/>
  <c r="AY37" i="2" s="1"/>
  <c r="AZ37" i="2" s="1"/>
  <c r="AG18" i="2"/>
  <c r="AG17" i="2"/>
  <c r="AH17" i="2" s="1"/>
  <c r="BL19" i="2"/>
  <c r="BM18" i="2"/>
  <c r="BN18" i="2" s="1" a="1"/>
  <c r="BN18" i="2" s="1"/>
  <c r="Z19" i="2" a="1"/>
  <c r="Z19" i="2" s="1"/>
  <c r="AC17" i="2"/>
  <c r="AF17" i="2" s="1"/>
  <c r="AC18" i="2"/>
  <c r="AF18" i="2" s="1"/>
  <c r="AI18" i="2" s="1"/>
  <c r="AK30" i="2"/>
  <c r="AA19" i="2" a="1"/>
  <c r="AA19" i="2" s="1"/>
  <c r="W21" i="2"/>
  <c r="V20" i="2"/>
  <c r="AE20" i="2" s="1" a="1"/>
  <c r="AE20" i="2" s="1"/>
  <c r="X20" i="2" a="1"/>
  <c r="X20" i="2" s="1"/>
  <c r="BE34" i="2"/>
  <c r="BF34" i="2" s="1"/>
  <c r="BH34" i="2" s="1"/>
  <c r="BG34" i="2" s="1"/>
  <c r="BI34" i="2" s="1"/>
  <c r="AH18" i="2" l="1"/>
  <c r="AI17" i="2"/>
  <c r="BN17" i="2"/>
  <c r="BN19" i="2"/>
  <c r="BF36" i="2"/>
  <c r="BH36" i="2" s="1"/>
  <c r="BG36" i="2" s="1"/>
  <c r="BI36" i="2" s="1"/>
  <c r="BA35" i="2"/>
  <c r="BC35" i="2" s="1"/>
  <c r="BE35" i="2" s="1"/>
  <c r="BA37" i="2"/>
  <c r="BC37" i="2" s="1"/>
  <c r="BJ37" i="2"/>
  <c r="AS39" i="2"/>
  <c r="BD38" i="2"/>
  <c r="AU38" i="2" a="1"/>
  <c r="AU38" i="2" s="1"/>
  <c r="AN18" i="2"/>
  <c r="AM18" i="2" s="1"/>
  <c r="AO18" i="2" s="1"/>
  <c r="AP18" i="2" s="1"/>
  <c r="AQ18" i="2" s="1"/>
  <c r="BL20" i="2"/>
  <c r="BM19" i="2"/>
  <c r="AB19" i="2"/>
  <c r="Z20" i="2" a="1"/>
  <c r="Z20" i="2" s="1"/>
  <c r="AK31" i="2"/>
  <c r="W22" i="2"/>
  <c r="V21" i="2"/>
  <c r="AA21" i="2" s="1" a="1"/>
  <c r="AA21" i="2" s="1"/>
  <c r="X21" i="2" a="1"/>
  <c r="X21" i="2" s="1"/>
  <c r="AA20" i="2" a="1"/>
  <c r="AA20" i="2" s="1"/>
  <c r="AC19" i="2" a="1"/>
  <c r="BE37" i="2" l="1"/>
  <c r="BF37" i="2" s="1"/>
  <c r="BH37" i="2" s="1"/>
  <c r="BG37" i="2" s="1"/>
  <c r="BI37" i="2" s="1"/>
  <c r="BF35" i="2"/>
  <c r="BH35" i="2" s="1"/>
  <c r="BG35" i="2" s="1"/>
  <c r="BI35" i="2" s="1"/>
  <c r="AV38" i="2"/>
  <c r="AW38" i="2" s="1" a="1"/>
  <c r="AW38" i="2" s="1"/>
  <c r="AY38" i="2" s="1"/>
  <c r="BD39" i="2"/>
  <c r="AS40" i="2"/>
  <c r="AU39" i="2" a="1"/>
  <c r="AU39" i="2" s="1"/>
  <c r="AV39" i="2" s="1"/>
  <c r="AW39" i="2" s="1" a="1"/>
  <c r="AW39" i="2" s="1"/>
  <c r="AY39" i="2" s="1"/>
  <c r="AZ39" i="2" s="1"/>
  <c r="AE21" i="2" a="1"/>
  <c r="AE21" i="2" s="1"/>
  <c r="AG19" i="2"/>
  <c r="AL45" i="2"/>
  <c r="AN45" i="2" s="1"/>
  <c r="AM45" i="2" s="1"/>
  <c r="AO45" i="2" s="1"/>
  <c r="AP45" i="2" s="1"/>
  <c r="AQ45" i="2" s="1"/>
  <c r="BL21" i="2"/>
  <c r="BL22" i="2" s="1"/>
  <c r="BL23" i="2" s="1"/>
  <c r="BL24" i="2" s="1"/>
  <c r="BL25" i="2" s="1"/>
  <c r="BL26" i="2" s="1"/>
  <c r="BL27" i="2" s="1"/>
  <c r="BL28" i="2" s="1"/>
  <c r="BL29" i="2" s="1"/>
  <c r="BL30" i="2" s="1"/>
  <c r="BL31" i="2" s="1"/>
  <c r="BM20" i="2"/>
  <c r="BO20" i="2" s="1" a="1"/>
  <c r="BO20" i="2" s="1"/>
  <c r="AC19" i="2"/>
  <c r="AF19" i="2" s="1"/>
  <c r="AB20" i="2"/>
  <c r="AK32" i="2"/>
  <c r="Z21" i="2" a="1"/>
  <c r="Z21" i="2" s="1"/>
  <c r="AB21" i="2" s="1"/>
  <c r="W23" i="2"/>
  <c r="V22" i="2"/>
  <c r="AE22" i="2" s="1" a="1"/>
  <c r="AE22" i="2" s="1"/>
  <c r="X22" i="2" a="1"/>
  <c r="X22" i="2" s="1"/>
  <c r="AC20" i="2" a="1"/>
  <c r="AC21" i="2" a="1"/>
  <c r="AI19" i="2" l="1"/>
  <c r="AH19" i="2"/>
  <c r="AL19" i="2" s="1"/>
  <c r="AN19" i="2" s="1"/>
  <c r="BJ39" i="2"/>
  <c r="AZ38" i="2"/>
  <c r="BJ38" i="2"/>
  <c r="AS41" i="2"/>
  <c r="BD40" i="2"/>
  <c r="AU40" i="2" a="1"/>
  <c r="AU40" i="2" s="1"/>
  <c r="AV40" i="2" s="1"/>
  <c r="AW40" i="2" s="1" a="1"/>
  <c r="AW40" i="2" s="1"/>
  <c r="AY40" i="2" s="1"/>
  <c r="AZ40" i="2" s="1"/>
  <c r="BA39" i="2"/>
  <c r="BC39" i="2" s="1"/>
  <c r="BE39" i="2" s="1"/>
  <c r="BL32" i="2"/>
  <c r="BM31" i="2"/>
  <c r="AG21" i="2"/>
  <c r="AG20" i="2"/>
  <c r="BM21" i="2"/>
  <c r="BN21" i="2" s="1" a="1"/>
  <c r="BN21" i="2" s="1"/>
  <c r="AC20" i="2"/>
  <c r="AF20" i="2" s="1"/>
  <c r="Z22" i="2" a="1"/>
  <c r="Z22" i="2" s="1"/>
  <c r="AC21" i="2"/>
  <c r="AF21" i="2" s="1"/>
  <c r="AK33" i="2"/>
  <c r="W24" i="2"/>
  <c r="X23" i="2" a="1"/>
  <c r="X23" i="2" s="1"/>
  <c r="V23" i="2"/>
  <c r="AE23" i="2" s="1" a="1"/>
  <c r="AE23" i="2" s="1"/>
  <c r="AA22" i="2" a="1"/>
  <c r="AA22" i="2" s="1"/>
  <c r="BN22" i="2" l="1"/>
  <c r="BN20" i="2"/>
  <c r="AM19" i="2"/>
  <c r="AO19" i="2" s="1"/>
  <c r="AP19" i="2" s="1"/>
  <c r="AQ19" i="2" s="1"/>
  <c r="AI21" i="2"/>
  <c r="AI20" i="2"/>
  <c r="AH21" i="2"/>
  <c r="AH20" i="2"/>
  <c r="BA38" i="2"/>
  <c r="BC38" i="2" s="1"/>
  <c r="BE38" i="2" s="1"/>
  <c r="BD41" i="2"/>
  <c r="AU41" i="2" a="1"/>
  <c r="AU41" i="2" s="1"/>
  <c r="BF39" i="2"/>
  <c r="BH39" i="2" s="1"/>
  <c r="BG39" i="2" s="1"/>
  <c r="BI39" i="2" s="1"/>
  <c r="BA40" i="2"/>
  <c r="BC40" i="2" s="1"/>
  <c r="BE40" i="2" s="1"/>
  <c r="BJ40" i="2"/>
  <c r="BL33" i="2"/>
  <c r="BM32" i="2"/>
  <c r="BO32" i="2" s="1" a="1"/>
  <c r="BO32" i="2" s="1"/>
  <c r="BM22" i="2"/>
  <c r="AB22" i="2"/>
  <c r="Z23" i="2" a="1"/>
  <c r="Z23" i="2" s="1"/>
  <c r="AA23" i="2" a="1"/>
  <c r="AA23" i="2" s="1"/>
  <c r="W25" i="2"/>
  <c r="V24" i="2"/>
  <c r="Z24" i="2" s="1" a="1"/>
  <c r="Z24" i="2" s="1"/>
  <c r="X24" i="2" a="1"/>
  <c r="X24" i="2" s="1"/>
  <c r="AC22" i="2" a="1"/>
  <c r="BF40" i="2" l="1"/>
  <c r="BH40" i="2" s="1"/>
  <c r="BG40" i="2" s="1"/>
  <c r="BI40" i="2" s="1"/>
  <c r="AV41" i="2"/>
  <c r="AW41" i="2" s="1" a="1"/>
  <c r="AW41" i="2" s="1"/>
  <c r="AY41" i="2" s="1"/>
  <c r="BF38" i="2"/>
  <c r="BH38" i="2" s="1"/>
  <c r="BG38" i="2" s="1"/>
  <c r="BI38" i="2" s="1"/>
  <c r="BL34" i="2"/>
  <c r="BM33" i="2"/>
  <c r="AE24" i="2" a="1"/>
  <c r="AE24" i="2" s="1"/>
  <c r="X25" i="2" a="1"/>
  <c r="X25" i="2" s="1"/>
  <c r="AG22" i="2"/>
  <c r="BM23" i="2"/>
  <c r="BO23" i="2" s="1" a="1"/>
  <c r="BO23" i="2" s="1"/>
  <c r="AL46" i="2"/>
  <c r="AN46" i="2" s="1"/>
  <c r="AM46" i="2" s="1"/>
  <c r="AO46" i="2" s="1"/>
  <c r="AP46" i="2" s="1"/>
  <c r="AQ46" i="2" s="1"/>
  <c r="AC22" i="2"/>
  <c r="AF22" i="2" s="1"/>
  <c r="AB23" i="2"/>
  <c r="AA24" i="2" a="1"/>
  <c r="AA24" i="2" s="1"/>
  <c r="AB24" i="2" s="1"/>
  <c r="W26" i="2"/>
  <c r="V25" i="2"/>
  <c r="AE25" i="2" s="1" a="1"/>
  <c r="AE25" i="2" s="1"/>
  <c r="AC23" i="2" a="1"/>
  <c r="AC24" i="2" a="1"/>
  <c r="AH22" i="2" l="1"/>
  <c r="AL20" i="2" s="1"/>
  <c r="AN20" i="2" s="1"/>
  <c r="AM20" i="2" s="1"/>
  <c r="AO20" i="2" s="1"/>
  <c r="AP20" i="2" s="1"/>
  <c r="AQ20" i="2" s="1"/>
  <c r="AI22" i="2"/>
  <c r="AZ41" i="2"/>
  <c r="BJ41" i="2"/>
  <c r="BL35" i="2"/>
  <c r="BM34" i="2"/>
  <c r="AG24" i="2"/>
  <c r="AG23" i="2"/>
  <c r="BM24" i="2"/>
  <c r="BN24" i="2" s="1" a="1"/>
  <c r="BN24" i="2" s="1"/>
  <c r="AC23" i="2"/>
  <c r="AF23" i="2" s="1"/>
  <c r="AI23" i="2" s="1"/>
  <c r="Z25" i="2" a="1"/>
  <c r="Z25" i="2" s="1"/>
  <c r="AC24" i="2"/>
  <c r="AF24" i="2" s="1"/>
  <c r="AA25" i="2" a="1"/>
  <c r="AA25" i="2" s="1"/>
  <c r="W27" i="2"/>
  <c r="X26" i="2" a="1"/>
  <c r="X26" i="2" s="1"/>
  <c r="V26" i="2"/>
  <c r="AE26" i="2" s="1" a="1"/>
  <c r="AE26" i="2" s="1"/>
  <c r="AH24" i="2" l="1"/>
  <c r="AI24" i="2"/>
  <c r="AH23" i="2"/>
  <c r="BN25" i="2"/>
  <c r="BN23" i="2"/>
  <c r="BA41" i="2"/>
  <c r="BC41" i="2" s="1"/>
  <c r="BL36" i="2"/>
  <c r="BM35" i="2"/>
  <c r="BO35" i="2" s="1" a="1"/>
  <c r="BO35" i="2" s="1"/>
  <c r="BM25" i="2"/>
  <c r="AB25" i="2"/>
  <c r="Z26" i="2" a="1"/>
  <c r="Z26" i="2" s="1"/>
  <c r="AA26" i="2" a="1"/>
  <c r="AA26" i="2" s="1"/>
  <c r="W28" i="2"/>
  <c r="V27" i="2"/>
  <c r="Z27" i="2" s="1" a="1"/>
  <c r="Z27" i="2" s="1"/>
  <c r="X27" i="2" a="1"/>
  <c r="X27" i="2" s="1"/>
  <c r="AC25" i="2" a="1"/>
  <c r="BE41" i="2" l="1"/>
  <c r="BF41" i="2" s="1"/>
  <c r="BH41" i="2" s="1"/>
  <c r="BG41" i="2" s="1"/>
  <c r="BI41" i="2" s="1"/>
  <c r="BL37" i="2"/>
  <c r="BM36" i="2"/>
  <c r="AG25" i="2"/>
  <c r="AE27" i="2" a="1"/>
  <c r="AE27" i="2" s="1"/>
  <c r="AL47" i="2"/>
  <c r="AN47" i="2" s="1"/>
  <c r="AM47" i="2" s="1"/>
  <c r="AO47" i="2" s="1"/>
  <c r="AP47" i="2" s="1"/>
  <c r="AQ47" i="2" s="1"/>
  <c r="BM26" i="2"/>
  <c r="BO26" i="2" s="1" a="1"/>
  <c r="BO26" i="2" s="1"/>
  <c r="AC25" i="2"/>
  <c r="AF25" i="2" s="1"/>
  <c r="AB26" i="2"/>
  <c r="AA27" i="2" a="1"/>
  <c r="AA27" i="2" s="1"/>
  <c r="AB27" i="2" s="1"/>
  <c r="W29" i="2"/>
  <c r="V28" i="2"/>
  <c r="AA28" i="2" s="1" a="1"/>
  <c r="AA28" i="2" s="1"/>
  <c r="X28" i="2" a="1"/>
  <c r="X28" i="2" s="1"/>
  <c r="AC26" i="2" a="1"/>
  <c r="AC27" i="2" a="1"/>
  <c r="AH25" i="2" l="1"/>
  <c r="AL21" i="2" s="1"/>
  <c r="AN21" i="2" s="1"/>
  <c r="AI25" i="2"/>
  <c r="BL38" i="2"/>
  <c r="BM37" i="2"/>
  <c r="AG26" i="2"/>
  <c r="AG27" i="2"/>
  <c r="AE28" i="2" a="1"/>
  <c r="AE28" i="2" s="1"/>
  <c r="BM27" i="2"/>
  <c r="BN27" i="2" s="1" a="1"/>
  <c r="BN27" i="2" s="1"/>
  <c r="AC26" i="2"/>
  <c r="AF26" i="2" s="1"/>
  <c r="AC27" i="2"/>
  <c r="AF27" i="2" s="1"/>
  <c r="W30" i="2"/>
  <c r="V29" i="2"/>
  <c r="AE29" i="2" s="1" a="1"/>
  <c r="AE29" i="2" s="1"/>
  <c r="X29" i="2" a="1"/>
  <c r="X29" i="2" s="1"/>
  <c r="Z28" i="2" a="1"/>
  <c r="Z28" i="2" s="1"/>
  <c r="AI26" i="2" l="1"/>
  <c r="AH27" i="2"/>
  <c r="AI27" i="2"/>
  <c r="AH26" i="2"/>
  <c r="BN26" i="2"/>
  <c r="BN28" i="2"/>
  <c r="BL39" i="2"/>
  <c r="BM38" i="2"/>
  <c r="BO38" i="2" s="1" a="1"/>
  <c r="BO38" i="2" s="1"/>
  <c r="AB28" i="2"/>
  <c r="BM28" i="2"/>
  <c r="AA29" i="2" a="1"/>
  <c r="AA29" i="2" s="1"/>
  <c r="AM21" i="2"/>
  <c r="AO21" i="2" s="1"/>
  <c r="AP21" i="2" s="1"/>
  <c r="AQ21" i="2" s="1"/>
  <c r="Z29" i="2" a="1"/>
  <c r="Z29" i="2" s="1"/>
  <c r="W31" i="2"/>
  <c r="V30" i="2"/>
  <c r="AA30" i="2" s="1" a="1"/>
  <c r="AA30" i="2" s="1"/>
  <c r="X30" i="2" a="1"/>
  <c r="X30" i="2" s="1"/>
  <c r="AC28" i="2" a="1"/>
  <c r="AL48" i="2" l="1"/>
  <c r="AN48" i="2" s="1"/>
  <c r="AM48" i="2" s="1"/>
  <c r="AO48" i="2" s="1"/>
  <c r="AP48" i="2" s="1"/>
  <c r="AQ48" i="2" s="1"/>
  <c r="BL40" i="2"/>
  <c r="BM39" i="2"/>
  <c r="AG28" i="2"/>
  <c r="AE30" i="2" a="1"/>
  <c r="AE30" i="2" s="1"/>
  <c r="AC28" i="2"/>
  <c r="AF28" i="2" s="1"/>
  <c r="BM29" i="2"/>
  <c r="BO29" i="2" s="1" a="1"/>
  <c r="BO29" i="2" s="1"/>
  <c r="AB29" i="2"/>
  <c r="Z30" i="2" a="1"/>
  <c r="Z30" i="2" s="1"/>
  <c r="W32" i="2"/>
  <c r="V31" i="2"/>
  <c r="Z31" i="2" s="1" a="1"/>
  <c r="Z31" i="2" s="1"/>
  <c r="X31" i="2" a="1"/>
  <c r="X31" i="2" s="1"/>
  <c r="AC29" i="2" a="1"/>
  <c r="BM40" i="2" l="1"/>
  <c r="BL41" i="2"/>
  <c r="AG29" i="2"/>
  <c r="AH29" i="2" s="1"/>
  <c r="AE31" i="2" a="1"/>
  <c r="AE31" i="2" s="1"/>
  <c r="AI28" i="2"/>
  <c r="AH28" i="2"/>
  <c r="AL22" i="2" s="1"/>
  <c r="AN22" i="2" s="1"/>
  <c r="BM30" i="2"/>
  <c r="BN30" i="2" s="1" a="1"/>
  <c r="BN30" i="2" s="1"/>
  <c r="AB30" i="2"/>
  <c r="AC29" i="2"/>
  <c r="AF29" i="2" s="1"/>
  <c r="AA31" i="2" a="1"/>
  <c r="AA31" i="2" s="1"/>
  <c r="AB31" i="2" s="1"/>
  <c r="W33" i="2"/>
  <c r="X32" i="2" a="1"/>
  <c r="X32" i="2" s="1"/>
  <c r="V32" i="2"/>
  <c r="AE32" i="2" s="1" a="1"/>
  <c r="AE32" i="2" s="1"/>
  <c r="AC30" i="2" a="1"/>
  <c r="AC31" i="2" a="1"/>
  <c r="AI29" i="2" l="1"/>
  <c r="BN31" i="2"/>
  <c r="BN29" i="2"/>
  <c r="BN33" i="2" a="1"/>
  <c r="BN33" i="2" s="1"/>
  <c r="BL42" i="2"/>
  <c r="BM41" i="2"/>
  <c r="BO41" i="2" s="1" a="1"/>
  <c r="BO41" i="2" s="1"/>
  <c r="AG30" i="2"/>
  <c r="AM22" i="2"/>
  <c r="AO22" i="2" s="1"/>
  <c r="AP22" i="2" s="1"/>
  <c r="AQ22" i="2" s="1"/>
  <c r="AG31" i="2"/>
  <c r="AC30" i="2"/>
  <c r="AF30" i="2" s="1"/>
  <c r="AI30" i="2" s="1"/>
  <c r="Z32" i="2" a="1"/>
  <c r="Z32" i="2" s="1"/>
  <c r="AC31" i="2"/>
  <c r="AF31" i="2" s="1"/>
  <c r="W34" i="2"/>
  <c r="X33" i="2" a="1"/>
  <c r="X33" i="2" s="1"/>
  <c r="V33" i="2"/>
  <c r="AA33" i="2" s="1" a="1"/>
  <c r="AA33" i="2" s="1"/>
  <c r="AA32" i="2" a="1"/>
  <c r="AA32" i="2" s="1"/>
  <c r="AH30" i="2" l="1"/>
  <c r="BN34" i="2"/>
  <c r="BN32" i="2"/>
  <c r="BN36" i="2" a="1"/>
  <c r="BN36" i="2" s="1"/>
  <c r="BL43" i="2"/>
  <c r="BM42" i="2"/>
  <c r="AE33" i="2" a="1"/>
  <c r="AE33" i="2" s="1"/>
  <c r="AI31" i="2"/>
  <c r="AH31" i="2"/>
  <c r="AL23" i="2" s="1"/>
  <c r="AN23" i="2" s="1"/>
  <c r="AL49" i="2"/>
  <c r="AN49" i="2" s="1"/>
  <c r="AM49" i="2" s="1"/>
  <c r="AO49" i="2" s="1"/>
  <c r="AP49" i="2" s="1"/>
  <c r="AQ49" i="2" s="1"/>
  <c r="AB32" i="2"/>
  <c r="Z33" i="2" a="1"/>
  <c r="Z33" i="2" s="1"/>
  <c r="W35" i="2"/>
  <c r="V34" i="2"/>
  <c r="AA34" i="2" s="1" a="1"/>
  <c r="AA34" i="2" s="1"/>
  <c r="X34" i="2" a="1"/>
  <c r="X34" i="2" s="1"/>
  <c r="AC32" i="2" a="1"/>
  <c r="BN35" i="2" l="1"/>
  <c r="BN37" i="2"/>
  <c r="BN39" i="2" a="1"/>
  <c r="BN39" i="2" s="1"/>
  <c r="BN42" i="2" s="1" a="1"/>
  <c r="BN42" i="2" s="1"/>
  <c r="BL44" i="2"/>
  <c r="BM43" i="2"/>
  <c r="AE34" i="2" a="1"/>
  <c r="AE34" i="2" s="1"/>
  <c r="AG32" i="2"/>
  <c r="AH32" i="2" s="1"/>
  <c r="AB33" i="2"/>
  <c r="AC32" i="2"/>
  <c r="AF32" i="2" s="1"/>
  <c r="AI32" i="2" s="1"/>
  <c r="AM23" i="2"/>
  <c r="AO23" i="2" s="1"/>
  <c r="AP23" i="2" s="1"/>
  <c r="AQ23" i="2" s="1"/>
  <c r="Z34" i="2" a="1"/>
  <c r="Z34" i="2" s="1"/>
  <c r="W36" i="2"/>
  <c r="X35" i="2" a="1"/>
  <c r="X35" i="2" s="1"/>
  <c r="V35" i="2"/>
  <c r="AE35" i="2" s="1" a="1"/>
  <c r="AE35" i="2" s="1"/>
  <c r="AC33" i="2" a="1"/>
  <c r="BN43" i="2" l="1"/>
  <c r="BN38" i="2"/>
  <c r="BN40" i="2"/>
  <c r="BN41" i="2" s="1"/>
  <c r="BL45" i="2"/>
  <c r="BM44" i="2"/>
  <c r="BO44" i="2" s="1" a="1"/>
  <c r="BO44" i="2" s="1"/>
  <c r="AG33" i="2"/>
  <c r="AH33" i="2" s="1"/>
  <c r="AC33" i="2"/>
  <c r="AF33" i="2" s="1"/>
  <c r="AI33" i="2" s="1"/>
  <c r="AB34" i="2"/>
  <c r="AA35" i="2" a="1"/>
  <c r="AA35" i="2" s="1"/>
  <c r="Z35" i="2" a="1"/>
  <c r="Z35" i="2" s="1"/>
  <c r="W37" i="2"/>
  <c r="V36" i="2"/>
  <c r="AA36" i="2" s="1" a="1"/>
  <c r="AA36" i="2" s="1"/>
  <c r="X36" i="2" a="1"/>
  <c r="X36" i="2" s="1"/>
  <c r="AC34" i="2" a="1"/>
  <c r="BL46" i="2" l="1"/>
  <c r="BM45" i="2"/>
  <c r="BN45" i="2" s="1" a="1"/>
  <c r="BN45" i="2" s="1"/>
  <c r="AG34" i="2"/>
  <c r="AE36" i="2" a="1"/>
  <c r="AE36" i="2" s="1"/>
  <c r="AC34" i="2"/>
  <c r="AF34" i="2" s="1"/>
  <c r="AL50" i="2"/>
  <c r="AN50" i="2" s="1"/>
  <c r="AM50" i="2" s="1"/>
  <c r="AO50" i="2" s="1"/>
  <c r="AP50" i="2" s="1"/>
  <c r="AQ50" i="2" s="1"/>
  <c r="AB35" i="2"/>
  <c r="Z36" i="2" a="1"/>
  <c r="Z36" i="2" s="1"/>
  <c r="W38" i="2"/>
  <c r="V37" i="2"/>
  <c r="Z37" i="2" s="1" a="1"/>
  <c r="Z37" i="2" s="1"/>
  <c r="X37" i="2" a="1"/>
  <c r="X37" i="2" s="1"/>
  <c r="AC35" i="2" a="1"/>
  <c r="BN46" i="2" l="1"/>
  <c r="BN44" i="2"/>
  <c r="BL47" i="2"/>
  <c r="BM46" i="2"/>
  <c r="AG35" i="2"/>
  <c r="AH35" i="2" s="1"/>
  <c r="AI34" i="2"/>
  <c r="AH34" i="2"/>
  <c r="AL24" i="2" s="1"/>
  <c r="AN24" i="2" s="1"/>
  <c r="AE37" i="2" a="1"/>
  <c r="AE37" i="2" s="1"/>
  <c r="AC35" i="2"/>
  <c r="AF35" i="2" s="1"/>
  <c r="AI35" i="2" s="1"/>
  <c r="AB36" i="2"/>
  <c r="AA37" i="2" a="1"/>
  <c r="AA37" i="2" s="1"/>
  <c r="AB37" i="2" s="1"/>
  <c r="W39" i="2"/>
  <c r="X38" i="2" a="1"/>
  <c r="X38" i="2" s="1"/>
  <c r="V38" i="2"/>
  <c r="AE38" i="2" s="1" a="1"/>
  <c r="AE38" i="2" s="1"/>
  <c r="AC37" i="2" a="1"/>
  <c r="AC36" i="2" a="1"/>
  <c r="BL48" i="2" l="1"/>
  <c r="BM47" i="2"/>
  <c r="BO47" i="2" s="1" a="1"/>
  <c r="BO47" i="2" s="1"/>
  <c r="AG36" i="2"/>
  <c r="AH36" i="2" s="1"/>
  <c r="AM24" i="2"/>
  <c r="AO24" i="2" s="1"/>
  <c r="AP24" i="2" s="1"/>
  <c r="AQ24" i="2" s="1"/>
  <c r="AG37" i="2"/>
  <c r="AC36" i="2"/>
  <c r="AF36" i="2" s="1"/>
  <c r="AI36" i="2" s="1"/>
  <c r="AA38" i="2" a="1"/>
  <c r="AA38" i="2" s="1"/>
  <c r="AC37" i="2"/>
  <c r="AF37" i="2" s="1"/>
  <c r="Z38" i="2" a="1"/>
  <c r="Z38" i="2" s="1"/>
  <c r="W40" i="2"/>
  <c r="V39" i="2"/>
  <c r="Z39" i="2" s="1" a="1"/>
  <c r="Z39" i="2" s="1"/>
  <c r="X39" i="2" a="1"/>
  <c r="X39" i="2" s="1"/>
  <c r="AI37" i="2" l="1"/>
  <c r="BL49" i="2"/>
  <c r="BM48" i="2"/>
  <c r="BN48" i="2" s="1" a="1"/>
  <c r="BN48" i="2" s="1"/>
  <c r="AH37" i="2"/>
  <c r="AL25" i="2" s="1"/>
  <c r="AN25" i="2" s="1"/>
  <c r="AE39" i="2" a="1"/>
  <c r="AE39" i="2" s="1"/>
  <c r="AL51" i="2"/>
  <c r="AN51" i="2" s="1"/>
  <c r="AM51" i="2" s="1"/>
  <c r="AO51" i="2" s="1"/>
  <c r="AP51" i="2" s="1"/>
  <c r="AQ51" i="2" s="1"/>
  <c r="AB38" i="2"/>
  <c r="AA39" i="2" a="1"/>
  <c r="AA39" i="2" s="1"/>
  <c r="AB39" i="2" s="1"/>
  <c r="W41" i="2"/>
  <c r="X40" i="2" a="1"/>
  <c r="X40" i="2" s="1"/>
  <c r="V40" i="2"/>
  <c r="AA40" i="2" s="1" a="1"/>
  <c r="AA40" i="2" s="1"/>
  <c r="AC38" i="2" a="1"/>
  <c r="AC39" i="2" a="1"/>
  <c r="BN49" i="2" l="1"/>
  <c r="BN47" i="2"/>
  <c r="BL50" i="2"/>
  <c r="BM49" i="2"/>
  <c r="AG38" i="2"/>
  <c r="AE40" i="2" a="1"/>
  <c r="AE40" i="2" s="1"/>
  <c r="AG39" i="2"/>
  <c r="AC38" i="2"/>
  <c r="AF38" i="2" s="1"/>
  <c r="AM25" i="2"/>
  <c r="AO25" i="2" s="1"/>
  <c r="AP25" i="2" s="1"/>
  <c r="AQ25" i="2" s="1"/>
  <c r="AC39" i="2"/>
  <c r="AF39" i="2" s="1"/>
  <c r="Z40" i="2" a="1"/>
  <c r="Z40" i="2" s="1"/>
  <c r="W42" i="2"/>
  <c r="X41" i="2" a="1"/>
  <c r="X41" i="2" s="1"/>
  <c r="V41" i="2"/>
  <c r="AE41" i="2" s="1" a="1"/>
  <c r="AE41" i="2" s="1"/>
  <c r="AI39" i="2" l="1"/>
  <c r="AL52" i="2" s="1"/>
  <c r="AN52" i="2" s="1"/>
  <c r="AM52" i="2" s="1"/>
  <c r="AO52" i="2" s="1"/>
  <c r="AP52" i="2" s="1"/>
  <c r="AQ52" i="2" s="1"/>
  <c r="AI38" i="2"/>
  <c r="AH39" i="2"/>
  <c r="AH38" i="2"/>
  <c r="BL51" i="2"/>
  <c r="BM50" i="2"/>
  <c r="BO50" i="2" s="1" a="1"/>
  <c r="BO50" i="2" s="1"/>
  <c r="AB40" i="2"/>
  <c r="AA41" i="2" a="1"/>
  <c r="AA41" i="2" s="1"/>
  <c r="Z41" i="2" a="1"/>
  <c r="Z41" i="2" s="1"/>
  <c r="W43" i="2"/>
  <c r="V42" i="2"/>
  <c r="AA42" i="2" s="1" a="1"/>
  <c r="AA42" i="2" s="1"/>
  <c r="X42" i="2" a="1"/>
  <c r="X42" i="2" s="1"/>
  <c r="AC40" i="2" a="1"/>
  <c r="BL52" i="2" l="1"/>
  <c r="BM51" i="2"/>
  <c r="BN51" i="2" s="1" a="1"/>
  <c r="BN51" i="2" s="1"/>
  <c r="AG40" i="2"/>
  <c r="AE42" i="2" a="1"/>
  <c r="AE42" i="2" s="1"/>
  <c r="AC40" i="2"/>
  <c r="AF40" i="2" s="1"/>
  <c r="AB41" i="2"/>
  <c r="Z42" i="2" a="1"/>
  <c r="Z42" i="2" s="1"/>
  <c r="W44" i="2"/>
  <c r="X43" i="2" a="1"/>
  <c r="X43" i="2" s="1"/>
  <c r="V43" i="2"/>
  <c r="AA43" i="2" s="1" a="1"/>
  <c r="AA43" i="2" s="1"/>
  <c r="AC41" i="2" a="1"/>
  <c r="BN50" i="2" l="1"/>
  <c r="BN52" i="2"/>
  <c r="BL53" i="2"/>
  <c r="BM52" i="2"/>
  <c r="AG41" i="2"/>
  <c r="AH41" i="2" s="1"/>
  <c r="AI40" i="2"/>
  <c r="AH40" i="2"/>
  <c r="AL26" i="2" s="1"/>
  <c r="AN26" i="2" s="1"/>
  <c r="AE43" i="2" a="1"/>
  <c r="AE43" i="2" s="1"/>
  <c r="AC41" i="2"/>
  <c r="AF41" i="2" s="1"/>
  <c r="AI41" i="2" s="1"/>
  <c r="AB42" i="2"/>
  <c r="Z43" i="2" a="1"/>
  <c r="Z43" i="2" s="1"/>
  <c r="W45" i="2"/>
  <c r="V44" i="2"/>
  <c r="AE44" i="2" s="1" a="1"/>
  <c r="AE44" i="2" s="1"/>
  <c r="X44" i="2" a="1"/>
  <c r="X44" i="2" s="1"/>
  <c r="AC42" i="2" a="1"/>
  <c r="BL54" i="2" l="1"/>
  <c r="BM53" i="2"/>
  <c r="BO53" i="2" s="1" a="1"/>
  <c r="BO53" i="2" s="1"/>
  <c r="AG42" i="2"/>
  <c r="AH42" i="2" s="1"/>
  <c r="AM26" i="2"/>
  <c r="AO26" i="2" s="1"/>
  <c r="AP26" i="2" s="1"/>
  <c r="AQ26" i="2" s="1"/>
  <c r="AC42" i="2"/>
  <c r="AF42" i="2" s="1"/>
  <c r="AI42" i="2" s="1"/>
  <c r="AB43" i="2"/>
  <c r="Z44" i="2" a="1"/>
  <c r="Z44" i="2" s="1"/>
  <c r="AA44" i="2" a="1"/>
  <c r="AA44" i="2" s="1"/>
  <c r="W46" i="2"/>
  <c r="V45" i="2"/>
  <c r="Z45" i="2" s="1" a="1"/>
  <c r="Z45" i="2" s="1"/>
  <c r="X45" i="2" a="1"/>
  <c r="X45" i="2" s="1"/>
  <c r="AC43" i="2" a="1"/>
  <c r="BL55" i="2" l="1"/>
  <c r="BM54" i="2"/>
  <c r="BN54" i="2" s="1" a="1"/>
  <c r="BN54" i="2" s="1"/>
  <c r="AG43" i="2"/>
  <c r="AE45" i="2" a="1"/>
  <c r="AE45" i="2" s="1"/>
  <c r="AC43" i="2"/>
  <c r="AF43" i="2" s="1"/>
  <c r="AL53" i="2"/>
  <c r="AB44" i="2"/>
  <c r="W47" i="2"/>
  <c r="V46" i="2"/>
  <c r="Z46" i="2" s="1" a="1"/>
  <c r="Z46" i="2" s="1"/>
  <c r="X46" i="2" a="1"/>
  <c r="X46" i="2" s="1"/>
  <c r="AA45" i="2" a="1"/>
  <c r="AA45" i="2" s="1"/>
  <c r="AB45" i="2" s="1"/>
  <c r="AC45" i="2" a="1"/>
  <c r="AC44" i="2" a="1"/>
  <c r="BN53" i="2" l="1"/>
  <c r="BN55" i="2"/>
  <c r="BL56" i="2"/>
  <c r="BM55" i="2"/>
  <c r="AG44" i="2"/>
  <c r="AH44" i="2" s="1"/>
  <c r="AN53" i="2"/>
  <c r="AM53" i="2" s="1"/>
  <c r="AO53" i="2" s="1"/>
  <c r="AP53" i="2" s="1"/>
  <c r="AQ53" i="2" s="1"/>
  <c r="AI43" i="2"/>
  <c r="AH43" i="2"/>
  <c r="AL27" i="2" s="1"/>
  <c r="AN27" i="2" s="1"/>
  <c r="AE46" i="2" a="1"/>
  <c r="AE46" i="2" s="1"/>
  <c r="AG45" i="2"/>
  <c r="AH45" i="2" s="1"/>
  <c r="AC44" i="2"/>
  <c r="AF44" i="2" s="1"/>
  <c r="AI44" i="2" s="1"/>
  <c r="AC45" i="2"/>
  <c r="AF45" i="2" s="1"/>
  <c r="AI45" i="2" s="1"/>
  <c r="AA46" i="2" a="1"/>
  <c r="AA46" i="2" s="1"/>
  <c r="AB46" i="2" s="1"/>
  <c r="W48" i="2"/>
  <c r="V47" i="2"/>
  <c r="AE47" i="2" s="1" a="1"/>
  <c r="AE47" i="2" s="1"/>
  <c r="X47" i="2" a="1"/>
  <c r="X47" i="2" s="1"/>
  <c r="AC46" i="2" a="1"/>
  <c r="BL57" i="2" l="1"/>
  <c r="BM56" i="2"/>
  <c r="BO56" i="2" s="1" a="1"/>
  <c r="BO56" i="2" s="1"/>
  <c r="AM27" i="2"/>
  <c r="AO27" i="2" s="1"/>
  <c r="AP27" i="2" s="1"/>
  <c r="AQ27" i="2" s="1"/>
  <c r="AG46" i="2"/>
  <c r="AL54" i="2"/>
  <c r="AN54" i="2" s="1"/>
  <c r="AM54" i="2" s="1"/>
  <c r="AO54" i="2" s="1"/>
  <c r="AP54" i="2" s="1"/>
  <c r="AQ54" i="2" s="1"/>
  <c r="Z47" i="2" a="1"/>
  <c r="Z47" i="2" s="1"/>
  <c r="AC46" i="2"/>
  <c r="AF46" i="2" s="1"/>
  <c r="AI46" i="2" s="1"/>
  <c r="AA47" i="2" a="1"/>
  <c r="AA47" i="2" s="1"/>
  <c r="W49" i="2"/>
  <c r="V48" i="2"/>
  <c r="AA48" i="2" s="1" a="1"/>
  <c r="AA48" i="2" s="1"/>
  <c r="X48" i="2" a="1"/>
  <c r="X48" i="2" s="1"/>
  <c r="BL58" i="2" l="1"/>
  <c r="BM57" i="2"/>
  <c r="BN57" i="2" s="1" a="1"/>
  <c r="BN57" i="2" s="1"/>
  <c r="AH46" i="2"/>
  <c r="AE48" i="2" a="1"/>
  <c r="AE48" i="2" s="1"/>
  <c r="AB47" i="2"/>
  <c r="AL28" i="2"/>
  <c r="AN28" i="2" s="1"/>
  <c r="Z48" i="2" a="1"/>
  <c r="Z48" i="2" s="1"/>
  <c r="W50" i="2"/>
  <c r="V49" i="2"/>
  <c r="AA49" i="2" s="1" a="1"/>
  <c r="AA49" i="2" s="1"/>
  <c r="X49" i="2" a="1"/>
  <c r="X49" i="2" s="1"/>
  <c r="AC47" i="2" a="1"/>
  <c r="BN58" i="2" l="1"/>
  <c r="BN56" i="2"/>
  <c r="BL59" i="2"/>
  <c r="BM58" i="2"/>
  <c r="AG47" i="2"/>
  <c r="AE49" i="2" a="1"/>
  <c r="AE49" i="2" s="1"/>
  <c r="AB48" i="2"/>
  <c r="AC47" i="2"/>
  <c r="AF47" i="2" s="1"/>
  <c r="AI47" i="2" s="1"/>
  <c r="AM28" i="2"/>
  <c r="AO28" i="2" s="1"/>
  <c r="AP28" i="2" s="1"/>
  <c r="AQ28" i="2" s="1"/>
  <c r="Z49" i="2" a="1"/>
  <c r="Z49" i="2" s="1"/>
  <c r="W51" i="2"/>
  <c r="W52" i="2" s="1"/>
  <c r="V50" i="2"/>
  <c r="AE50" i="2" s="1" a="1"/>
  <c r="AE50" i="2" s="1"/>
  <c r="X50" i="2" a="1"/>
  <c r="X50" i="2" s="1"/>
  <c r="AC48" i="2" a="1"/>
  <c r="AH47" i="2" l="1"/>
  <c r="BL60" i="2"/>
  <c r="BM59" i="2"/>
  <c r="BO59" i="2" s="1" a="1"/>
  <c r="BO59" i="2" s="1"/>
  <c r="AG48" i="2"/>
  <c r="V52" i="2"/>
  <c r="AA52" i="2" s="1" a="1"/>
  <c r="AA52" i="2" s="1"/>
  <c r="W53" i="2"/>
  <c r="X52" i="2" a="1"/>
  <c r="X52" i="2" s="1"/>
  <c r="AC48" i="2"/>
  <c r="AF48" i="2" s="1"/>
  <c r="AB49" i="2"/>
  <c r="Z50" i="2" a="1"/>
  <c r="Z50" i="2" s="1"/>
  <c r="AA50" i="2" a="1"/>
  <c r="AA50" i="2" s="1"/>
  <c r="V51" i="2"/>
  <c r="AE51" i="2" s="1" a="1"/>
  <c r="AE51" i="2" s="1"/>
  <c r="X51" i="2" a="1"/>
  <c r="X51" i="2" s="1"/>
  <c r="AC49" i="2" a="1"/>
  <c r="AI48" i="2" l="1"/>
  <c r="AE52" i="2" a="1"/>
  <c r="AE52" i="2" s="1"/>
  <c r="AH48" i="2"/>
  <c r="Z52" i="2" a="1"/>
  <c r="Z52" i="2" s="1"/>
  <c r="AB52" i="2" s="1"/>
  <c r="BL61" i="2"/>
  <c r="BM60" i="2"/>
  <c r="BN60" i="2" s="1" a="1"/>
  <c r="BN60" i="2" s="1"/>
  <c r="AG49" i="2"/>
  <c r="W54" i="2"/>
  <c r="X53" i="2" a="1"/>
  <c r="X53" i="2" s="1"/>
  <c r="V53" i="2"/>
  <c r="Z53" i="2" s="1" a="1"/>
  <c r="Z53" i="2" s="1"/>
  <c r="Z51" i="2" a="1"/>
  <c r="Z51" i="2" s="1"/>
  <c r="AA51" i="2" a="1"/>
  <c r="AA51" i="2" s="1"/>
  <c r="AC49" i="2"/>
  <c r="AF49" i="2" s="1"/>
  <c r="AL55" i="2"/>
  <c r="AN55" i="2" s="1"/>
  <c r="AM55" i="2" s="1"/>
  <c r="AO55" i="2" s="1"/>
  <c r="AP55" i="2" s="1"/>
  <c r="AQ55" i="2" s="1"/>
  <c r="AB50" i="2"/>
  <c r="AC52" i="2" a="1"/>
  <c r="AC50" i="2" a="1"/>
  <c r="BN61" i="2" l="1"/>
  <c r="BN59" i="2"/>
  <c r="AC52" i="2"/>
  <c r="AF52" i="2" s="1"/>
  <c r="AI52" i="2" s="1"/>
  <c r="AG52" i="2"/>
  <c r="AH52" i="2" s="1"/>
  <c r="AL30" i="2" s="1"/>
  <c r="BL62" i="2"/>
  <c r="BM61" i="2"/>
  <c r="AE53" i="2" a="1"/>
  <c r="AE53" i="2" s="1"/>
  <c r="AB51" i="2"/>
  <c r="AG50" i="2"/>
  <c r="AH50" i="2" s="1"/>
  <c r="W55" i="2"/>
  <c r="V54" i="2"/>
  <c r="AE54" i="2" s="1" a="1"/>
  <c r="AE54" i="2" s="1"/>
  <c r="X54" i="2" a="1"/>
  <c r="X54" i="2" s="1"/>
  <c r="Z54" i="2" a="1"/>
  <c r="Z54" i="2" s="1"/>
  <c r="AA53" i="2" a="1"/>
  <c r="AA53" i="2" s="1"/>
  <c r="AI49" i="2"/>
  <c r="AH49" i="2"/>
  <c r="AL29" i="2" s="1"/>
  <c r="AN29" i="2" s="1"/>
  <c r="AM29" i="2" s="1"/>
  <c r="AO29" i="2" s="1"/>
  <c r="AP29" i="2" s="1"/>
  <c r="AQ29" i="2" s="1"/>
  <c r="AC50" i="2"/>
  <c r="AF50" i="2" s="1"/>
  <c r="AI50" i="2" s="1"/>
  <c r="AC51" i="2" a="1"/>
  <c r="AC51" i="2" l="1"/>
  <c r="AF51" i="2" s="1"/>
  <c r="AI51" i="2" s="1"/>
  <c r="AL56" i="2" s="1"/>
  <c r="AN56" i="2" s="1"/>
  <c r="AM56" i="2" s="1"/>
  <c r="AO56" i="2" s="1"/>
  <c r="AP56" i="2" s="1"/>
  <c r="AQ56" i="2" s="1"/>
  <c r="AG51" i="2"/>
  <c r="AH51" i="2" s="1"/>
  <c r="AA54" i="2" a="1"/>
  <c r="AA54" i="2" s="1"/>
  <c r="AB54" i="2" s="1"/>
  <c r="BL63" i="2"/>
  <c r="BM62" i="2"/>
  <c r="BO62" i="2" s="1" a="1"/>
  <c r="BO62" i="2" s="1"/>
  <c r="AN30" i="2"/>
  <c r="AM30" i="2" s="1"/>
  <c r="AO30" i="2" s="1"/>
  <c r="AP30" i="2" s="1"/>
  <c r="AQ30" i="2" s="1"/>
  <c r="AB53" i="2"/>
  <c r="W56" i="2"/>
  <c r="V55" i="2"/>
  <c r="AA55" i="2" s="1" a="1"/>
  <c r="AA55" i="2" s="1"/>
  <c r="X55" i="2" a="1"/>
  <c r="X55" i="2" s="1"/>
  <c r="AC54" i="2" a="1"/>
  <c r="AC53" i="2" a="1"/>
  <c r="AC54" i="2" l="1"/>
  <c r="AF54" i="2" s="1"/>
  <c r="AI54" i="2" s="1"/>
  <c r="AG54" i="2"/>
  <c r="AH54" i="2" s="1"/>
  <c r="BL64" i="2"/>
  <c r="BM64" i="2" s="1"/>
  <c r="BM63" i="2"/>
  <c r="BN63" i="2" s="1" a="1"/>
  <c r="BN63" i="2" s="1"/>
  <c r="Z55" i="2" a="1"/>
  <c r="Z55" i="2" s="1"/>
  <c r="AB55" i="2" s="1"/>
  <c r="AE55" i="2" a="1"/>
  <c r="AE55" i="2" s="1"/>
  <c r="AC53" i="2"/>
  <c r="AF53" i="2" s="1"/>
  <c r="AG53" i="2"/>
  <c r="AH53" i="2" s="1"/>
  <c r="W57" i="2"/>
  <c r="V56" i="2"/>
  <c r="Z56" i="2" s="1" a="1"/>
  <c r="Z56" i="2" s="1"/>
  <c r="X56" i="2" a="1"/>
  <c r="X56" i="2" s="1"/>
  <c r="AC55" i="2" a="1"/>
  <c r="BN62" i="2" l="1"/>
  <c r="BN64" i="2"/>
  <c r="AI53" i="2"/>
  <c r="AL57" i="2" s="1"/>
  <c r="AN57" i="2" s="1"/>
  <c r="AM57" i="2" s="1"/>
  <c r="AO57" i="2" s="1"/>
  <c r="AP57" i="2" s="1"/>
  <c r="AQ57" i="2" s="1"/>
  <c r="BL65" i="2"/>
  <c r="AE56" i="2" a="1"/>
  <c r="AE56" i="2" s="1"/>
  <c r="AG55" i="2"/>
  <c r="AC55" i="2"/>
  <c r="AF55" i="2" s="1"/>
  <c r="AI55" i="2" s="1"/>
  <c r="W58" i="2"/>
  <c r="V57" i="2"/>
  <c r="AE57" i="2" s="1" a="1"/>
  <c r="AE57" i="2" s="1"/>
  <c r="X57" i="2" a="1"/>
  <c r="X57" i="2" s="1"/>
  <c r="AA56" i="2" a="1"/>
  <c r="AA56" i="2" s="1"/>
  <c r="AB56" i="2" s="1"/>
  <c r="AC56" i="2" a="1"/>
  <c r="AA57" i="2" l="1" a="1"/>
  <c r="AA57" i="2" s="1"/>
  <c r="Z57" i="2" a="1"/>
  <c r="Z57" i="2" s="1"/>
  <c r="AB57" i="2" s="1"/>
  <c r="BL66" i="2"/>
  <c r="BM66" i="2" s="1"/>
  <c r="BM65" i="2"/>
  <c r="BO65" i="2" s="1" a="1"/>
  <c r="BO65" i="2" s="1"/>
  <c r="AG56" i="2"/>
  <c r="AH56" i="2" s="1"/>
  <c r="AC56" i="2"/>
  <c r="AF56" i="2" s="1"/>
  <c r="AI56" i="2" s="1"/>
  <c r="W59" i="2"/>
  <c r="X58" i="2" a="1"/>
  <c r="X58" i="2" s="1"/>
  <c r="V58" i="2"/>
  <c r="AA58" i="2" s="1" a="1"/>
  <c r="AA58" i="2" s="1"/>
  <c r="AH55" i="2"/>
  <c r="AL31" i="2" s="1"/>
  <c r="AN31" i="2" s="1"/>
  <c r="AM31" i="2" s="1"/>
  <c r="AO31" i="2" s="1"/>
  <c r="AP31" i="2" s="1"/>
  <c r="AQ31" i="2" s="1"/>
  <c r="AC57" i="2" a="1"/>
  <c r="AC57" i="2" l="1"/>
  <c r="AF57" i="2" s="1"/>
  <c r="AI57" i="2" s="1"/>
  <c r="AL58" i="2" s="1"/>
  <c r="AN58" i="2" s="1"/>
  <c r="AM58" i="2" s="1"/>
  <c r="AO58" i="2" s="1"/>
  <c r="AP58" i="2" s="1"/>
  <c r="AQ58" i="2" s="1"/>
  <c r="AG57" i="2"/>
  <c r="AH57" i="2" s="1"/>
  <c r="W60" i="2"/>
  <c r="V59" i="2"/>
  <c r="Z59" i="2" s="1" a="1"/>
  <c r="Z59" i="2" s="1"/>
  <c r="X59" i="2" a="1"/>
  <c r="X59" i="2" s="1"/>
  <c r="AE58" i="2" a="1"/>
  <c r="AE58" i="2" s="1"/>
  <c r="Z58" i="2" a="1"/>
  <c r="Z58" i="2" s="1"/>
  <c r="AB58" i="2" s="1"/>
  <c r="AC58" i="2" a="1"/>
  <c r="AE59" i="2" l="1" a="1"/>
  <c r="AE59" i="2" s="1"/>
  <c r="AA59" i="2" a="1"/>
  <c r="AA59" i="2" s="1"/>
  <c r="AB59" i="2" s="1"/>
  <c r="AG58" i="2"/>
  <c r="AC58" i="2"/>
  <c r="AF58" i="2" s="1"/>
  <c r="AI58" i="2" s="1"/>
  <c r="W61" i="2"/>
  <c r="V60" i="2"/>
  <c r="AE60" i="2" s="1" a="1"/>
  <c r="AE60" i="2" s="1"/>
  <c r="X60" i="2" a="1"/>
  <c r="X60" i="2" s="1"/>
  <c r="AC59" i="2" a="1"/>
  <c r="Z60" i="2" l="1" a="1"/>
  <c r="Z60" i="2" s="1"/>
  <c r="AC59" i="2"/>
  <c r="AF59" i="2" s="1"/>
  <c r="AI59" i="2" s="1"/>
  <c r="AG59" i="2"/>
  <c r="AH59" i="2" s="1"/>
  <c r="AA60" i="2" a="1"/>
  <c r="AA60" i="2" s="1"/>
  <c r="W62" i="2"/>
  <c r="V61" i="2"/>
  <c r="AE61" i="2" s="1" a="1"/>
  <c r="AE61" i="2" s="1"/>
  <c r="X61" i="2" a="1"/>
  <c r="X61" i="2" s="1"/>
  <c r="AH58" i="2"/>
  <c r="AL32" i="2" s="1"/>
  <c r="AN32" i="2" s="1"/>
  <c r="AM32" i="2" s="1"/>
  <c r="AO32" i="2" s="1"/>
  <c r="AP32" i="2" s="1"/>
  <c r="AQ32" i="2" s="1"/>
  <c r="AB60" i="2" l="1"/>
  <c r="Z61" i="2" a="1"/>
  <c r="Z61" i="2" s="1"/>
  <c r="AG60" i="2"/>
  <c r="AH60" i="2" s="1"/>
  <c r="AA61" i="2" a="1"/>
  <c r="AA61" i="2" s="1"/>
  <c r="W63" i="2"/>
  <c r="X62" i="2" a="1"/>
  <c r="X62" i="2" s="1"/>
  <c r="V62" i="2"/>
  <c r="Z62" i="2" s="1" a="1"/>
  <c r="Z62" i="2" s="1"/>
  <c r="AC60" i="2" a="1"/>
  <c r="AC60" i="2" l="1"/>
  <c r="AF60" i="2" s="1"/>
  <c r="AI60" i="2" s="1"/>
  <c r="AL59" i="2" s="1"/>
  <c r="AN59" i="2" s="1"/>
  <c r="AM59" i="2" s="1"/>
  <c r="AO59" i="2" s="1"/>
  <c r="AP59" i="2" s="1"/>
  <c r="AQ59" i="2" s="1"/>
  <c r="AB61" i="2"/>
  <c r="AE62" i="2" a="1"/>
  <c r="AE62" i="2" s="1"/>
  <c r="AA62" i="2" a="1"/>
  <c r="AA62" i="2" s="1"/>
  <c r="AB62" i="2" s="1"/>
  <c r="W64" i="2"/>
  <c r="V63" i="2"/>
  <c r="AA63" i="2" s="1" a="1"/>
  <c r="AA63" i="2" s="1"/>
  <c r="X63" i="2" a="1"/>
  <c r="X63" i="2" s="1"/>
  <c r="Z63" i="2" a="1"/>
  <c r="Z63" i="2" s="1"/>
  <c r="AE63" i="2" a="1"/>
  <c r="AE63" i="2" s="1"/>
  <c r="AC61" i="2" a="1"/>
  <c r="AC62" i="2" a="1"/>
  <c r="AC61" i="2" l="1"/>
  <c r="AF61" i="2" s="1"/>
  <c r="AI61" i="2" s="1"/>
  <c r="AG61" i="2"/>
  <c r="AG62" i="2"/>
  <c r="AH62" i="2" s="1"/>
  <c r="AC62" i="2"/>
  <c r="AF62" i="2" s="1"/>
  <c r="AI62" i="2" s="1"/>
  <c r="AB63" i="2"/>
  <c r="W65" i="2"/>
  <c r="X64" i="2" a="1"/>
  <c r="X64" i="2" s="1"/>
  <c r="V64" i="2"/>
  <c r="AA64" i="2" s="1" a="1"/>
  <c r="AA64" i="2" s="1"/>
  <c r="AC63" i="2" a="1"/>
  <c r="AH61" i="2" l="1"/>
  <c r="AL33" i="2" s="1"/>
  <c r="AN33" i="2" s="1"/>
  <c r="AM33" i="2" s="1"/>
  <c r="AO33" i="2" s="1"/>
  <c r="AP33" i="2" s="1"/>
  <c r="AQ33" i="2" s="1"/>
  <c r="AC63" i="2"/>
  <c r="AF63" i="2" s="1"/>
  <c r="AI63" i="2" s="1"/>
  <c r="AL60" i="2" s="1"/>
  <c r="AN60" i="2" s="1"/>
  <c r="AM60" i="2" s="1"/>
  <c r="AO60" i="2" s="1"/>
  <c r="AP60" i="2" s="1"/>
  <c r="AQ60" i="2" s="1"/>
  <c r="AG63" i="2"/>
  <c r="AH63" i="2" s="1"/>
  <c r="Z64" i="2" a="1"/>
  <c r="Z64" i="2" s="1"/>
  <c r="AB64" i="2" s="1"/>
  <c r="AE64" i="2" a="1"/>
  <c r="AE64" i="2" s="1"/>
  <c r="W66" i="2"/>
  <c r="V65" i="2"/>
  <c r="Z65" i="2" s="1" a="1"/>
  <c r="Z65" i="2" s="1"/>
  <c r="X65" i="2" a="1"/>
  <c r="X65" i="2" s="1"/>
  <c r="AE65" i="2" a="1"/>
  <c r="AE65" i="2" s="1"/>
  <c r="AC64" i="2" a="1"/>
  <c r="AA65" i="2" l="1" a="1"/>
  <c r="AA65" i="2" s="1"/>
  <c r="AB65" i="2" s="1"/>
  <c r="AG64" i="2"/>
  <c r="AC64" i="2"/>
  <c r="AF64" i="2" s="1"/>
  <c r="AI64" i="2" s="1"/>
  <c r="V66" i="2"/>
  <c r="Z66" i="2" a="1"/>
  <c r="Z66" i="2" s="1"/>
  <c r="AA66" i="2" a="1"/>
  <c r="AA66" i="2" s="1"/>
  <c r="X66" i="2" a="1"/>
  <c r="X66" i="2" s="1"/>
  <c r="AE66" i="2" a="1"/>
  <c r="AE66" i="2" s="1"/>
  <c r="AC65" i="2" a="1"/>
  <c r="AB66" i="2" l="1"/>
  <c r="AC65" i="2"/>
  <c r="AF65" i="2" s="1"/>
  <c r="AI65" i="2" s="1"/>
  <c r="AG65" i="2"/>
  <c r="AH65" i="2" s="1"/>
  <c r="AH64" i="2"/>
  <c r="AC66" i="2" a="1"/>
  <c r="AC66" i="2" l="1"/>
  <c r="AF66" i="2" s="1"/>
  <c r="AI66" i="2" s="1"/>
  <c r="AL61" i="2" s="1"/>
  <c r="AN61" i="2" s="1"/>
  <c r="AM61" i="2" s="1"/>
  <c r="AG66" i="2"/>
  <c r="AH66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<sst xmlns="http://schemas.openxmlformats.org/spreadsheetml/2006/main" count="1101" uniqueCount="449">
  <si>
    <t>depth</t>
  </si>
  <si>
    <t>E</t>
  </si>
  <si>
    <t>As main</t>
  </si>
  <si>
    <t>MU</t>
  </si>
  <si>
    <t>b</t>
  </si>
  <si>
    <t>d</t>
  </si>
  <si>
    <t>ts1</t>
  </si>
  <si>
    <t>s1</t>
  </si>
  <si>
    <t>s2</t>
  </si>
  <si>
    <t>B</t>
  </si>
  <si>
    <t>fcu</t>
  </si>
  <si>
    <t>fy</t>
  </si>
  <si>
    <t>Mu</t>
  </si>
  <si>
    <t>b+span/5</t>
  </si>
  <si>
    <t>b+(s1+s2)/2</t>
  </si>
  <si>
    <t>total span of beam</t>
  </si>
  <si>
    <t>transverse span</t>
  </si>
  <si>
    <t>slap thickness</t>
  </si>
  <si>
    <t>b+span/10</t>
  </si>
  <si>
    <t>ts</t>
  </si>
  <si>
    <t>s</t>
  </si>
  <si>
    <t>index</t>
  </si>
  <si>
    <t>end</t>
  </si>
  <si>
    <t>A</t>
  </si>
  <si>
    <t>span</t>
  </si>
  <si>
    <t>D</t>
  </si>
  <si>
    <t>As</t>
  </si>
  <si>
    <t>diminsions</t>
  </si>
  <si>
    <t>layer</t>
  </si>
  <si>
    <t>strain</t>
  </si>
  <si>
    <t>Area</t>
  </si>
  <si>
    <t>stress</t>
  </si>
  <si>
    <t>force</t>
  </si>
  <si>
    <t>Moment</t>
  </si>
  <si>
    <t>ec</t>
  </si>
  <si>
    <t>fs</t>
  </si>
  <si>
    <t>Analysis of rectangular section of known Steel and strain value</t>
  </si>
  <si>
    <t>concrete</t>
  </si>
  <si>
    <t xml:space="preserve">steel </t>
  </si>
  <si>
    <t xml:space="preserve">esmax </t>
  </si>
  <si>
    <t>layer index</t>
  </si>
  <si>
    <t>bredth(b)</t>
  </si>
  <si>
    <t>width(h)</t>
  </si>
  <si>
    <t>cover(cr)</t>
  </si>
  <si>
    <t>d0</t>
  </si>
  <si>
    <t>d1</t>
  </si>
  <si>
    <t>d2</t>
  </si>
  <si>
    <t>d3</t>
  </si>
  <si>
    <t xml:space="preserve">c </t>
  </si>
  <si>
    <t>factor of stress distribution</t>
  </si>
  <si>
    <t>factor of long run loadding</t>
  </si>
  <si>
    <t>factor of sample correcton</t>
  </si>
  <si>
    <t>safty factor of steel</t>
  </si>
  <si>
    <t>safty factor of concrete</t>
  </si>
  <si>
    <t xml:space="preserve">ei  =ec * ( c - di) / c </t>
  </si>
  <si>
    <t>ey = fy /E</t>
  </si>
  <si>
    <t>a = min(k1*c, h)</t>
  </si>
  <si>
    <t>Pu</t>
  </si>
  <si>
    <t>Define proberties objects</t>
  </si>
  <si>
    <t>Define strain</t>
  </si>
  <si>
    <t>Define layers</t>
  </si>
  <si>
    <t>Strain digram</t>
  </si>
  <si>
    <t>The position of natural axis</t>
  </si>
  <si>
    <t>Stress:</t>
  </si>
  <si>
    <t>Force in concrete</t>
  </si>
  <si>
    <t>Ultimate Forces</t>
  </si>
  <si>
    <t>state</t>
  </si>
  <si>
    <t>analysis of section</t>
  </si>
  <si>
    <t>yc</t>
  </si>
  <si>
    <t>steel proberties</t>
  </si>
  <si>
    <t>ys</t>
  </si>
  <si>
    <t>t</t>
  </si>
  <si>
    <t>cover</t>
  </si>
  <si>
    <t>w</t>
  </si>
  <si>
    <t>R1</t>
  </si>
  <si>
    <t xml:space="preserve">fc </t>
  </si>
  <si>
    <t>code specifications</t>
  </si>
  <si>
    <t>Concrete proberties</t>
  </si>
  <si>
    <t>effective width (B) ≤</t>
  </si>
  <si>
    <t>fs* As /(b*d*fc)</t>
  </si>
  <si>
    <t xml:space="preserve">factor of fallier criteria </t>
  </si>
  <si>
    <t>factor of long term strength (k1)</t>
  </si>
  <si>
    <t>factor of sample correction (k2)</t>
  </si>
  <si>
    <t>factor of stress distribution (k3)</t>
  </si>
  <si>
    <t>w/k3</t>
  </si>
  <si>
    <t xml:space="preserve">R1  = </t>
  </si>
  <si>
    <t>w * ( 1 - w/2)</t>
  </si>
  <si>
    <t>w=</t>
  </si>
  <si>
    <t xml:space="preserve">r  = </t>
  </si>
  <si>
    <t xml:space="preserve">Mu = </t>
  </si>
  <si>
    <t>R1 * fc*b*d^2</t>
  </si>
  <si>
    <t>As(main)</t>
  </si>
  <si>
    <t>r</t>
  </si>
  <si>
    <t>notes</t>
  </si>
  <si>
    <t>b+16*(ts)</t>
  </si>
  <si>
    <t>conditions</t>
  </si>
  <si>
    <t xml:space="preserve">r &lt; </t>
  </si>
  <si>
    <t>if ts&gt;0</t>
  </si>
  <si>
    <t>factor of fallier criteria  * ec /(ec+fy/E)</t>
  </si>
  <si>
    <t>Design of section for Pure Bending</t>
  </si>
  <si>
    <t xml:space="preserve">r  * d &lt; </t>
  </si>
  <si>
    <t xml:space="preserve">w = </t>
  </si>
  <si>
    <t>PureBendingDesign(R1)</t>
  </si>
  <si>
    <t xml:space="preserve">r max = </t>
  </si>
  <si>
    <t>As comp</t>
  </si>
  <si>
    <t>PureBendingDesign(R1 , Wmax , k) -&gt;(w_main, w_comp)</t>
  </si>
  <si>
    <t>r_max</t>
  </si>
  <si>
    <t>N main</t>
  </si>
  <si>
    <t>es</t>
  </si>
  <si>
    <t>t/e</t>
  </si>
  <si>
    <t>code requrments</t>
  </si>
  <si>
    <t>fc</t>
  </si>
  <si>
    <t>correction for min. ec.</t>
  </si>
  <si>
    <t>AxialForceAndBendingSectionAnalysis(b , h, cover , area , esmax , fs, E,ec, fc,k1)</t>
  </si>
  <si>
    <t>T section</t>
  </si>
  <si>
    <t>L section</t>
  </si>
  <si>
    <t>b+6*(ts)</t>
  </si>
  <si>
    <t>(pu, Mu) = AxialForceAndBendingSectionAnalysis(b , h, cover , area , esmax , fs, E,ec, fc,k1)</t>
  </si>
  <si>
    <t xml:space="preserve">strain in far steel layer = </t>
  </si>
  <si>
    <t>ultimate loads</t>
  </si>
  <si>
    <t>safty factor</t>
  </si>
  <si>
    <t>design loads</t>
  </si>
  <si>
    <t>es = AxialForceAndBendingSectionAnalysis_EcentricityRatio(b, h , cover , area, x , fs, E, ec, fc, k1)</t>
  </si>
  <si>
    <t>ultimate moment</t>
  </si>
  <si>
    <t>Draw Interaction digram</t>
  </si>
  <si>
    <t>Pc = a*b*fc</t>
  </si>
  <si>
    <t>Concrete</t>
  </si>
  <si>
    <t>Analysis of Section competability Method discriptive analysis</t>
  </si>
  <si>
    <t xml:space="preserve">AxialForceAndBendingSectionAnalysis_4F(reinforcment ratio , ey, es,ec=0.003 ,k1=0.8,n=4) </t>
  </si>
  <si>
    <t xml:space="preserve">AxialForceAndBendingSectionAnalysis_ecc_4F(reinforcment ratio , ey, t/e,ec=0.003 ,k1=0.8,n=4) </t>
  </si>
  <si>
    <t>wd</t>
  </si>
  <si>
    <t>Design of Biaxially loaded Section</t>
  </si>
  <si>
    <t>k1</t>
  </si>
  <si>
    <t>k2</t>
  </si>
  <si>
    <t>k3</t>
  </si>
  <si>
    <t>steel</t>
  </si>
  <si>
    <t>Diminsions</t>
  </si>
  <si>
    <t>Mx</t>
  </si>
  <si>
    <t>My</t>
  </si>
  <si>
    <t>Rp</t>
  </si>
  <si>
    <t>lx</t>
  </si>
  <si>
    <t>ly</t>
  </si>
  <si>
    <t>ex/lx</t>
  </si>
  <si>
    <t>ey/ly</t>
  </si>
  <si>
    <t>alpha</t>
  </si>
  <si>
    <t>e/t</t>
  </si>
  <si>
    <t xml:space="preserve">reinforcment </t>
  </si>
  <si>
    <t>rectangularty</t>
  </si>
  <si>
    <t>loads</t>
  </si>
  <si>
    <t>EX</t>
  </si>
  <si>
    <t>EY</t>
  </si>
  <si>
    <t>Rpu</t>
  </si>
  <si>
    <t>μ(max)</t>
  </si>
  <si>
    <t>μ(min)</t>
  </si>
  <si>
    <t>μ(req)</t>
  </si>
  <si>
    <t>R2</t>
  </si>
  <si>
    <t xml:space="preserve">Analysis of Axially loaded uniformly reinforced Section </t>
  </si>
  <si>
    <t xml:space="preserve">es = AxialForceAndBendingSectionAnalysis_UF_eccentricity(reinforcment ratio , ey, t/e,rec,ec=0.003 ,k1=0.8,n=4) </t>
  </si>
  <si>
    <t xml:space="preserve">Rb, Kp = AxialForceAndBendingSectionAnalysis_UF(reinforcment ratio , ey, es,rec,ec=0.003 ,k1=0.8,n=4) </t>
  </si>
  <si>
    <t>Rp*e/t</t>
  </si>
  <si>
    <t>μ</t>
  </si>
  <si>
    <t>μ(min)=</t>
  </si>
  <si>
    <t>μ(max)=</t>
  </si>
  <si>
    <t>rec</t>
  </si>
  <si>
    <t xml:space="preserve">Design of Axially loaded uniformly reinforced Section </t>
  </si>
  <si>
    <t>N</t>
  </si>
  <si>
    <t>n</t>
  </si>
  <si>
    <t>Asb</t>
  </si>
  <si>
    <t>Q</t>
  </si>
  <si>
    <t>q</t>
  </si>
  <si>
    <t>qstr</t>
  </si>
  <si>
    <t>qcu</t>
  </si>
  <si>
    <t>B(max)</t>
  </si>
  <si>
    <t>qu (max)</t>
  </si>
  <si>
    <t>qs</t>
  </si>
  <si>
    <t>qsb</t>
  </si>
  <si>
    <t>Astr</t>
  </si>
  <si>
    <t>fystr</t>
  </si>
  <si>
    <t>fstr</t>
  </si>
  <si>
    <t>B (cr)</t>
  </si>
  <si>
    <t>Branches</t>
  </si>
  <si>
    <t>depth for 60deg reinf.</t>
  </si>
  <si>
    <t>width for 2 branch</t>
  </si>
  <si>
    <t>max spacing</t>
  </si>
  <si>
    <t>Design of Section for Diagonal tension</t>
  </si>
  <si>
    <t>length</t>
  </si>
  <si>
    <t>dead load factor</t>
  </si>
  <si>
    <t>live load factor</t>
  </si>
  <si>
    <t xml:space="preserve">start </t>
  </si>
  <si>
    <t>middel</t>
  </si>
  <si>
    <t>ws(Tension)</t>
  </si>
  <si>
    <t>ws(comperrision)</t>
  </si>
  <si>
    <t>As(Tension)</t>
  </si>
  <si>
    <t>As(comperrision)</t>
  </si>
  <si>
    <t>As(lower)</t>
  </si>
  <si>
    <t>As(upper)</t>
  </si>
  <si>
    <t>minium longtudinal rein.</t>
  </si>
  <si>
    <t>flexural Design</t>
  </si>
  <si>
    <t>shear factor</t>
  </si>
  <si>
    <t>shear factor(max)</t>
  </si>
  <si>
    <t>qcu(max)</t>
  </si>
  <si>
    <t>fy(str)</t>
  </si>
  <si>
    <t>Stirubs branches</t>
  </si>
  <si>
    <t>Member</t>
  </si>
  <si>
    <t>K</t>
  </si>
  <si>
    <t>ML</t>
  </si>
  <si>
    <t>MD</t>
  </si>
  <si>
    <t>interior</t>
  </si>
  <si>
    <t>edge</t>
  </si>
  <si>
    <t>beta</t>
  </si>
  <si>
    <t>corner</t>
  </si>
  <si>
    <t>b0</t>
  </si>
  <si>
    <t>lambda</t>
  </si>
  <si>
    <t>Vc</t>
  </si>
  <si>
    <t>Vcu</t>
  </si>
  <si>
    <t>dimmsions</t>
  </si>
  <si>
    <t>length in vertical direction</t>
  </si>
  <si>
    <t>length in hirzontal direction</t>
  </si>
  <si>
    <t>Lh</t>
  </si>
  <si>
    <t>Lv</t>
  </si>
  <si>
    <t>Ls</t>
  </si>
  <si>
    <t>Ll</t>
  </si>
  <si>
    <t>use dropped bannel</t>
  </si>
  <si>
    <t>td</t>
  </si>
  <si>
    <t>use Cap Head</t>
  </si>
  <si>
    <t>use Marginal Beam</t>
  </si>
  <si>
    <t>coulmn diminsions</t>
  </si>
  <si>
    <t xml:space="preserve">Dropped pannel </t>
  </si>
  <si>
    <t>Lp</t>
  </si>
  <si>
    <t>Cap D</t>
  </si>
  <si>
    <t>geometry specification</t>
  </si>
  <si>
    <t>minium slap thickness</t>
  </si>
  <si>
    <t>minium coulmn width</t>
  </si>
  <si>
    <t>floor height</t>
  </si>
  <si>
    <t>t(pannel)</t>
  </si>
  <si>
    <t>theckness tollerence</t>
  </si>
  <si>
    <t>Loads</t>
  </si>
  <si>
    <t>Slap Load</t>
  </si>
  <si>
    <t>DL</t>
  </si>
  <si>
    <t>denisty of concete</t>
  </si>
  <si>
    <t>Dead Load</t>
  </si>
  <si>
    <t>Live Load</t>
  </si>
  <si>
    <t>Load factor</t>
  </si>
  <si>
    <t>Slap weight</t>
  </si>
  <si>
    <t>flooring cover</t>
  </si>
  <si>
    <t>Livel load</t>
  </si>
  <si>
    <t>LL</t>
  </si>
  <si>
    <t>wsu</t>
  </si>
  <si>
    <t>Punching Shear</t>
  </si>
  <si>
    <t>Slap</t>
  </si>
  <si>
    <t>Pannel</t>
  </si>
  <si>
    <t>b_min</t>
  </si>
  <si>
    <t>b_used</t>
  </si>
  <si>
    <t>t_used</t>
  </si>
  <si>
    <t>punching</t>
  </si>
  <si>
    <t>one way</t>
  </si>
  <si>
    <t>SF</t>
  </si>
  <si>
    <t>Hirzontal Strip</t>
  </si>
  <si>
    <t>Momment factor</t>
  </si>
  <si>
    <t>Interior pannel</t>
  </si>
  <si>
    <t>Exterior pannel</t>
  </si>
  <si>
    <t>Pannel Momment</t>
  </si>
  <si>
    <t>the width slap strip</t>
  </si>
  <si>
    <t>minium slap strip reinforcment</t>
  </si>
  <si>
    <t>Coulmn Strip</t>
  </si>
  <si>
    <t>Field Strip</t>
  </si>
  <si>
    <t>Vertical Strip</t>
  </si>
  <si>
    <t>Strip</t>
  </si>
  <si>
    <t>Flat Slap Direct Design Method</t>
  </si>
  <si>
    <t>distribution factor</t>
  </si>
  <si>
    <t>D_Small</t>
  </si>
  <si>
    <t>D_Large</t>
  </si>
  <si>
    <t>ds</t>
  </si>
  <si>
    <t>dd</t>
  </si>
  <si>
    <t>breadth</t>
  </si>
  <si>
    <t>thickness</t>
  </si>
  <si>
    <t>I</t>
  </si>
  <si>
    <t>count</t>
  </si>
  <si>
    <t>WD</t>
  </si>
  <si>
    <t>WL</t>
  </si>
  <si>
    <t>Cantilivers</t>
  </si>
  <si>
    <t>start</t>
  </si>
  <si>
    <t>Wl</t>
  </si>
  <si>
    <t>The beam dimminsions</t>
  </si>
  <si>
    <t>M</t>
  </si>
  <si>
    <t>Cantiliver</t>
  </si>
  <si>
    <t>Section</t>
  </si>
  <si>
    <t>Position</t>
  </si>
  <si>
    <t xml:space="preserve"> </t>
  </si>
  <si>
    <t>Design of contionous Beam</t>
  </si>
  <si>
    <t>coulmns</t>
  </si>
  <si>
    <t>Ultimate Comperision PU</t>
  </si>
  <si>
    <t>Cross section Dimminsions</t>
  </si>
  <si>
    <t>Coulmn Dimminsions</t>
  </si>
  <si>
    <t>Length</t>
  </si>
  <si>
    <t>upper fixation condition</t>
  </si>
  <si>
    <t>lower fixation condition</t>
  </si>
  <si>
    <t>sway</t>
  </si>
  <si>
    <t>non sway</t>
  </si>
  <si>
    <t>buckling length</t>
  </si>
  <si>
    <t>buckling factor</t>
  </si>
  <si>
    <t>Aditional loads</t>
  </si>
  <si>
    <t>selender ratio x</t>
  </si>
  <si>
    <t>x</t>
  </si>
  <si>
    <t>y</t>
  </si>
  <si>
    <t>selender ratio y</t>
  </si>
  <si>
    <t>delta x</t>
  </si>
  <si>
    <t>delta y</t>
  </si>
  <si>
    <t>ex/t</t>
  </si>
  <si>
    <t>ey/b</t>
  </si>
  <si>
    <t>Bending about minor axis Mx1</t>
  </si>
  <si>
    <t>Bending about minor axis Mx2</t>
  </si>
  <si>
    <t>Bending about major axis My1</t>
  </si>
  <si>
    <t>Bending about major axis My2</t>
  </si>
  <si>
    <t>EX1</t>
  </si>
  <si>
    <t>EX2</t>
  </si>
  <si>
    <t>EY2</t>
  </si>
  <si>
    <t>EY1</t>
  </si>
  <si>
    <t>ey i</t>
  </si>
  <si>
    <t>ex I = 0.4*e1+0.6*e2&gt;0.4* e2</t>
  </si>
  <si>
    <t>exi + deltax</t>
  </si>
  <si>
    <t>eyi + deltax</t>
  </si>
  <si>
    <t>ex1 + delta /2</t>
  </si>
  <si>
    <t>ey1 + delta /2</t>
  </si>
  <si>
    <t>design of section</t>
  </si>
  <si>
    <t>µ</t>
  </si>
  <si>
    <t>AS</t>
  </si>
  <si>
    <t>Buckling</t>
  </si>
  <si>
    <t xml:space="preserve">" the sheet follow in consistante units  example mm for length , Mpa for stress and N for forces , N.mm for momment" </t>
  </si>
  <si>
    <t>longtudinal corner steel diameter</t>
  </si>
  <si>
    <t>longtudinal steel diameter</t>
  </si>
  <si>
    <t>minium distance longtudinal steel</t>
  </si>
  <si>
    <t>strirubs diameter</t>
  </si>
  <si>
    <t>corners</t>
  </si>
  <si>
    <t>ey</t>
  </si>
  <si>
    <t>thickness direction</t>
  </si>
  <si>
    <t>S</t>
  </si>
  <si>
    <t>breadth Direction</t>
  </si>
  <si>
    <t>As total</t>
  </si>
  <si>
    <t>flexural design</t>
  </si>
  <si>
    <t>minium number of bars</t>
  </si>
  <si>
    <t>main steel Diameters</t>
  </si>
  <si>
    <t>secondry steel diameter</t>
  </si>
  <si>
    <t>factored loads</t>
  </si>
  <si>
    <t>WDU</t>
  </si>
  <si>
    <t>WLU</t>
  </si>
  <si>
    <t>member</t>
  </si>
  <si>
    <t>µ1</t>
  </si>
  <si>
    <t>µ2</t>
  </si>
  <si>
    <t>N2</t>
  </si>
  <si>
    <t>N1</t>
  </si>
  <si>
    <t>As actual</t>
  </si>
  <si>
    <t xml:space="preserve">upper steel </t>
  </si>
  <si>
    <t>lower steel</t>
  </si>
  <si>
    <t>Shear design</t>
  </si>
  <si>
    <t>WU</t>
  </si>
  <si>
    <t>Q = WL/2+(M2-M1)/L</t>
  </si>
  <si>
    <t>Qu1</t>
  </si>
  <si>
    <t>Qu2</t>
  </si>
  <si>
    <t>A = b*d</t>
  </si>
  <si>
    <t>qu</t>
  </si>
  <si>
    <t>stirubs Diameters</t>
  </si>
  <si>
    <t>sec stirubs diameter</t>
  </si>
  <si>
    <t>Qu_Design</t>
  </si>
  <si>
    <t>Qs</t>
  </si>
  <si>
    <t>As/s</t>
  </si>
  <si>
    <t>max spacing of stirubs</t>
  </si>
  <si>
    <t>min spacing of stirubs</t>
  </si>
  <si>
    <t>N/m</t>
  </si>
  <si>
    <t>max branches space</t>
  </si>
  <si>
    <t>N in length</t>
  </si>
  <si>
    <t>State</t>
  </si>
  <si>
    <t>Ld/D</t>
  </si>
  <si>
    <t xml:space="preserve"> the sheet follow in consistante units  example mm for length , Mpa for stress and N for forces , N.mm for momment </t>
  </si>
  <si>
    <t>Analysis of Axially loaded Section two faces equally reinforced</t>
  </si>
  <si>
    <t xml:space="preserve">es = AxialForceAndBendingSectionAnalysis_ecc_4F(reinforcment ratio , ey, t/e,ec=0.003 ,k1=0.8,n=0.5) </t>
  </si>
  <si>
    <t xml:space="preserve">Rb, Kp = AxialForceAndBendingSectionAnalysis_4F(reinforcment ratio , ey, es,ec=0.003 ,k1=0.8,n=0.5) </t>
  </si>
  <si>
    <t>Design of Axially loaded Section two faces equally reinforced</t>
  </si>
  <si>
    <t>wd = AxialForceAndBendingSectionDesign_UF(Rp, Rp*e/t ,fy/E, rec , ec=0.03, k1=0.8, n =14)</t>
  </si>
  <si>
    <t>AxialForceAndBendingSectionDesign_UF( P , R ,fy/E,rec, ec = 0.003, k1 = 0.8,n = 4)</t>
  </si>
  <si>
    <t>AxialForceAndBendingSectionDesign_2F( P , R ,fy/E,n, ec = 0.003, k1 = 0.8)</t>
  </si>
  <si>
    <t>Design of slap for Pure Bending</t>
  </si>
  <si>
    <t>min comp rein</t>
  </si>
  <si>
    <t>w max</t>
  </si>
  <si>
    <t>analysis of slap for Pure Bending</t>
  </si>
  <si>
    <t>Node</t>
  </si>
  <si>
    <t>Mf</t>
  </si>
  <si>
    <t>joint</t>
  </si>
  <si>
    <t>debth</t>
  </si>
  <si>
    <t>Df</t>
  </si>
  <si>
    <t>M final</t>
  </si>
  <si>
    <t>wu</t>
  </si>
  <si>
    <t>own weight</t>
  </si>
  <si>
    <t>wall load</t>
  </si>
  <si>
    <t>unfactored loads</t>
  </si>
  <si>
    <t>beam</t>
  </si>
  <si>
    <t>slap load</t>
  </si>
  <si>
    <t>concrete weight</t>
  </si>
  <si>
    <t>slap width</t>
  </si>
  <si>
    <t>f</t>
  </si>
  <si>
    <t>trapzoid</t>
  </si>
  <si>
    <t>l</t>
  </si>
  <si>
    <t>Mm</t>
  </si>
  <si>
    <t>M+ve</t>
  </si>
  <si>
    <t>right</t>
  </si>
  <si>
    <t>left</t>
  </si>
  <si>
    <t>M1</t>
  </si>
  <si>
    <t>M2</t>
  </si>
  <si>
    <t>m</t>
  </si>
  <si>
    <t>i</t>
  </si>
  <si>
    <t>web</t>
  </si>
  <si>
    <t>flange</t>
  </si>
  <si>
    <t>transvers span 1</t>
  </si>
  <si>
    <t>transvers span 2</t>
  </si>
  <si>
    <t>effective width (B) =</t>
  </si>
  <si>
    <t>assume rectangular T beam</t>
  </si>
  <si>
    <t xml:space="preserve">R1  </t>
  </si>
  <si>
    <t>=M/(fc*b*d*d)</t>
  </si>
  <si>
    <t>factor of long term strength</t>
  </si>
  <si>
    <t>factor of sample correction</t>
  </si>
  <si>
    <t>phi</t>
  </si>
  <si>
    <t>K1</t>
  </si>
  <si>
    <t>K2</t>
  </si>
  <si>
    <t>K3</t>
  </si>
  <si>
    <t>'=M/(fc*b*d*d)</t>
  </si>
  <si>
    <t>tension</t>
  </si>
  <si>
    <t>comp</t>
  </si>
  <si>
    <t xml:space="preserve"> safe</t>
  </si>
  <si>
    <t>true t beam</t>
  </si>
  <si>
    <t>Mw</t>
  </si>
  <si>
    <t>As1</t>
  </si>
  <si>
    <t>a</t>
  </si>
  <si>
    <t>As2</t>
  </si>
  <si>
    <t>Ast</t>
  </si>
  <si>
    <t>R1=w * ( 1 - w/2)</t>
  </si>
  <si>
    <t>A1</t>
  </si>
  <si>
    <t>A2</t>
  </si>
  <si>
    <t>min. reinforc</t>
  </si>
  <si>
    <t>Design of T section for Pure Bending</t>
  </si>
  <si>
    <t>Design of L section for Pure Bending</t>
  </si>
  <si>
    <t>Reinforcment Area</t>
  </si>
  <si>
    <t>Abar</t>
  </si>
  <si>
    <t>lower</t>
  </si>
  <si>
    <t>upper</t>
  </si>
  <si>
    <t>short</t>
  </si>
  <si>
    <t>long</t>
  </si>
  <si>
    <t>Volume of stirubs in meter</t>
  </si>
  <si>
    <t>Reinforcment</t>
  </si>
  <si>
    <t>max stirub spacing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</si>
</sst>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3" formatCode="_(* #,##0.00_);_(* \(#,##0.00\);_(* &quot;-&quot;??_);_(@_)"/>
    <numFmt numFmtId="164" formatCode="_(* #,##0.00000_);_(* \(#,##0.00000\);_(* &quot;-&quot;??_);_(@_)"/>
    <numFmt numFmtId="165" formatCode="_(* #,##0.000000_);_(* \(#,##0.000000\);_(* &quot;-&quot;??_);_(@_)"/>
    <numFmt numFmtId="166" formatCode="_(* #,##0.0000000_);_(* \(#,##0.0000000\);_(* &quot;-&quot;??_);_(@_)"/>
    <numFmt numFmtId="167" formatCode="0.000"/>
    <numFmt numFmtId="168" formatCode="0.00000E+00"/>
    <numFmt numFmtId="169" formatCode="0.0%"/>
    <numFmt numFmtId="170" formatCode="0.000E+00"/>
    <numFmt numFmtId="171" formatCode="0.0000"/>
    <numFmt numFmtId="172" formatCode="0.0"/>
    <numFmt numFmtId="173" formatCode="0.000%"/>
    <numFmt numFmtId="174" formatCode="0.00000"/>
    <numFmt numFmtId="175" formatCode="0.0E+00"/>
  </numFmts>
  <fonts count="4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i/>
      <sz val="11"/>
      <color theme="5" tint="-0.249977111117893"/>
      <name val="Calibri"/>
      <family val="2"/>
      <scheme val="minor"/>
    </font>
    <font>
      <b/>
      <i/>
      <sz val="11"/>
      <color theme="5" tint="-0.249977111117893"/>
      <name val="Calibri"/>
      <family val="2"/>
      <scheme val="minor"/>
    </font>
    <font>
      <i/>
      <sz val="11"/>
      <color rgb="FFFF0000"/>
      <name val="Calibri"/>
      <family val="2"/>
      <scheme val="minor"/>
    </font>
    <font>
      <i/>
      <u/>
      <sz val="11"/>
      <color rgb="FFFF000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theme="9" tint="-0.499984740745262"/>
      <name val="Calibri"/>
      <family val="2"/>
      <scheme val="minor"/>
    </font>
    <font>
      <b/>
      <i/>
      <u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i/>
      <sz val="16"/>
      <color theme="1"/>
      <name val="Calibri Light"/>
      <family val="2"/>
      <scheme val="major"/>
    </font>
    <font>
      <i/>
      <sz val="11"/>
      <color theme="4" tint="-0.499984740745262"/>
      <name val="Calibri"/>
      <family val="2"/>
      <scheme val="minor"/>
    </font>
    <font>
      <sz val="14"/>
      <color theme="1"/>
      <name val="Calibri"/>
      <family val="2"/>
    </font>
    <font>
      <sz val="14"/>
      <color theme="1"/>
      <name val="Calibri"/>
      <family val="2"/>
      <scheme val="minor"/>
    </font>
    <font>
      <sz val="11"/>
      <color theme="0"/>
      <name val="Calibri"/>
      <family val="2"/>
    </font>
    <font>
      <b/>
      <sz val="15"/>
      <color theme="8" tint="-0.499984740745262"/>
      <name val="Calibri"/>
      <family val="2"/>
      <scheme val="minor"/>
    </font>
    <font>
      <b/>
      <i/>
      <sz val="16"/>
      <color theme="8" tint="-0.499984740745262"/>
      <name val="Calibri Light"/>
      <family val="2"/>
      <scheme val="major"/>
    </font>
    <font>
      <b/>
      <i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u/>
      <sz val="15"/>
      <color theme="3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11"/>
      <color theme="3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i/>
      <sz val="11"/>
      <color theme="3"/>
      <name val="Calibri"/>
      <family val="2"/>
      <scheme val="minor"/>
    </font>
    <font>
      <b/>
      <sz val="11"/>
      <color theme="1"/>
      <name val="Calibri Light"/>
      <family val="2"/>
      <scheme val="major"/>
    </font>
    <font>
      <b/>
      <i/>
      <sz val="11"/>
      <color theme="1"/>
      <name val="Calibri Light"/>
      <family val="2"/>
      <scheme val="major"/>
    </font>
    <font>
      <b/>
      <sz val="11"/>
      <color theme="1"/>
      <name val="Calibri"/>
      <family val="2"/>
    </font>
    <font>
      <b/>
      <sz val="11"/>
      <color theme="8" tint="-0.499984740745262"/>
      <name val="Calibri"/>
      <family val="2"/>
      <scheme val="minor"/>
    </font>
    <font>
      <i/>
      <sz val="11"/>
      <name val="Calibri"/>
      <family val="2"/>
      <scheme val="minor"/>
    </font>
    <font>
      <i/>
      <u/>
      <sz val="11"/>
      <name val="Calibri"/>
      <family val="2"/>
      <scheme val="minor"/>
    </font>
    <font>
      <b/>
      <i/>
      <u/>
      <sz val="11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A5A5A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CC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12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rgb="FF3F3F3F"/>
      </left>
      <right style="thin">
        <color rgb="FF3F3F3F"/>
      </right>
      <top/>
      <bottom style="thin">
        <color rgb="FF3F3F3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medium">
        <color indexed="6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3F3F3F"/>
      </left>
      <right style="thin">
        <color rgb="FF3F3F3F"/>
      </right>
      <top/>
      <bottom style="medium">
        <color indexed="64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/>
      <bottom style="medium">
        <color theme="4" tint="0.39997558519241921"/>
      </bottom>
      <diagonal/>
    </border>
    <border>
      <left/>
      <right style="medium">
        <color indexed="64"/>
      </right>
      <top/>
      <bottom style="medium">
        <color theme="4" tint="0.3999755851924192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theme="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medium">
        <color indexed="64"/>
      </right>
      <top/>
      <bottom style="thin">
        <color rgb="FF7F7F7F"/>
      </bottom>
      <diagonal/>
    </border>
    <border>
      <left/>
      <right/>
      <top/>
      <bottom style="thin">
        <color theme="4" tint="-0.249977111117893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theme="1"/>
      </left>
      <right/>
      <top style="medium">
        <color theme="1"/>
      </top>
      <bottom style="medium">
        <color theme="4" tint="-0.249977111117893"/>
      </bottom>
      <diagonal/>
    </border>
    <border>
      <left/>
      <right/>
      <top style="medium">
        <color theme="1"/>
      </top>
      <bottom style="medium">
        <color theme="4" tint="-0.249977111117893"/>
      </bottom>
      <diagonal/>
    </border>
    <border>
      <left/>
      <right style="medium">
        <color theme="1"/>
      </right>
      <top style="medium">
        <color theme="1"/>
      </top>
      <bottom style="medium">
        <color theme="4" tint="-0.249977111117893"/>
      </bottom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1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medium">
        <color theme="1"/>
      </right>
      <top style="thin">
        <color rgb="FFB2B2B2"/>
      </top>
      <bottom style="thin">
        <color rgb="FFB2B2B2"/>
      </bottom>
      <diagonal/>
    </border>
    <border>
      <left style="medium">
        <color theme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theme="1"/>
      </left>
      <right/>
      <top style="medium">
        <color indexed="64"/>
      </top>
      <bottom/>
      <diagonal/>
    </border>
    <border>
      <left/>
      <right style="medium">
        <color theme="1"/>
      </right>
      <top style="medium">
        <color indexed="64"/>
      </top>
      <bottom style="medium">
        <color indexed="64"/>
      </bottom>
      <diagonal/>
    </border>
    <border>
      <left style="medium">
        <color theme="1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theme="1"/>
      </left>
      <right/>
      <top style="medium">
        <color indexed="64"/>
      </top>
      <bottom style="medium">
        <color indexed="64"/>
      </bottom>
      <diagonal/>
    </border>
    <border>
      <left style="medium">
        <color theme="1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theme="1"/>
      </right>
      <top/>
      <bottom style="thin">
        <color indexed="64"/>
      </bottom>
      <diagonal/>
    </border>
    <border>
      <left style="medium">
        <color theme="1"/>
      </left>
      <right/>
      <top style="thin">
        <color indexed="64"/>
      </top>
      <bottom style="thin">
        <color indexed="64"/>
      </bottom>
      <diagonal/>
    </border>
    <border>
      <left style="medium">
        <color theme="1"/>
      </left>
      <right style="thin">
        <color indexed="64"/>
      </right>
      <top style="thin">
        <color indexed="64"/>
      </top>
      <bottom style="medium">
        <color theme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theme="1"/>
      </bottom>
      <diagonal/>
    </border>
    <border>
      <left/>
      <right style="thin">
        <color indexed="64"/>
      </right>
      <top style="thin">
        <color indexed="64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 style="thin">
        <color theme="4" tint="-0.249977111117893"/>
      </right>
      <top style="medium">
        <color theme="1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medium">
        <color theme="1"/>
      </top>
      <bottom style="thin">
        <color theme="4" tint="-0.249977111117893"/>
      </bottom>
      <diagonal/>
    </border>
    <border>
      <left style="thin">
        <color theme="4" tint="-0.249977111117893"/>
      </left>
      <right style="medium">
        <color theme="1"/>
      </right>
      <top style="medium">
        <color theme="1"/>
      </top>
      <bottom style="thin">
        <color theme="4" tint="-0.249977111117893"/>
      </bottom>
      <diagonal/>
    </border>
    <border>
      <left style="thin">
        <color theme="4" tint="-0.249977111117893"/>
      </left>
      <right style="medium">
        <color theme="1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theme="1"/>
      </left>
      <right style="thin">
        <color theme="4" tint="-0.249977111117893"/>
      </right>
      <top style="thin">
        <color theme="4" tint="-0.249977111117893"/>
      </top>
      <bottom style="medium">
        <color theme="1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medium">
        <color theme="1"/>
      </bottom>
      <diagonal/>
    </border>
    <border>
      <left style="thin">
        <color theme="4" tint="-0.249977111117893"/>
      </left>
      <right style="medium">
        <color theme="1"/>
      </right>
      <top style="thin">
        <color theme="4" tint="-0.249977111117893"/>
      </top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 style="medium">
        <color indexed="64"/>
      </bottom>
      <diagonal/>
    </border>
    <border>
      <left/>
      <right style="medium">
        <color theme="1"/>
      </right>
      <top style="medium">
        <color theme="1"/>
      </top>
      <bottom style="medium">
        <color indexed="64"/>
      </bottom>
      <diagonal/>
    </border>
    <border>
      <left style="medium">
        <color theme="1"/>
      </left>
      <right/>
      <top/>
      <bottom style="medium">
        <color theme="1"/>
      </bottom>
      <diagonal/>
    </border>
    <border>
      <left style="thin">
        <color rgb="FF7F7F7F"/>
      </left>
      <right style="medium">
        <color theme="1"/>
      </right>
      <top style="thin">
        <color rgb="FF7F7F7F"/>
      </top>
      <bottom style="thin">
        <color rgb="FF7F7F7F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thin">
        <color indexed="64"/>
      </right>
      <top style="thin">
        <color indexed="64"/>
      </top>
      <bottom/>
      <diagonal/>
    </border>
    <border>
      <left style="medium">
        <color theme="1"/>
      </left>
      <right style="thin">
        <color indexed="64"/>
      </right>
      <top style="medium">
        <color theme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theme="1"/>
      </top>
      <bottom style="thin">
        <color indexed="64"/>
      </bottom>
      <diagonal/>
    </border>
    <border>
      <left style="thin">
        <color indexed="64"/>
      </left>
      <right style="medium">
        <color theme="1"/>
      </right>
      <top style="medium">
        <color theme="1"/>
      </top>
      <bottom style="thin">
        <color indexed="64"/>
      </bottom>
      <diagonal/>
    </border>
    <border>
      <left style="thin">
        <color rgb="FF7F7F7F"/>
      </left>
      <right style="medium">
        <color theme="1"/>
      </right>
      <top style="thin">
        <color rgb="FF7F7F7F"/>
      </top>
      <bottom/>
      <diagonal/>
    </border>
    <border>
      <left style="medium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rgb="FF7F7F7F"/>
      </left>
      <right style="medium">
        <color theme="1"/>
      </right>
      <top style="thin">
        <color rgb="FF7F7F7F"/>
      </top>
      <bottom style="medium">
        <color theme="1"/>
      </bottom>
      <diagonal/>
    </border>
    <border>
      <left style="medium">
        <color theme="1"/>
      </left>
      <right style="thin">
        <color indexed="64"/>
      </right>
      <top style="medium">
        <color theme="1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medium">
        <color theme="1"/>
      </top>
      <bottom style="medium">
        <color theme="1"/>
      </bottom>
      <diagonal/>
    </border>
    <border>
      <left style="thin">
        <color indexed="64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4" tint="-0.249977111117893"/>
      </left>
      <right/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rgb="FF7F7F7F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3F3F3F"/>
      </left>
      <right/>
      <top/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3F3F3F"/>
      </right>
      <top/>
      <bottom/>
      <diagonal/>
    </border>
    <border>
      <left/>
      <right/>
      <top style="thin">
        <color rgb="FFB2B2B2"/>
      </top>
      <bottom/>
      <diagonal/>
    </border>
    <border>
      <left/>
      <right style="medium">
        <color indexed="64"/>
      </right>
      <top style="thin">
        <color rgb="FFB2B2B2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28">
    <xf numFmtId="0" fontId="0" fillId="0" borderId="0"/>
    <xf numFmtId="43" fontId="2" fillId="0" borderId="0" applyFont="0" applyFill="0" applyBorder="0" applyAlignment="0" applyProtection="0"/>
    <xf numFmtId="0" fontId="3" fillId="0" borderId="10" applyNumberFormat="0" applyFill="0" applyAlignment="0" applyProtection="0"/>
    <xf numFmtId="0" fontId="4" fillId="0" borderId="0" applyNumberFormat="0" applyFill="0" applyBorder="0" applyAlignment="0" applyProtection="0"/>
    <xf numFmtId="0" fontId="5" fillId="7" borderId="11" applyNumberFormat="0" applyAlignment="0" applyProtection="0"/>
    <xf numFmtId="0" fontId="6" fillId="8" borderId="12" applyNumberFormat="0" applyAlignment="0" applyProtection="0"/>
    <xf numFmtId="0" fontId="7" fillId="8" borderId="11" applyNumberFormat="0" applyAlignment="0" applyProtection="0"/>
    <xf numFmtId="0" fontId="8" fillId="0" borderId="0" applyNumberFormat="0" applyFill="0" applyBorder="0" applyAlignment="0" applyProtection="0"/>
    <xf numFmtId="0" fontId="1" fillId="9" borderId="0" applyNumberFormat="0" applyBorder="0" applyAlignment="0" applyProtection="0"/>
    <xf numFmtId="0" fontId="2" fillId="10" borderId="0" applyNumberFormat="0" applyBorder="0" applyAlignment="0" applyProtection="0"/>
    <xf numFmtId="0" fontId="1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13" fillId="14" borderId="0" applyNumberFormat="0" applyBorder="0" applyAlignment="0" applyProtection="0"/>
    <xf numFmtId="0" fontId="14" fillId="15" borderId="0" applyNumberFormat="0" applyBorder="0" applyAlignment="0" applyProtection="0"/>
    <xf numFmtId="0" fontId="15" fillId="16" borderId="25" applyNumberFormat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0" borderId="26" applyNumberFormat="0" applyFont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4" fillId="0" borderId="29" applyNumberFormat="0" applyFill="0" applyAlignment="0" applyProtection="0"/>
    <xf numFmtId="0" fontId="18" fillId="0" borderId="46" applyNumberFormat="0" applyFill="0" applyAlignment="0" applyProtection="0"/>
    <xf numFmtId="0" fontId="2" fillId="25" borderId="0" applyNumberFormat="0" applyBorder="0" applyAlignment="0" applyProtection="0"/>
    <xf numFmtId="0" fontId="1" fillId="26" borderId="0" applyNumberFormat="0" applyBorder="0" applyAlignment="0" applyProtection="0"/>
    <xf numFmtId="0" fontId="2" fillId="27" borderId="0" applyNumberFormat="0" applyBorder="0" applyAlignment="0" applyProtection="0"/>
    <xf numFmtId="0" fontId="1" fillId="28" borderId="0" applyNumberFormat="0" applyBorder="0" applyAlignment="0" applyProtection="0"/>
    <xf numFmtId="9" fontId="2" fillId="0" borderId="0" applyFont="0" applyFill="0" applyBorder="0" applyAlignment="0" applyProtection="0"/>
  </cellStyleXfs>
  <cellXfs count="727">
    <xf numFmtId="0" fontId="0" fillId="0" borderId="0" xfId="0"/>
    <xf numFmtId="11" fontId="0" fillId="0" borderId="0" xfId="0" applyNumberFormat="1"/>
    <xf numFmtId="0" fontId="0" fillId="0" borderId="0" xfId="0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0" xfId="0" applyProtection="1">
      <protection locked="0"/>
    </xf>
    <xf numFmtId="0" fontId="0" fillId="0" borderId="4" xfId="0" applyBorder="1"/>
    <xf numFmtId="2" fontId="0" fillId="0" borderId="0" xfId="0" applyNumberFormat="1"/>
    <xf numFmtId="0" fontId="7" fillId="8" borderId="11" xfId="6"/>
    <xf numFmtId="0" fontId="5" fillId="7" borderId="11" xfId="4"/>
    <xf numFmtId="11" fontId="5" fillId="7" borderId="11" xfId="4" applyNumberFormat="1"/>
    <xf numFmtId="0" fontId="8" fillId="0" borderId="0" xfId="7" applyFill="1" applyBorder="1"/>
    <xf numFmtId="0" fontId="8" fillId="0" borderId="0" xfId="7" applyBorder="1"/>
    <xf numFmtId="11" fontId="8" fillId="0" borderId="0" xfId="7" applyNumberFormat="1" applyFill="1" applyBorder="1"/>
    <xf numFmtId="0" fontId="10" fillId="0" borderId="0" xfId="7" applyFont="1" applyFill="1" applyBorder="1" applyAlignment="1">
      <alignment horizontal="right"/>
    </xf>
    <xf numFmtId="0" fontId="10" fillId="0" borderId="0" xfId="7" applyFont="1" applyFill="1" applyBorder="1"/>
    <xf numFmtId="0" fontId="10" fillId="0" borderId="0" xfId="7" applyFont="1" applyBorder="1"/>
    <xf numFmtId="0" fontId="10" fillId="0" borderId="0" xfId="7" applyFont="1" applyBorder="1" applyAlignment="1"/>
    <xf numFmtId="0" fontId="10" fillId="0" borderId="0" xfId="7" applyFont="1" applyBorder="1" applyAlignment="1">
      <alignment horizontal="right"/>
    </xf>
    <xf numFmtId="0" fontId="1" fillId="11" borderId="0" xfId="10"/>
    <xf numFmtId="0" fontId="1" fillId="9" borderId="0" xfId="8"/>
    <xf numFmtId="0" fontId="2" fillId="12" borderId="0" xfId="11"/>
    <xf numFmtId="0" fontId="0" fillId="3" borderId="0" xfId="0" applyFill="1" applyProtection="1">
      <protection locked="0"/>
    </xf>
    <xf numFmtId="0" fontId="2" fillId="10" borderId="0" xfId="9"/>
    <xf numFmtId="11" fontId="2" fillId="10" borderId="0" xfId="9" applyNumberFormat="1"/>
    <xf numFmtId="11" fontId="0" fillId="3" borderId="0" xfId="1" applyNumberFormat="1" applyFont="1" applyFill="1" applyProtection="1">
      <protection locked="0"/>
    </xf>
    <xf numFmtId="2" fontId="0" fillId="3" borderId="0" xfId="1" applyNumberFormat="1" applyFont="1" applyFill="1" applyProtection="1">
      <protection locked="0"/>
    </xf>
    <xf numFmtId="0" fontId="2" fillId="0" borderId="0" xfId="6" applyFont="1" applyFill="1" applyBorder="1" applyProtection="1">
      <protection locked="0"/>
    </xf>
    <xf numFmtId="0" fontId="12" fillId="0" borderId="0" xfId="6" applyFont="1" applyFill="1" applyBorder="1" applyProtection="1">
      <protection locked="0"/>
    </xf>
    <xf numFmtId="166" fontId="2" fillId="3" borderId="0" xfId="1" applyNumberFormat="1" applyFont="1" applyFill="1" applyBorder="1" applyProtection="1">
      <protection locked="0"/>
    </xf>
    <xf numFmtId="0" fontId="6" fillId="8" borderId="18" xfId="5" applyBorder="1"/>
    <xf numFmtId="0" fontId="5" fillId="7" borderId="0" xfId="4" applyBorder="1"/>
    <xf numFmtId="11" fontId="5" fillId="7" borderId="0" xfId="4" applyNumberFormat="1" applyBorder="1"/>
    <xf numFmtId="12" fontId="5" fillId="7" borderId="0" xfId="4" applyNumberFormat="1" applyBorder="1"/>
    <xf numFmtId="0" fontId="7" fillId="8" borderId="0" xfId="6" applyBorder="1"/>
    <xf numFmtId="0" fontId="11" fillId="0" borderId="0" xfId="7" applyFont="1" applyBorder="1"/>
    <xf numFmtId="0" fontId="0" fillId="0" borderId="21" xfId="0" applyBorder="1"/>
    <xf numFmtId="0" fontId="0" fillId="0" borderId="20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9" fillId="0" borderId="0" xfId="7" applyFont="1" applyFill="1" applyBorder="1" applyAlignment="1">
      <alignment horizontal="center"/>
    </xf>
    <xf numFmtId="0" fontId="2" fillId="10" borderId="0" xfId="9" applyBorder="1"/>
    <xf numFmtId="0" fontId="12" fillId="0" borderId="0" xfId="0" applyFont="1"/>
    <xf numFmtId="0" fontId="9" fillId="5" borderId="0" xfId="7" applyFont="1" applyFill="1" applyBorder="1" applyAlignment="1">
      <alignment horizontal="center"/>
    </xf>
    <xf numFmtId="0" fontId="10" fillId="5" borderId="20" xfId="7" applyFont="1" applyFill="1" applyBorder="1"/>
    <xf numFmtId="0" fontId="10" fillId="5" borderId="0" xfId="7" applyFont="1" applyFill="1" applyBorder="1"/>
    <xf numFmtId="0" fontId="14" fillId="15" borderId="0" xfId="14" applyBorder="1"/>
    <xf numFmtId="164" fontId="14" fillId="15" borderId="0" xfId="14" applyNumberFormat="1" applyBorder="1"/>
    <xf numFmtId="0" fontId="17" fillId="0" borderId="0" xfId="7" applyFont="1" applyBorder="1"/>
    <xf numFmtId="0" fontId="11" fillId="0" borderId="0" xfId="0" applyFont="1"/>
    <xf numFmtId="0" fontId="11" fillId="0" borderId="0" xfId="6" applyFont="1" applyFill="1" applyBorder="1" applyProtection="1">
      <protection locked="0"/>
    </xf>
    <xf numFmtId="0" fontId="2" fillId="12" borderId="0" xfId="11" applyBorder="1"/>
    <xf numFmtId="0" fontId="10" fillId="0" borderId="20" xfId="7" applyFont="1" applyBorder="1" applyAlignment="1">
      <alignment horizontal="right"/>
    </xf>
    <xf numFmtId="0" fontId="10" fillId="0" borderId="20" xfId="0" applyFont="1" applyBorder="1" applyAlignment="1">
      <alignment horizontal="right"/>
    </xf>
    <xf numFmtId="11" fontId="2" fillId="10" borderId="0" xfId="9" applyNumberFormat="1" applyBorder="1"/>
    <xf numFmtId="43" fontId="0" fillId="3" borderId="0" xfId="1" applyFont="1" applyFill="1" applyBorder="1" applyProtection="1">
      <protection locked="0"/>
    </xf>
    <xf numFmtId="2" fontId="0" fillId="4" borderId="0" xfId="0" applyNumberFormat="1" applyFill="1" applyProtection="1">
      <protection locked="0"/>
    </xf>
    <xf numFmtId="0" fontId="13" fillId="0" borderId="0" xfId="13" applyFill="1" applyAlignment="1"/>
    <xf numFmtId="11" fontId="5" fillId="7" borderId="27" xfId="4" applyNumberFormat="1" applyBorder="1"/>
    <xf numFmtId="0" fontId="0" fillId="0" borderId="30" xfId="0" applyBorder="1"/>
    <xf numFmtId="0" fontId="0" fillId="0" borderId="30" xfId="0" applyBorder="1" applyProtection="1">
      <protection locked="0"/>
    </xf>
    <xf numFmtId="0" fontId="0" fillId="0" borderId="33" xfId="0" applyBorder="1"/>
    <xf numFmtId="11" fontId="0" fillId="0" borderId="34" xfId="0" applyNumberFormat="1" applyBorder="1" applyProtection="1">
      <protection locked="0"/>
    </xf>
    <xf numFmtId="0" fontId="0" fillId="0" borderId="33" xfId="0" applyBorder="1" applyAlignment="1">
      <alignment horizontal="right"/>
    </xf>
    <xf numFmtId="0" fontId="2" fillId="0" borderId="30" xfId="11" quotePrefix="1" applyFill="1" applyBorder="1" applyProtection="1">
      <protection locked="0"/>
    </xf>
    <xf numFmtId="167" fontId="2" fillId="0" borderId="30" xfId="11" applyNumberFormat="1" applyFill="1" applyBorder="1" applyProtection="1">
      <protection locked="0"/>
    </xf>
    <xf numFmtId="11" fontId="2" fillId="0" borderId="30" xfId="11" applyNumberFormat="1" applyFill="1" applyBorder="1" applyProtection="1">
      <protection locked="0"/>
    </xf>
    <xf numFmtId="11" fontId="2" fillId="0" borderId="30" xfId="16" applyNumberFormat="1" applyFill="1" applyBorder="1" applyProtection="1">
      <protection locked="0"/>
    </xf>
    <xf numFmtId="0" fontId="2" fillId="0" borderId="9" xfId="11" quotePrefix="1" applyFill="1" applyBorder="1" applyProtection="1">
      <protection locked="0"/>
    </xf>
    <xf numFmtId="11" fontId="2" fillId="0" borderId="9" xfId="11" applyNumberFormat="1" applyFill="1" applyBorder="1" applyProtection="1">
      <protection locked="0"/>
    </xf>
    <xf numFmtId="168" fontId="2" fillId="0" borderId="9" xfId="16" quotePrefix="1" applyNumberFormat="1" applyFill="1" applyBorder="1" applyProtection="1">
      <protection locked="0"/>
    </xf>
    <xf numFmtId="11" fontId="2" fillId="0" borderId="9" xfId="16" applyNumberFormat="1" applyFill="1" applyBorder="1" applyProtection="1">
      <protection locked="0"/>
    </xf>
    <xf numFmtId="0" fontId="0" fillId="23" borderId="35" xfId="10" applyFont="1" applyFill="1" applyBorder="1"/>
    <xf numFmtId="11" fontId="0" fillId="23" borderId="36" xfId="10" applyNumberFormat="1" applyFont="1" applyFill="1" applyBorder="1"/>
    <xf numFmtId="0" fontId="0" fillId="23" borderId="36" xfId="10" applyFont="1" applyFill="1" applyBorder="1"/>
    <xf numFmtId="0" fontId="2" fillId="23" borderId="36" xfId="10" applyFont="1" applyFill="1" applyBorder="1"/>
    <xf numFmtId="0" fontId="0" fillId="23" borderId="37" xfId="10" applyFont="1" applyFill="1" applyBorder="1"/>
    <xf numFmtId="0" fontId="2" fillId="0" borderId="38" xfId="17" applyFill="1" applyBorder="1" applyProtection="1">
      <protection locked="0"/>
    </xf>
    <xf numFmtId="2" fontId="0" fillId="0" borderId="39" xfId="0" quotePrefix="1" applyNumberFormat="1" applyBorder="1" applyProtection="1">
      <protection locked="0"/>
    </xf>
    <xf numFmtId="0" fontId="2" fillId="0" borderId="33" xfId="17" applyFill="1" applyBorder="1" applyProtection="1">
      <protection locked="0"/>
    </xf>
    <xf numFmtId="2" fontId="0" fillId="0" borderId="34" xfId="0" applyNumberFormat="1" applyBorder="1" applyProtection="1">
      <protection locked="0"/>
    </xf>
    <xf numFmtId="0" fontId="0" fillId="0" borderId="34" xfId="0" applyBorder="1"/>
    <xf numFmtId="0" fontId="19" fillId="0" borderId="21" xfId="0" applyFont="1" applyBorder="1"/>
    <xf numFmtId="0" fontId="19" fillId="0" borderId="20" xfId="0" applyFont="1" applyBorder="1"/>
    <xf numFmtId="0" fontId="19" fillId="0" borderId="0" xfId="20" applyFont="1" applyFill="1" applyBorder="1"/>
    <xf numFmtId="0" fontId="19" fillId="0" borderId="0" xfId="10" applyFont="1" applyFill="1" applyBorder="1"/>
    <xf numFmtId="0" fontId="19" fillId="0" borderId="22" xfId="0" applyFont="1" applyBorder="1"/>
    <xf numFmtId="0" fontId="19" fillId="0" borderId="23" xfId="0" applyFont="1" applyBorder="1"/>
    <xf numFmtId="0" fontId="19" fillId="0" borderId="23" xfId="19" applyFont="1" applyFill="1" applyBorder="1"/>
    <xf numFmtId="0" fontId="19" fillId="0" borderId="24" xfId="0" applyFont="1" applyBorder="1"/>
    <xf numFmtId="0" fontId="19" fillId="0" borderId="0" xfId="0" applyFont="1"/>
    <xf numFmtId="0" fontId="5" fillId="7" borderId="30" xfId="4" applyBorder="1"/>
    <xf numFmtId="2" fontId="20" fillId="0" borderId="41" xfId="5" applyNumberFormat="1" applyFont="1" applyFill="1" applyBorder="1" applyProtection="1">
      <protection locked="0"/>
    </xf>
    <xf numFmtId="0" fontId="19" fillId="0" borderId="30" xfId="10" applyFont="1" applyFill="1" applyBorder="1"/>
    <xf numFmtId="0" fontId="0" fillId="0" borderId="23" xfId="0" quotePrefix="1" applyBorder="1"/>
    <xf numFmtId="0" fontId="1" fillId="0" borderId="20" xfId="0" applyFont="1" applyBorder="1"/>
    <xf numFmtId="0" fontId="19" fillId="20" borderId="42" xfId="18" applyFont="1" applyBorder="1"/>
    <xf numFmtId="11" fontId="5" fillId="7" borderId="40" xfId="4" applyNumberFormat="1" applyBorder="1" applyProtection="1">
      <protection locked="0"/>
    </xf>
    <xf numFmtId="11" fontId="20" fillId="6" borderId="35" xfId="6" applyNumberFormat="1" applyFont="1" applyFill="1" applyBorder="1" applyProtection="1">
      <protection locked="0"/>
    </xf>
    <xf numFmtId="11" fontId="20" fillId="6" borderId="37" xfId="6" applyNumberFormat="1" applyFont="1" applyFill="1" applyBorder="1" applyProtection="1">
      <protection locked="0"/>
    </xf>
    <xf numFmtId="0" fontId="0" fillId="20" borderId="45" xfId="18" applyFont="1" applyBorder="1"/>
    <xf numFmtId="11" fontId="6" fillId="6" borderId="28" xfId="5" applyNumberFormat="1" applyFill="1" applyBorder="1" applyProtection="1">
      <protection locked="0"/>
    </xf>
    <xf numFmtId="0" fontId="0" fillId="0" borderId="30" xfId="0" applyBorder="1" applyAlignment="1">
      <alignment horizontal="center"/>
    </xf>
    <xf numFmtId="11" fontId="5" fillId="7" borderId="30" xfId="4" applyNumberFormat="1" applyBorder="1"/>
    <xf numFmtId="11" fontId="0" fillId="0" borderId="30" xfId="0" applyNumberFormat="1" applyBorder="1"/>
    <xf numFmtId="0" fontId="0" fillId="0" borderId="7" xfId="0" applyBorder="1" applyAlignment="1">
      <alignment horizontal="center"/>
    </xf>
    <xf numFmtId="0" fontId="5" fillId="7" borderId="27" xfId="4" applyBorder="1"/>
    <xf numFmtId="0" fontId="5" fillId="20" borderId="47" xfId="18" applyFont="1" applyBorder="1"/>
    <xf numFmtId="0" fontId="0" fillId="0" borderId="33" xfId="0" applyBorder="1" applyAlignment="1">
      <alignment horizontal="center"/>
    </xf>
    <xf numFmtId="0" fontId="24" fillId="0" borderId="20" xfId="7" applyFont="1" applyBorder="1" applyAlignment="1">
      <alignment horizontal="center"/>
    </xf>
    <xf numFmtId="0" fontId="24" fillId="0" borderId="20" xfId="7" applyFont="1" applyFill="1" applyBorder="1" applyAlignment="1">
      <alignment horizontal="center"/>
    </xf>
    <xf numFmtId="0" fontId="24" fillId="0" borderId="0" xfId="7" applyFont="1" applyFill="1" applyBorder="1" applyAlignment="1">
      <alignment horizontal="center"/>
    </xf>
    <xf numFmtId="0" fontId="24" fillId="0" borderId="0" xfId="7" applyFont="1" applyBorder="1" applyAlignment="1">
      <alignment horizontal="center"/>
    </xf>
    <xf numFmtId="2" fontId="24" fillId="3" borderId="21" xfId="7" applyNumberFormat="1" applyFont="1" applyFill="1" applyBorder="1" applyAlignment="1">
      <alignment horizontal="center"/>
    </xf>
    <xf numFmtId="2" fontId="24" fillId="3" borderId="0" xfId="7" applyNumberFormat="1" applyFont="1" applyFill="1" applyBorder="1"/>
    <xf numFmtId="2" fontId="24" fillId="3" borderId="0" xfId="7" applyNumberFormat="1" applyFont="1" applyFill="1" applyBorder="1" applyAlignment="1"/>
    <xf numFmtId="0" fontId="24" fillId="3" borderId="0" xfId="7" applyFont="1" applyFill="1" applyBorder="1"/>
    <xf numFmtId="0" fontId="25" fillId="0" borderId="30" xfId="0" applyFont="1" applyBorder="1" applyAlignment="1">
      <alignment horizontal="center"/>
    </xf>
    <xf numFmtId="2" fontId="26" fillId="6" borderId="34" xfId="0" applyNumberFormat="1" applyFont="1" applyFill="1" applyBorder="1"/>
    <xf numFmtId="0" fontId="22" fillId="0" borderId="30" xfId="0" applyFont="1" applyBorder="1" applyAlignment="1">
      <alignment horizontal="center"/>
    </xf>
    <xf numFmtId="0" fontId="1" fillId="28" borderId="35" xfId="26" applyBorder="1"/>
    <xf numFmtId="0" fontId="1" fillId="28" borderId="36" xfId="26" applyBorder="1"/>
    <xf numFmtId="0" fontId="1" fillId="28" borderId="37" xfId="26" applyBorder="1"/>
    <xf numFmtId="0" fontId="2" fillId="13" borderId="9" xfId="12" applyBorder="1"/>
    <xf numFmtId="0" fontId="2" fillId="13" borderId="9" xfId="12" applyBorder="1" applyProtection="1">
      <protection locked="0"/>
    </xf>
    <xf numFmtId="11" fontId="2" fillId="13" borderId="9" xfId="12" applyNumberFormat="1" applyBorder="1" applyProtection="1">
      <protection locked="0"/>
    </xf>
    <xf numFmtId="0" fontId="2" fillId="13" borderId="39" xfId="12" applyBorder="1" applyProtection="1">
      <protection locked="0"/>
    </xf>
    <xf numFmtId="0" fontId="2" fillId="13" borderId="30" xfId="12" applyBorder="1"/>
    <xf numFmtId="0" fontId="2" fillId="13" borderId="30" xfId="12" applyBorder="1" applyProtection="1">
      <protection locked="0"/>
    </xf>
    <xf numFmtId="11" fontId="2" fillId="13" borderId="30" xfId="12" applyNumberFormat="1" applyBorder="1" applyProtection="1">
      <protection locked="0"/>
    </xf>
    <xf numFmtId="0" fontId="2" fillId="13" borderId="34" xfId="12" applyBorder="1" applyProtection="1">
      <protection locked="0"/>
    </xf>
    <xf numFmtId="0" fontId="2" fillId="25" borderId="38" xfId="23" applyBorder="1" applyProtection="1">
      <protection locked="0"/>
    </xf>
    <xf numFmtId="0" fontId="2" fillId="25" borderId="33" xfId="23" applyBorder="1" applyProtection="1">
      <protection locked="0"/>
    </xf>
    <xf numFmtId="0" fontId="2" fillId="27" borderId="21" xfId="25" applyBorder="1" applyProtection="1">
      <protection locked="0"/>
    </xf>
    <xf numFmtId="0" fontId="4" fillId="0" borderId="30" xfId="21" applyFill="1" applyBorder="1"/>
    <xf numFmtId="2" fontId="5" fillId="7" borderId="30" xfId="4" applyNumberFormat="1" applyBorder="1" applyAlignment="1">
      <alignment vertical="top"/>
    </xf>
    <xf numFmtId="0" fontId="0" fillId="20" borderId="26" xfId="18" applyFont="1" applyProtection="1">
      <protection locked="0"/>
    </xf>
    <xf numFmtId="11" fontId="0" fillId="20" borderId="26" xfId="18" applyNumberFormat="1" applyFont="1" applyProtection="1">
      <protection locked="0"/>
    </xf>
    <xf numFmtId="0" fontId="19" fillId="20" borderId="26" xfId="18" applyFont="1"/>
    <xf numFmtId="2" fontId="20" fillId="20" borderId="26" xfId="18" applyNumberFormat="1" applyFont="1" applyProtection="1">
      <protection locked="0"/>
    </xf>
    <xf numFmtId="0" fontId="20" fillId="20" borderId="26" xfId="18" applyFont="1" applyProtection="1">
      <protection locked="0"/>
    </xf>
    <xf numFmtId="11" fontId="0" fillId="20" borderId="26" xfId="18" applyNumberFormat="1" applyFont="1"/>
    <xf numFmtId="2" fontId="0" fillId="20" borderId="26" xfId="18" applyNumberFormat="1" applyFont="1" applyProtection="1">
      <protection locked="0"/>
    </xf>
    <xf numFmtId="0" fontId="2" fillId="27" borderId="0" xfId="25" applyBorder="1" applyProtection="1">
      <protection locked="0"/>
    </xf>
    <xf numFmtId="0" fontId="0" fillId="20" borderId="26" xfId="18" applyFont="1"/>
    <xf numFmtId="2" fontId="5" fillId="7" borderId="11" xfId="4" applyNumberFormat="1"/>
    <xf numFmtId="0" fontId="5" fillId="20" borderId="30" xfId="18" applyFont="1" applyBorder="1"/>
    <xf numFmtId="11" fontId="1" fillId="9" borderId="0" xfId="8" applyNumberFormat="1"/>
    <xf numFmtId="2" fontId="8" fillId="5" borderId="0" xfId="7" applyNumberFormat="1" applyFill="1"/>
    <xf numFmtId="0" fontId="8" fillId="5" borderId="0" xfId="7" applyFill="1"/>
    <xf numFmtId="0" fontId="1" fillId="31" borderId="0" xfId="24" applyFill="1"/>
    <xf numFmtId="0" fontId="18" fillId="30" borderId="48" xfId="22" applyFill="1" applyBorder="1"/>
    <xf numFmtId="167" fontId="0" fillId="0" borderId="0" xfId="0" applyNumberFormat="1"/>
    <xf numFmtId="0" fontId="5" fillId="7" borderId="49" xfId="4" applyBorder="1"/>
    <xf numFmtId="0" fontId="27" fillId="31" borderId="0" xfId="24" applyFont="1" applyFill="1"/>
    <xf numFmtId="169" fontId="5" fillId="7" borderId="11" xfId="27" applyNumberFormat="1" applyFont="1" applyFill="1" applyBorder="1"/>
    <xf numFmtId="10" fontId="8" fillId="5" borderId="0" xfId="27" applyNumberFormat="1" applyFont="1" applyFill="1"/>
    <xf numFmtId="0" fontId="0" fillId="0" borderId="20" xfId="0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23" xfId="0" applyBorder="1" applyAlignment="1">
      <alignment vertical="center"/>
    </xf>
    <xf numFmtId="169" fontId="5" fillId="0" borderId="0" xfId="27" applyNumberFormat="1" applyFont="1" applyFill="1" applyBorder="1"/>
    <xf numFmtId="0" fontId="0" fillId="0" borderId="0" xfId="0" applyAlignment="1">
      <alignment vertical="center"/>
    </xf>
    <xf numFmtId="2" fontId="6" fillId="8" borderId="12" xfId="5" applyNumberFormat="1"/>
    <xf numFmtId="0" fontId="6" fillId="8" borderId="12" xfId="5"/>
    <xf numFmtId="0" fontId="5" fillId="7" borderId="34" xfId="4" applyBorder="1"/>
    <xf numFmtId="0" fontId="0" fillId="0" borderId="54" xfId="0" applyBorder="1"/>
    <xf numFmtId="0" fontId="0" fillId="0" borderId="39" xfId="0" applyBorder="1"/>
    <xf numFmtId="0" fontId="0" fillId="0" borderId="51" xfId="0" applyBorder="1"/>
    <xf numFmtId="0" fontId="0" fillId="0" borderId="50" xfId="0" applyBorder="1"/>
    <xf numFmtId="0" fontId="30" fillId="0" borderId="0" xfId="0" applyFont="1"/>
    <xf numFmtId="11" fontId="2" fillId="0" borderId="0" xfId="4" applyNumberFormat="1" applyFont="1" applyFill="1" applyBorder="1"/>
    <xf numFmtId="2" fontId="2" fillId="0" borderId="0" xfId="18" applyNumberFormat="1" applyFont="1" applyFill="1" applyBorder="1"/>
    <xf numFmtId="2" fontId="2" fillId="0" borderId="0" xfId="5" applyNumberFormat="1" applyFont="1" applyFill="1" applyBorder="1"/>
    <xf numFmtId="11" fontId="2" fillId="0" borderId="0" xfId="5" applyNumberFormat="1" applyFont="1" applyFill="1" applyBorder="1"/>
    <xf numFmtId="9" fontId="0" fillId="0" borderId="0" xfId="27" applyFont="1" applyFill="1" applyBorder="1"/>
    <xf numFmtId="11" fontId="2" fillId="0" borderId="8" xfId="4" applyNumberFormat="1" applyFont="1" applyFill="1" applyBorder="1"/>
    <xf numFmtId="11" fontId="2" fillId="0" borderId="30" xfId="5" applyNumberFormat="1" applyFont="1" applyFill="1" applyBorder="1"/>
    <xf numFmtId="2" fontId="2" fillId="0" borderId="30" xfId="5" applyNumberFormat="1" applyFont="1" applyFill="1" applyBorder="1"/>
    <xf numFmtId="2" fontId="2" fillId="0" borderId="5" xfId="5" applyNumberFormat="1" applyFont="1" applyFill="1" applyBorder="1"/>
    <xf numFmtId="11" fontId="2" fillId="0" borderId="7" xfId="4" applyNumberFormat="1" applyFont="1" applyFill="1" applyBorder="1"/>
    <xf numFmtId="11" fontId="2" fillId="0" borderId="7" xfId="5" applyNumberFormat="1" applyFont="1" applyFill="1" applyBorder="1"/>
    <xf numFmtId="2" fontId="2" fillId="0" borderId="7" xfId="5" applyNumberFormat="1" applyFont="1" applyFill="1" applyBorder="1"/>
    <xf numFmtId="11" fontId="2" fillId="0" borderId="13" xfId="4" applyNumberFormat="1" applyFont="1" applyFill="1" applyBorder="1"/>
    <xf numFmtId="9" fontId="0" fillId="0" borderId="30" xfId="27" applyFont="1" applyFill="1" applyBorder="1"/>
    <xf numFmtId="9" fontId="0" fillId="0" borderId="7" xfId="27" applyFont="1" applyFill="1" applyBorder="1"/>
    <xf numFmtId="0" fontId="0" fillId="0" borderId="30" xfId="0" applyBorder="1" applyAlignment="1">
      <alignment vertical="center"/>
    </xf>
    <xf numFmtId="0" fontId="21" fillId="0" borderId="16" xfId="0" applyFont="1" applyBorder="1"/>
    <xf numFmtId="2" fontId="2" fillId="0" borderId="55" xfId="18" applyNumberFormat="1" applyFont="1" applyFill="1" applyBorder="1"/>
    <xf numFmtId="9" fontId="0" fillId="0" borderId="56" xfId="27" applyFont="1" applyFill="1" applyBorder="1"/>
    <xf numFmtId="9" fontId="0" fillId="0" borderId="9" xfId="27" applyFont="1" applyFill="1" applyBorder="1"/>
    <xf numFmtId="9" fontId="0" fillId="0" borderId="39" xfId="27" applyFont="1" applyFill="1" applyBorder="1"/>
    <xf numFmtId="12" fontId="5" fillId="7" borderId="34" xfId="4" applyNumberFormat="1" applyBorder="1"/>
    <xf numFmtId="0" fontId="5" fillId="7" borderId="53" xfId="4" applyBorder="1"/>
    <xf numFmtId="0" fontId="0" fillId="4" borderId="34" xfId="18" applyFont="1" applyFill="1" applyBorder="1"/>
    <xf numFmtId="0" fontId="0" fillId="4" borderId="33" xfId="18" applyFont="1" applyFill="1" applyBorder="1"/>
    <xf numFmtId="0" fontId="0" fillId="4" borderId="51" xfId="18" applyFont="1" applyFill="1" applyBorder="1"/>
    <xf numFmtId="0" fontId="0" fillId="4" borderId="53" xfId="18" applyFont="1" applyFill="1" applyBorder="1"/>
    <xf numFmtId="11" fontId="6" fillId="8" borderId="60" xfId="5" applyNumberFormat="1" applyBorder="1"/>
    <xf numFmtId="0" fontId="5" fillId="7" borderId="61" xfId="4" applyBorder="1"/>
    <xf numFmtId="11" fontId="2" fillId="5" borderId="7" xfId="4" applyNumberFormat="1" applyFont="1" applyFill="1" applyBorder="1"/>
    <xf numFmtId="11" fontId="2" fillId="5" borderId="30" xfId="4" applyNumberFormat="1" applyFont="1" applyFill="1" applyBorder="1"/>
    <xf numFmtId="2" fontId="0" fillId="6" borderId="7" xfId="0" applyNumberFormat="1" applyFill="1" applyBorder="1"/>
    <xf numFmtId="2" fontId="0" fillId="6" borderId="30" xfId="0" applyNumberFormat="1" applyFill="1" applyBorder="1"/>
    <xf numFmtId="2" fontId="2" fillId="35" borderId="7" xfId="5" applyNumberFormat="1" applyFont="1" applyFill="1" applyBorder="1"/>
    <xf numFmtId="0" fontId="0" fillId="0" borderId="62" xfId="0" applyBorder="1"/>
    <xf numFmtId="0" fontId="0" fillId="0" borderId="63" xfId="0" applyBorder="1"/>
    <xf numFmtId="0" fontId="5" fillId="5" borderId="30" xfId="4" applyFill="1" applyBorder="1"/>
    <xf numFmtId="0" fontId="0" fillId="5" borderId="30" xfId="0" applyFill="1" applyBorder="1"/>
    <xf numFmtId="11" fontId="0" fillId="5" borderId="30" xfId="0" applyNumberFormat="1" applyFill="1" applyBorder="1"/>
    <xf numFmtId="2" fontId="0" fillId="5" borderId="30" xfId="0" applyNumberFormat="1" applyFill="1" applyBorder="1"/>
    <xf numFmtId="0" fontId="6" fillId="20" borderId="26" xfId="18" applyFont="1"/>
    <xf numFmtId="0" fontId="5" fillId="7" borderId="7" xfId="4" applyBorder="1"/>
    <xf numFmtId="0" fontId="5" fillId="7" borderId="71" xfId="4" applyBorder="1"/>
    <xf numFmtId="11" fontId="5" fillId="7" borderId="71" xfId="4" applyNumberFormat="1" applyBorder="1"/>
    <xf numFmtId="0" fontId="7" fillId="20" borderId="72" xfId="18" applyFont="1" applyBorder="1"/>
    <xf numFmtId="0" fontId="0" fillId="0" borderId="68" xfId="0" applyBorder="1"/>
    <xf numFmtId="0" fontId="0" fillId="0" borderId="69" xfId="0" applyBorder="1"/>
    <xf numFmtId="0" fontId="0" fillId="0" borderId="68" xfId="0" applyBorder="1" applyAlignment="1">
      <alignment horizontal="center"/>
    </xf>
    <xf numFmtId="0" fontId="0" fillId="0" borderId="70" xfId="0" applyBorder="1"/>
    <xf numFmtId="0" fontId="0" fillId="0" borderId="71" xfId="0" applyBorder="1" applyAlignment="1">
      <alignment vertical="center"/>
    </xf>
    <xf numFmtId="0" fontId="5" fillId="5" borderId="71" xfId="4" applyFill="1" applyBorder="1"/>
    <xf numFmtId="0" fontId="0" fillId="5" borderId="71" xfId="0" applyFill="1" applyBorder="1"/>
    <xf numFmtId="11" fontId="0" fillId="5" borderId="71" xfId="0" applyNumberFormat="1" applyFill="1" applyBorder="1"/>
    <xf numFmtId="2" fontId="0" fillId="5" borderId="71" xfId="0" applyNumberFormat="1" applyFill="1" applyBorder="1"/>
    <xf numFmtId="0" fontId="0" fillId="0" borderId="71" xfId="0" applyBorder="1"/>
    <xf numFmtId="0" fontId="21" fillId="0" borderId="77" xfId="0" applyFont="1" applyBorder="1"/>
    <xf numFmtId="0" fontId="21" fillId="0" borderId="69" xfId="0" applyFont="1" applyBorder="1" applyAlignment="1">
      <alignment horizontal="center"/>
    </xf>
    <xf numFmtId="11" fontId="21" fillId="0" borderId="69" xfId="0" applyNumberFormat="1" applyFont="1" applyBorder="1"/>
    <xf numFmtId="9" fontId="0" fillId="0" borderId="69" xfId="27" applyFont="1" applyFill="1" applyBorder="1"/>
    <xf numFmtId="11" fontId="0" fillId="0" borderId="69" xfId="0" applyNumberFormat="1" applyBorder="1"/>
    <xf numFmtId="2" fontId="2" fillId="0" borderId="69" xfId="5" applyNumberFormat="1" applyFont="1" applyFill="1" applyBorder="1"/>
    <xf numFmtId="2" fontId="0" fillId="0" borderId="69" xfId="0" applyNumberFormat="1" applyBorder="1"/>
    <xf numFmtId="0" fontId="0" fillId="0" borderId="78" xfId="0" applyBorder="1"/>
    <xf numFmtId="2" fontId="0" fillId="6" borderId="83" xfId="0" applyNumberFormat="1" applyFill="1" applyBorder="1"/>
    <xf numFmtId="2" fontId="0" fillId="6" borderId="84" xfId="0" applyNumberFormat="1" applyFill="1" applyBorder="1"/>
    <xf numFmtId="2" fontId="0" fillId="0" borderId="85" xfId="0" applyNumberFormat="1" applyBorder="1"/>
    <xf numFmtId="0" fontId="0" fillId="0" borderId="86" xfId="0" applyBorder="1"/>
    <xf numFmtId="0" fontId="5" fillId="7" borderId="89" xfId="4" applyBorder="1"/>
    <xf numFmtId="0" fontId="5" fillId="7" borderId="90" xfId="4" applyBorder="1"/>
    <xf numFmtId="0" fontId="5" fillId="7" borderId="93" xfId="4" applyBorder="1"/>
    <xf numFmtId="0" fontId="0" fillId="0" borderId="96" xfId="0" applyBorder="1"/>
    <xf numFmtId="0" fontId="5" fillId="7" borderId="97" xfId="4" applyBorder="1"/>
    <xf numFmtId="2" fontId="2" fillId="0" borderId="98" xfId="5" applyNumberFormat="1" applyFont="1" applyFill="1" applyBorder="1"/>
    <xf numFmtId="2" fontId="0" fillId="6" borderId="98" xfId="0" applyNumberFormat="1" applyFill="1" applyBorder="1"/>
    <xf numFmtId="11" fontId="5" fillId="7" borderId="97" xfId="4" applyNumberFormat="1" applyBorder="1"/>
    <xf numFmtId="0" fontId="5" fillId="7" borderId="105" xfId="4" applyBorder="1"/>
    <xf numFmtId="2" fontId="2" fillId="0" borderId="7" xfId="18" applyNumberFormat="1" applyFont="1" applyFill="1" applyBorder="1"/>
    <xf numFmtId="167" fontId="0" fillId="0" borderId="69" xfId="0" applyNumberFormat="1" applyBorder="1"/>
    <xf numFmtId="171" fontId="2" fillId="0" borderId="7" xfId="18" applyNumberFormat="1" applyFont="1" applyFill="1" applyBorder="1"/>
    <xf numFmtId="171" fontId="2" fillId="0" borderId="30" xfId="18" applyNumberFormat="1" applyFont="1" applyFill="1" applyBorder="1"/>
    <xf numFmtId="171" fontId="0" fillId="0" borderId="0" xfId="0" applyNumberFormat="1"/>
    <xf numFmtId="2" fontId="21" fillId="0" borderId="69" xfId="0" applyNumberFormat="1" applyFont="1" applyBorder="1"/>
    <xf numFmtId="10" fontId="5" fillId="7" borderId="103" xfId="27" applyNumberFormat="1" applyFont="1" applyFill="1" applyBorder="1"/>
    <xf numFmtId="170" fontId="2" fillId="5" borderId="30" xfId="4" applyNumberFormat="1" applyFont="1" applyFill="1" applyBorder="1"/>
    <xf numFmtId="2" fontId="2" fillId="0" borderId="109" xfId="5" applyNumberFormat="1" applyFont="1" applyFill="1" applyBorder="1"/>
    <xf numFmtId="11" fontId="7" fillId="8" borderId="11" xfId="6" applyNumberFormat="1"/>
    <xf numFmtId="0" fontId="5" fillId="7" borderId="110" xfId="4" applyBorder="1"/>
    <xf numFmtId="0" fontId="0" fillId="30" borderId="21" xfId="0" applyFill="1" applyBorder="1"/>
    <xf numFmtId="0" fontId="0" fillId="30" borderId="20" xfId="0" applyFill="1" applyBorder="1" applyAlignment="1">
      <alignment horizontal="left"/>
    </xf>
    <xf numFmtId="0" fontId="0" fillId="30" borderId="20" xfId="0" applyFill="1" applyBorder="1"/>
    <xf numFmtId="0" fontId="0" fillId="30" borderId="20" xfId="0" applyFill="1" applyBorder="1" applyAlignment="1">
      <alignment horizontal="center"/>
    </xf>
    <xf numFmtId="0" fontId="0" fillId="30" borderId="33" xfId="0" applyFill="1" applyBorder="1" applyAlignment="1">
      <alignment horizontal="center"/>
    </xf>
    <xf numFmtId="2" fontId="33" fillId="30" borderId="30" xfId="0" applyNumberFormat="1" applyFont="1" applyFill="1" applyBorder="1" applyAlignment="1">
      <alignment horizontal="center"/>
    </xf>
    <xf numFmtId="0" fontId="33" fillId="30" borderId="30" xfId="0" applyFont="1" applyFill="1" applyBorder="1" applyAlignment="1">
      <alignment horizontal="center"/>
    </xf>
    <xf numFmtId="0" fontId="33" fillId="30" borderId="34" xfId="0" applyFont="1" applyFill="1" applyBorder="1" applyAlignment="1">
      <alignment horizontal="center"/>
    </xf>
    <xf numFmtId="0" fontId="0" fillId="30" borderId="30" xfId="0" applyFill="1" applyBorder="1" applyAlignment="1">
      <alignment horizontal="center"/>
    </xf>
    <xf numFmtId="0" fontId="0" fillId="38" borderId="0" xfId="0" applyFill="1" applyAlignment="1">
      <alignment horizontal="center"/>
    </xf>
    <xf numFmtId="2" fontId="0" fillId="38" borderId="0" xfId="0" applyNumberFormat="1" applyFill="1" applyAlignment="1">
      <alignment horizontal="center"/>
    </xf>
    <xf numFmtId="0" fontId="0" fillId="38" borderId="0" xfId="0" applyFill="1"/>
    <xf numFmtId="2" fontId="0" fillId="38" borderId="0" xfId="0" applyNumberFormat="1" applyFill="1"/>
    <xf numFmtId="11" fontId="0" fillId="38" borderId="0" xfId="0" applyNumberFormat="1" applyFill="1"/>
    <xf numFmtId="172" fontId="0" fillId="38" borderId="0" xfId="0" applyNumberFormat="1" applyFill="1"/>
    <xf numFmtId="0" fontId="34" fillId="30" borderId="20" xfId="0" applyFont="1" applyFill="1" applyBorder="1" applyAlignment="1">
      <alignment horizontal="center"/>
    </xf>
    <xf numFmtId="0" fontId="2" fillId="0" borderId="23" xfId="6" applyFont="1" applyFill="1" applyBorder="1" applyProtection="1">
      <protection locked="0"/>
    </xf>
    <xf numFmtId="43" fontId="2" fillId="0" borderId="0" xfId="1" applyFont="1" applyFill="1" applyBorder="1" applyProtection="1">
      <protection locked="0"/>
    </xf>
    <xf numFmtId="12" fontId="5" fillId="7" borderId="11" xfId="4" applyNumberFormat="1"/>
    <xf numFmtId="0" fontId="6" fillId="8" borderId="12" xfId="5" applyProtection="1">
      <protection locked="0"/>
    </xf>
    <xf numFmtId="0" fontId="0" fillId="30" borderId="20" xfId="0" applyFill="1" applyBorder="1" applyAlignment="1">
      <alignment horizontal="left" indent="1"/>
    </xf>
    <xf numFmtId="10" fontId="0" fillId="0" borderId="34" xfId="27" applyNumberFormat="1" applyFont="1" applyBorder="1"/>
    <xf numFmtId="0" fontId="0" fillId="32" borderId="0" xfId="0" applyFill="1"/>
    <xf numFmtId="0" fontId="0" fillId="32" borderId="0" xfId="0" applyFill="1" applyAlignment="1">
      <alignment horizontal="center"/>
    </xf>
    <xf numFmtId="0" fontId="0" fillId="35" borderId="30" xfId="0" applyFill="1" applyBorder="1" applyAlignment="1">
      <alignment horizontal="center"/>
    </xf>
    <xf numFmtId="0" fontId="36" fillId="35" borderId="30" xfId="4" applyFont="1" applyFill="1" applyBorder="1" applyAlignment="1">
      <alignment horizontal="center"/>
    </xf>
    <xf numFmtId="11" fontId="36" fillId="35" borderId="30" xfId="4" applyNumberFormat="1" applyFont="1" applyFill="1" applyBorder="1" applyAlignment="1">
      <alignment horizontal="center"/>
    </xf>
    <xf numFmtId="0" fontId="0" fillId="6" borderId="30" xfId="0" applyFill="1" applyBorder="1"/>
    <xf numFmtId="0" fontId="0" fillId="30" borderId="22" xfId="0" applyFill="1" applyBorder="1"/>
    <xf numFmtId="0" fontId="0" fillId="30" borderId="23" xfId="0" applyFill="1" applyBorder="1"/>
    <xf numFmtId="0" fontId="0" fillId="30" borderId="23" xfId="0" applyFill="1" applyBorder="1" applyAlignment="1">
      <alignment horizontal="center"/>
    </xf>
    <xf numFmtId="0" fontId="0" fillId="30" borderId="24" xfId="0" applyFill="1" applyBorder="1"/>
    <xf numFmtId="0" fontId="0" fillId="30" borderId="21" xfId="0" applyFill="1" applyBorder="1" applyAlignment="1">
      <alignment horizontal="center"/>
    </xf>
    <xf numFmtId="11" fontId="36" fillId="35" borderId="30" xfId="0" applyNumberFormat="1" applyFont="1" applyFill="1" applyBorder="1" applyAlignment="1">
      <alignment horizontal="center"/>
    </xf>
    <xf numFmtId="169" fontId="0" fillId="5" borderId="30" xfId="27" applyNumberFormat="1" applyFont="1" applyFill="1" applyBorder="1"/>
    <xf numFmtId="0" fontId="0" fillId="30" borderId="20" xfId="0" applyFill="1" applyBorder="1" applyAlignment="1">
      <alignment horizontal="center" vertical="center"/>
    </xf>
    <xf numFmtId="1" fontId="0" fillId="6" borderId="30" xfId="0" applyNumberFormat="1" applyFill="1" applyBorder="1" applyAlignment="1">
      <alignment horizontal="center" vertical="center"/>
    </xf>
    <xf numFmtId="1" fontId="0" fillId="4" borderId="30" xfId="0" applyNumberFormat="1" applyFill="1" applyBorder="1" applyAlignment="1">
      <alignment horizontal="center" vertical="center"/>
    </xf>
    <xf numFmtId="0" fontId="0" fillId="30" borderId="30" xfId="0" applyFill="1" applyBorder="1" applyAlignment="1">
      <alignment horizontal="left" indent="3"/>
    </xf>
    <xf numFmtId="0" fontId="0" fillId="30" borderId="30" xfId="0" applyFill="1" applyBorder="1"/>
    <xf numFmtId="0" fontId="0" fillId="30" borderId="0" xfId="0" applyFill="1"/>
    <xf numFmtId="0" fontId="0" fillId="30" borderId="0" xfId="0" applyFill="1" applyAlignment="1">
      <alignment horizontal="center"/>
    </xf>
    <xf numFmtId="0" fontId="0" fillId="30" borderId="33" xfId="0" applyFill="1" applyBorder="1" applyAlignment="1">
      <alignment horizontal="left" indent="3"/>
    </xf>
    <xf numFmtId="0" fontId="0" fillId="30" borderId="34" xfId="0" applyFill="1" applyBorder="1"/>
    <xf numFmtId="2" fontId="0" fillId="30" borderId="0" xfId="0" applyNumberFormat="1" applyFill="1" applyAlignment="1">
      <alignment horizontal="center"/>
    </xf>
    <xf numFmtId="0" fontId="0" fillId="30" borderId="0" xfId="0" applyFill="1" applyAlignment="1">
      <alignment horizontal="left"/>
    </xf>
    <xf numFmtId="0" fontId="0" fillId="30" borderId="24" xfId="0" applyFill="1" applyBorder="1" applyAlignment="1">
      <alignment horizontal="center"/>
    </xf>
    <xf numFmtId="0" fontId="0" fillId="30" borderId="0" xfId="18" applyFont="1" applyFill="1" applyBorder="1" applyAlignment="1">
      <alignment horizontal="center"/>
    </xf>
    <xf numFmtId="0" fontId="6" fillId="30" borderId="0" xfId="5" applyFill="1" applyBorder="1" applyAlignment="1">
      <alignment horizontal="center"/>
    </xf>
    <xf numFmtId="11" fontId="0" fillId="30" borderId="0" xfId="18" applyNumberFormat="1" applyFont="1" applyFill="1" applyBorder="1" applyAlignment="1">
      <alignment horizontal="center"/>
    </xf>
    <xf numFmtId="2" fontId="0" fillId="30" borderId="0" xfId="0" applyNumberFormat="1" applyFill="1"/>
    <xf numFmtId="11" fontId="0" fillId="30" borderId="0" xfId="0" applyNumberFormat="1" applyFill="1" applyAlignment="1">
      <alignment horizontal="center"/>
    </xf>
    <xf numFmtId="11" fontId="0" fillId="30" borderId="20" xfId="0" applyNumberFormat="1" applyFill="1" applyBorder="1" applyAlignment="1">
      <alignment horizontal="center"/>
    </xf>
    <xf numFmtId="11" fontId="0" fillId="30" borderId="21" xfId="0" applyNumberFormat="1" applyFill="1" applyBorder="1" applyAlignment="1">
      <alignment horizontal="center"/>
    </xf>
    <xf numFmtId="0" fontId="0" fillId="30" borderId="22" xfId="0" applyFill="1" applyBorder="1" applyAlignment="1">
      <alignment horizontal="center"/>
    </xf>
    <xf numFmtId="2" fontId="0" fillId="30" borderId="23" xfId="0" applyNumberFormat="1" applyFill="1" applyBorder="1" applyAlignment="1">
      <alignment horizontal="center"/>
    </xf>
    <xf numFmtId="172" fontId="0" fillId="38" borderId="0" xfId="0" applyNumberFormat="1" applyFill="1" applyAlignment="1">
      <alignment horizontal="center"/>
    </xf>
    <xf numFmtId="1" fontId="0" fillId="30" borderId="0" xfId="0" applyNumberFormat="1" applyFill="1" applyAlignment="1">
      <alignment horizontal="center"/>
    </xf>
    <xf numFmtId="0" fontId="0" fillId="30" borderId="0" xfId="0" applyFill="1" applyAlignment="1">
      <alignment horizontal="left" indent="1"/>
    </xf>
    <xf numFmtId="10" fontId="0" fillId="30" borderId="0" xfId="27" applyNumberFormat="1" applyFont="1" applyFill="1" applyBorder="1" applyAlignment="1">
      <alignment horizontal="center"/>
    </xf>
    <xf numFmtId="2" fontId="5" fillId="7" borderId="11" xfId="4" applyNumberFormat="1" applyAlignment="1">
      <alignment horizontal="center"/>
    </xf>
    <xf numFmtId="0" fontId="5" fillId="7" borderId="11" xfId="4" applyAlignment="1">
      <alignment horizontal="center"/>
    </xf>
    <xf numFmtId="0" fontId="0" fillId="20" borderId="26" xfId="18" applyFont="1" applyAlignment="1">
      <alignment horizontal="center"/>
    </xf>
    <xf numFmtId="11" fontId="0" fillId="30" borderId="0" xfId="0" applyNumberFormat="1" applyFill="1"/>
    <xf numFmtId="0" fontId="0" fillId="30" borderId="30" xfId="0" applyFill="1" applyBorder="1" applyAlignment="1" applyProtection="1">
      <alignment horizontal="center"/>
      <protection locked="0"/>
    </xf>
    <xf numFmtId="2" fontId="0" fillId="30" borderId="30" xfId="0" applyNumberFormat="1" applyFill="1" applyBorder="1" applyAlignment="1" applyProtection="1">
      <alignment horizontal="center"/>
      <protection locked="0"/>
    </xf>
    <xf numFmtId="0" fontId="21" fillId="30" borderId="35" xfId="0" applyFont="1" applyFill="1" applyBorder="1" applyAlignment="1" applyProtection="1">
      <alignment horizontal="center"/>
      <protection locked="0"/>
    </xf>
    <xf numFmtId="0" fontId="21" fillId="30" borderId="36" xfId="0" applyFont="1" applyFill="1" applyBorder="1" applyAlignment="1" applyProtection="1">
      <alignment horizontal="center"/>
      <protection locked="0"/>
    </xf>
    <xf numFmtId="0" fontId="41" fillId="30" borderId="36" xfId="0" applyFont="1" applyFill="1" applyBorder="1" applyAlignment="1" applyProtection="1">
      <alignment horizontal="center"/>
      <protection locked="0"/>
    </xf>
    <xf numFmtId="0" fontId="21" fillId="30" borderId="37" xfId="0" applyFont="1" applyFill="1" applyBorder="1" applyAlignment="1" applyProtection="1">
      <alignment horizontal="center"/>
      <protection locked="0"/>
    </xf>
    <xf numFmtId="0" fontId="0" fillId="30" borderId="20" xfId="0" applyFill="1" applyBorder="1" applyAlignment="1" applyProtection="1">
      <alignment horizontal="center"/>
      <protection locked="0"/>
    </xf>
    <xf numFmtId="2" fontId="0" fillId="30" borderId="0" xfId="0" applyNumberFormat="1" applyFill="1" applyAlignment="1" applyProtection="1">
      <alignment horizontal="center"/>
      <protection locked="0"/>
    </xf>
    <xf numFmtId="11" fontId="0" fillId="30" borderId="0" xfId="0" applyNumberFormat="1" applyFill="1" applyAlignment="1" applyProtection="1">
      <alignment horizontal="center"/>
      <protection locked="0"/>
    </xf>
    <xf numFmtId="173" fontId="0" fillId="30" borderId="0" xfId="27" applyNumberFormat="1" applyFont="1" applyFill="1" applyBorder="1" applyAlignment="1" applyProtection="1">
      <alignment horizontal="center"/>
      <protection locked="0"/>
    </xf>
    <xf numFmtId="2" fontId="0" fillId="30" borderId="21" xfId="0" applyNumberFormat="1" applyFill="1" applyBorder="1" applyAlignment="1" applyProtection="1">
      <alignment horizontal="center"/>
      <protection locked="0"/>
    </xf>
    <xf numFmtId="0" fontId="0" fillId="30" borderId="22" xfId="0" applyFill="1" applyBorder="1" applyAlignment="1" applyProtection="1">
      <alignment horizontal="center"/>
      <protection locked="0"/>
    </xf>
    <xf numFmtId="2" fontId="0" fillId="30" borderId="23" xfId="0" applyNumberFormat="1" applyFill="1" applyBorder="1" applyAlignment="1" applyProtection="1">
      <alignment horizontal="center"/>
      <protection locked="0"/>
    </xf>
    <xf numFmtId="173" fontId="0" fillId="30" borderId="23" xfId="27" applyNumberFormat="1" applyFont="1" applyFill="1" applyBorder="1" applyAlignment="1" applyProtection="1">
      <alignment horizontal="center"/>
      <protection locked="0"/>
    </xf>
    <xf numFmtId="0" fontId="0" fillId="30" borderId="0" xfId="0" applyFill="1" applyAlignment="1" applyProtection="1">
      <alignment horizontal="center"/>
      <protection locked="0"/>
    </xf>
    <xf numFmtId="0" fontId="0" fillId="30" borderId="21" xfId="0" applyFill="1" applyBorder="1" applyAlignment="1" applyProtection="1">
      <alignment horizontal="center"/>
      <protection locked="0"/>
    </xf>
    <xf numFmtId="0" fontId="0" fillId="30" borderId="0" xfId="0" applyFill="1" applyProtection="1">
      <protection locked="0"/>
    </xf>
    <xf numFmtId="167" fontId="0" fillId="30" borderId="0" xfId="0" applyNumberFormat="1" applyFill="1" applyAlignment="1" applyProtection="1">
      <alignment horizontal="center"/>
      <protection locked="0"/>
    </xf>
    <xf numFmtId="167" fontId="0" fillId="38" borderId="0" xfId="0" applyNumberFormat="1" applyFill="1"/>
    <xf numFmtId="167" fontId="21" fillId="30" borderId="36" xfId="0" applyNumberFormat="1" applyFont="1" applyFill="1" applyBorder="1" applyAlignment="1" applyProtection="1">
      <alignment horizontal="center"/>
      <protection locked="0"/>
    </xf>
    <xf numFmtId="167" fontId="0" fillId="30" borderId="23" xfId="0" applyNumberFormat="1" applyFill="1" applyBorder="1" applyAlignment="1" applyProtection="1">
      <alignment horizontal="center"/>
      <protection locked="0"/>
    </xf>
    <xf numFmtId="11" fontId="6" fillId="6" borderId="12" xfId="5" applyNumberFormat="1" applyFill="1" applyProtection="1">
      <protection locked="0"/>
    </xf>
    <xf numFmtId="11" fontId="0" fillId="0" borderId="23" xfId="0" applyNumberFormat="1" applyBorder="1"/>
    <xf numFmtId="169" fontId="5" fillId="7" borderId="30" xfId="27" applyNumberFormat="1" applyFont="1" applyFill="1" applyBorder="1"/>
    <xf numFmtId="0" fontId="38" fillId="20" borderId="26" xfId="18" applyFont="1" applyAlignment="1">
      <alignment horizontal="center"/>
    </xf>
    <xf numFmtId="0" fontId="36" fillId="20" borderId="26" xfId="18" applyFont="1" applyAlignment="1">
      <alignment horizontal="center"/>
    </xf>
    <xf numFmtId="174" fontId="0" fillId="30" borderId="0" xfId="0" applyNumberFormat="1" applyFill="1"/>
    <xf numFmtId="0" fontId="0" fillId="30" borderId="38" xfId="0" applyFill="1" applyBorder="1" applyAlignment="1">
      <alignment horizontal="left" indent="3"/>
    </xf>
    <xf numFmtId="0" fontId="0" fillId="30" borderId="9" xfId="0" applyFill="1" applyBorder="1" applyAlignment="1">
      <alignment horizontal="left" indent="3"/>
    </xf>
    <xf numFmtId="0" fontId="0" fillId="30" borderId="9" xfId="0" applyFill="1" applyBorder="1" applyAlignment="1">
      <alignment horizontal="center"/>
    </xf>
    <xf numFmtId="0" fontId="0" fillId="30" borderId="9" xfId="0" applyFill="1" applyBorder="1"/>
    <xf numFmtId="0" fontId="0" fillId="30" borderId="39" xfId="0" applyFill="1" applyBorder="1"/>
    <xf numFmtId="0" fontId="0" fillId="32" borderId="0" xfId="0" applyFill="1" applyAlignment="1">
      <alignment horizontal="left" indent="3"/>
    </xf>
    <xf numFmtId="169" fontId="0" fillId="32" borderId="0" xfId="27" applyNumberFormat="1" applyFont="1" applyFill="1" applyBorder="1"/>
    <xf numFmtId="0" fontId="0" fillId="32" borderId="0" xfId="0" applyFill="1" applyAlignment="1">
      <alignment horizontal="center" vertical="center"/>
    </xf>
    <xf numFmtId="2" fontId="0" fillId="32" borderId="0" xfId="0" applyNumberFormat="1" applyFill="1" applyAlignment="1">
      <alignment horizontal="center" vertical="center"/>
    </xf>
    <xf numFmtId="0" fontId="0" fillId="30" borderId="114" xfId="0" applyFill="1" applyBorder="1" applyAlignment="1">
      <alignment horizontal="left" indent="3"/>
    </xf>
    <xf numFmtId="0" fontId="0" fillId="30" borderId="8" xfId="0" applyFill="1" applyBorder="1" applyAlignment="1">
      <alignment horizontal="left" indent="3"/>
    </xf>
    <xf numFmtId="0" fontId="0" fillId="30" borderId="8" xfId="0" applyFill="1" applyBorder="1" applyAlignment="1">
      <alignment horizontal="center"/>
    </xf>
    <xf numFmtId="0" fontId="0" fillId="30" borderId="8" xfId="0" applyFill="1" applyBorder="1"/>
    <xf numFmtId="0" fontId="0" fillId="30" borderId="115" xfId="0" applyFill="1" applyBorder="1"/>
    <xf numFmtId="0" fontId="0" fillId="30" borderId="19" xfId="0" applyFill="1" applyBorder="1" applyAlignment="1">
      <alignment horizontal="left" indent="3"/>
    </xf>
    <xf numFmtId="0" fontId="0" fillId="30" borderId="17" xfId="0" applyFill="1" applyBorder="1" applyAlignment="1">
      <alignment horizontal="left" indent="3"/>
    </xf>
    <xf numFmtId="0" fontId="0" fillId="30" borderId="17" xfId="0" applyFill="1" applyBorder="1" applyAlignment="1">
      <alignment horizontal="center"/>
    </xf>
    <xf numFmtId="0" fontId="0" fillId="30" borderId="17" xfId="0" applyFill="1" applyBorder="1"/>
    <xf numFmtId="0" fontId="0" fillId="30" borderId="113" xfId="0" applyFill="1" applyBorder="1"/>
    <xf numFmtId="0" fontId="0" fillId="30" borderId="0" xfId="0" applyFill="1" applyAlignment="1">
      <alignment wrapText="1"/>
    </xf>
    <xf numFmtId="0" fontId="0" fillId="30" borderId="21" xfId="0" applyFill="1" applyBorder="1" applyAlignment="1">
      <alignment wrapText="1"/>
    </xf>
    <xf numFmtId="0" fontId="0" fillId="30" borderId="0" xfId="0" applyFill="1" applyAlignment="1">
      <alignment horizontal="center" vertical="center"/>
    </xf>
    <xf numFmtId="2" fontId="0" fillId="30" borderId="0" xfId="0" applyNumberFormat="1" applyFill="1" applyAlignment="1">
      <alignment horizontal="center" vertical="center"/>
    </xf>
    <xf numFmtId="0" fontId="0" fillId="6" borderId="0" xfId="0" applyFill="1"/>
    <xf numFmtId="0" fontId="0" fillId="30" borderId="19" xfId="0" applyFill="1" applyBorder="1"/>
    <xf numFmtId="0" fontId="28" fillId="0" borderId="0" xfId="2" applyFont="1" applyFill="1" applyBorder="1" applyAlignment="1"/>
    <xf numFmtId="0" fontId="6" fillId="0" borderId="0" xfId="5" applyFill="1" applyBorder="1" applyProtection="1">
      <protection locked="0"/>
    </xf>
    <xf numFmtId="0" fontId="15" fillId="0" borderId="0" xfId="15" applyFill="1" applyBorder="1" applyProtection="1">
      <protection locked="0"/>
    </xf>
    <xf numFmtId="2" fontId="0" fillId="0" borderId="0" xfId="0" applyNumberFormat="1" applyProtection="1">
      <protection locked="0"/>
    </xf>
    <xf numFmtId="2" fontId="6" fillId="0" borderId="0" xfId="5" applyNumberFormat="1" applyFill="1" applyBorder="1" applyProtection="1">
      <protection locked="0"/>
    </xf>
    <xf numFmtId="0" fontId="2" fillId="0" borderId="0" xfId="12" applyFill="1" applyBorder="1" applyProtection="1">
      <protection locked="0"/>
    </xf>
    <xf numFmtId="2" fontId="5" fillId="0" borderId="0" xfId="4" applyNumberFormat="1" applyFill="1" applyBorder="1" applyProtection="1">
      <protection locked="0"/>
    </xf>
    <xf numFmtId="0" fontId="13" fillId="0" borderId="0" xfId="13" applyFill="1" applyBorder="1"/>
    <xf numFmtId="0" fontId="13" fillId="0" borderId="0" xfId="13" applyFill="1" applyBorder="1" applyAlignment="1"/>
    <xf numFmtId="0" fontId="2" fillId="0" borderId="21" xfId="6" applyFont="1" applyFill="1" applyBorder="1" applyProtection="1">
      <protection locked="0"/>
    </xf>
    <xf numFmtId="0" fontId="12" fillId="0" borderId="21" xfId="6" applyFont="1" applyFill="1" applyBorder="1" applyProtection="1">
      <protection locked="0"/>
    </xf>
    <xf numFmtId="0" fontId="1" fillId="11" borderId="116" xfId="10" applyBorder="1"/>
    <xf numFmtId="0" fontId="1" fillId="9" borderId="117" xfId="8" applyBorder="1"/>
    <xf numFmtId="0" fontId="6" fillId="8" borderId="117" xfId="5" applyBorder="1"/>
    <xf numFmtId="0" fontId="6" fillId="8" borderId="117" xfId="5" applyBorder="1" applyProtection="1">
      <protection locked="0"/>
    </xf>
    <xf numFmtId="0" fontId="6" fillId="8" borderId="118" xfId="5" applyBorder="1" applyProtection="1">
      <protection locked="0"/>
    </xf>
    <xf numFmtId="0" fontId="2" fillId="0" borderId="0" xfId="11" applyFill="1" applyBorder="1"/>
    <xf numFmtId="0" fontId="2" fillId="0" borderId="0" xfId="9" applyFill="1" applyBorder="1"/>
    <xf numFmtId="11" fontId="2" fillId="0" borderId="0" xfId="11" applyNumberFormat="1" applyFill="1" applyBorder="1"/>
    <xf numFmtId="11" fontId="0" fillId="0" borderId="0" xfId="0" applyNumberFormat="1" applyProtection="1">
      <protection locked="0"/>
    </xf>
    <xf numFmtId="164" fontId="0" fillId="0" borderId="0" xfId="0" applyNumberFormat="1"/>
    <xf numFmtId="171" fontId="0" fillId="0" borderId="0" xfId="0" applyNumberFormat="1" applyProtection="1">
      <protection locked="0"/>
    </xf>
    <xf numFmtId="11" fontId="2" fillId="0" borderId="0" xfId="9" applyNumberFormat="1" applyFill="1" applyBorder="1"/>
    <xf numFmtId="2" fontId="2" fillId="0" borderId="0" xfId="1" applyNumberFormat="1" applyFont="1" applyFill="1" applyBorder="1" applyProtection="1">
      <protection locked="0"/>
    </xf>
    <xf numFmtId="43" fontId="0" fillId="0" borderId="0" xfId="1" applyFont="1" applyFill="1" applyBorder="1" applyProtection="1">
      <protection locked="0"/>
    </xf>
    <xf numFmtId="165" fontId="2" fillId="0" borderId="0" xfId="1" applyNumberFormat="1" applyFont="1" applyFill="1" applyBorder="1" applyProtection="1">
      <protection locked="0"/>
    </xf>
    <xf numFmtId="166" fontId="2" fillId="0" borderId="0" xfId="1" applyNumberFormat="1" applyFont="1" applyFill="1" applyBorder="1" applyProtection="1">
      <protection locked="0"/>
    </xf>
    <xf numFmtId="2" fontId="5" fillId="6" borderId="11" xfId="4" applyNumberFormat="1" applyFill="1" applyProtection="1">
      <protection locked="0"/>
    </xf>
    <xf numFmtId="1" fontId="5" fillId="6" borderId="11" xfId="4" applyNumberFormat="1" applyFill="1" applyProtection="1">
      <protection locked="0"/>
    </xf>
    <xf numFmtId="0" fontId="6" fillId="8" borderId="119" xfId="5" applyBorder="1" applyAlignment="1"/>
    <xf numFmtId="2" fontId="0" fillId="3" borderId="120" xfId="1" applyNumberFormat="1" applyFont="1" applyFill="1" applyBorder="1" applyAlignment="1" applyProtection="1">
      <protection locked="0"/>
    </xf>
    <xf numFmtId="0" fontId="0" fillId="5" borderId="0" xfId="0" applyFill="1"/>
    <xf numFmtId="0" fontId="0" fillId="4" borderId="0" xfId="0" applyFill="1"/>
    <xf numFmtId="171" fontId="2" fillId="3" borderId="0" xfId="1" applyNumberFormat="1" applyFont="1" applyFill="1" applyBorder="1" applyProtection="1">
      <protection locked="0"/>
    </xf>
    <xf numFmtId="0" fontId="2" fillId="6" borderId="0" xfId="12" applyFill="1" applyBorder="1" applyProtection="1">
      <protection locked="0"/>
    </xf>
    <xf numFmtId="0" fontId="21" fillId="30" borderId="122" xfId="0" applyFont="1" applyFill="1" applyBorder="1" applyAlignment="1">
      <alignment horizontal="center"/>
    </xf>
    <xf numFmtId="0" fontId="21" fillId="30" borderId="122" xfId="0" applyFont="1" applyFill="1" applyBorder="1"/>
    <xf numFmtId="0" fontId="21" fillId="30" borderId="123" xfId="0" applyFont="1" applyFill="1" applyBorder="1"/>
    <xf numFmtId="0" fontId="21" fillId="30" borderId="0" xfId="0" applyFont="1" applyFill="1" applyAlignment="1">
      <alignment horizontal="center"/>
    </xf>
    <xf numFmtId="0" fontId="0" fillId="30" borderId="0" xfId="0" applyFill="1" applyAlignment="1">
      <alignment horizontal="left" indent="2"/>
    </xf>
    <xf numFmtId="2" fontId="0" fillId="6" borderId="0" xfId="0" applyNumberFormat="1" applyFill="1"/>
    <xf numFmtId="0" fontId="0" fillId="37" borderId="0" xfId="0" applyFill="1"/>
    <xf numFmtId="0" fontId="34" fillId="30" borderId="0" xfId="0" applyFont="1" applyFill="1" applyAlignment="1">
      <alignment horizontal="center"/>
    </xf>
    <xf numFmtId="0" fontId="6" fillId="8" borderId="12" xfId="5" applyAlignment="1">
      <alignment horizontal="center"/>
    </xf>
    <xf numFmtId="11" fontId="5" fillId="7" borderId="11" xfId="4" applyNumberFormat="1" applyAlignment="1">
      <alignment horizontal="center"/>
    </xf>
    <xf numFmtId="10" fontId="5" fillId="7" borderId="11" xfId="4" applyNumberFormat="1" applyAlignment="1">
      <alignment horizontal="center"/>
    </xf>
    <xf numFmtId="2" fontId="0" fillId="4" borderId="26" xfId="18" applyNumberFormat="1" applyFont="1" applyFill="1" applyAlignment="1">
      <alignment horizontal="center"/>
    </xf>
    <xf numFmtId="0" fontId="0" fillId="4" borderId="26" xfId="18" applyFont="1" applyFill="1" applyAlignment="1">
      <alignment horizontal="center"/>
    </xf>
    <xf numFmtId="0" fontId="0" fillId="30" borderId="26" xfId="18" applyFont="1" applyFill="1" applyAlignment="1" applyProtection="1">
      <alignment horizontal="center"/>
      <protection locked="0"/>
    </xf>
    <xf numFmtId="0" fontId="21" fillId="30" borderId="0" xfId="0" applyFont="1" applyFill="1"/>
    <xf numFmtId="2" fontId="5" fillId="3" borderId="11" xfId="4" applyNumberFormat="1" applyFill="1" applyAlignment="1">
      <alignment horizontal="center"/>
    </xf>
    <xf numFmtId="0" fontId="5" fillId="3" borderId="11" xfId="4" applyFill="1" applyAlignment="1">
      <alignment horizontal="center"/>
    </xf>
    <xf numFmtId="0" fontId="5" fillId="35" borderId="11" xfId="4" applyFill="1" applyAlignment="1">
      <alignment horizontal="center"/>
    </xf>
    <xf numFmtId="0" fontId="5" fillId="5" borderId="11" xfId="4" applyFill="1" applyAlignment="1">
      <alignment horizontal="center"/>
    </xf>
    <xf numFmtId="0" fontId="5" fillId="30" borderId="11" xfId="4" applyFill="1" applyAlignment="1">
      <alignment horizontal="center"/>
    </xf>
    <xf numFmtId="0" fontId="5" fillId="30" borderId="11" xfId="4" applyFill="1" applyAlignment="1" applyProtection="1">
      <alignment horizontal="center"/>
      <protection locked="0"/>
    </xf>
    <xf numFmtId="0" fontId="5" fillId="30" borderId="27" xfId="4" applyFill="1" applyBorder="1" applyAlignment="1" applyProtection="1">
      <alignment horizontal="center"/>
      <protection locked="0"/>
    </xf>
    <xf numFmtId="0" fontId="1" fillId="11" borderId="14" xfId="10" applyBorder="1"/>
    <xf numFmtId="0" fontId="1" fillId="11" borderId="16" xfId="10" applyBorder="1"/>
    <xf numFmtId="0" fontId="6" fillId="8" borderId="16" xfId="5" applyBorder="1"/>
    <xf numFmtId="0" fontId="1" fillId="9" borderId="16" xfId="8" applyBorder="1"/>
    <xf numFmtId="0" fontId="6" fillId="8" borderId="16" xfId="5" applyBorder="1" applyProtection="1">
      <protection locked="0"/>
    </xf>
    <xf numFmtId="0" fontId="6" fillId="8" borderId="15" xfId="5" applyBorder="1" applyProtection="1">
      <protection locked="0"/>
    </xf>
    <xf numFmtId="11" fontId="21" fillId="30" borderId="36" xfId="0" applyNumberFormat="1" applyFont="1" applyFill="1" applyBorder="1" applyAlignment="1" applyProtection="1">
      <alignment horizontal="center"/>
      <protection locked="0"/>
    </xf>
    <xf numFmtId="11" fontId="0" fillId="30" borderId="23" xfId="0" applyNumberFormat="1" applyFill="1" applyBorder="1" applyAlignment="1" applyProtection="1">
      <alignment horizontal="center"/>
      <protection locked="0"/>
    </xf>
    <xf numFmtId="0" fontId="42" fillId="32" borderId="0" xfId="2" applyFont="1" applyFill="1" applyBorder="1" applyAlignment="1"/>
    <xf numFmtId="0" fontId="9" fillId="32" borderId="0" xfId="0" applyFont="1" applyFill="1"/>
    <xf numFmtId="11" fontId="0" fillId="32" borderId="0" xfId="0" applyNumberFormat="1" applyFill="1"/>
    <xf numFmtId="0" fontId="43" fillId="30" borderId="20" xfId="0" applyFont="1" applyFill="1" applyBorder="1" applyAlignment="1">
      <alignment horizontal="left" indent="2"/>
    </xf>
    <xf numFmtId="0" fontId="43" fillId="30" borderId="0" xfId="0" applyFont="1" applyFill="1" applyAlignment="1">
      <alignment horizontal="left" indent="2"/>
    </xf>
    <xf numFmtId="0" fontId="43" fillId="30" borderId="0" xfId="6" applyFont="1" applyFill="1" applyBorder="1" applyAlignment="1" applyProtection="1">
      <alignment horizontal="left" indent="2"/>
      <protection locked="0"/>
    </xf>
    <xf numFmtId="0" fontId="43" fillId="30" borderId="20" xfId="7" applyFont="1" applyFill="1" applyBorder="1" applyAlignment="1">
      <alignment horizontal="left" indent="2"/>
    </xf>
    <xf numFmtId="0" fontId="43" fillId="30" borderId="21" xfId="0" applyFont="1" applyFill="1" applyBorder="1" applyAlignment="1">
      <alignment horizontal="left" indent="2"/>
    </xf>
    <xf numFmtId="0" fontId="43" fillId="30" borderId="0" xfId="0" applyFont="1" applyFill="1"/>
    <xf numFmtId="11" fontId="43" fillId="30" borderId="0" xfId="0" applyNumberFormat="1" applyFont="1" applyFill="1" applyAlignment="1">
      <alignment horizontal="left" indent="2"/>
    </xf>
    <xf numFmtId="2" fontId="43" fillId="30" borderId="0" xfId="14" applyNumberFormat="1" applyFont="1" applyFill="1" applyBorder="1" applyAlignment="1">
      <alignment horizontal="left" indent="2"/>
    </xf>
    <xf numFmtId="0" fontId="43" fillId="30" borderId="0" xfId="11" applyFont="1" applyFill="1" applyBorder="1" applyAlignment="1">
      <alignment horizontal="left" indent="2"/>
    </xf>
    <xf numFmtId="11" fontId="43" fillId="30" borderId="0" xfId="11" applyNumberFormat="1" applyFont="1" applyFill="1" applyBorder="1" applyAlignment="1">
      <alignment horizontal="left" indent="2"/>
    </xf>
    <xf numFmtId="0" fontId="43" fillId="30" borderId="0" xfId="0" applyFont="1" applyFill="1" applyAlignment="1" applyProtection="1">
      <alignment horizontal="left" indent="2"/>
      <protection locked="0"/>
    </xf>
    <xf numFmtId="0" fontId="43" fillId="30" borderId="20" xfId="11" applyFont="1" applyFill="1" applyBorder="1" applyAlignment="1">
      <alignment horizontal="left" indent="2"/>
    </xf>
    <xf numFmtId="2" fontId="43" fillId="30" borderId="0" xfId="0" applyNumberFormat="1" applyFont="1" applyFill="1" applyAlignment="1">
      <alignment horizontal="left" indent="2"/>
    </xf>
    <xf numFmtId="0" fontId="43" fillId="30" borderId="0" xfId="0" quotePrefix="1" applyFont="1" applyFill="1" applyAlignment="1">
      <alignment horizontal="left" indent="2"/>
    </xf>
    <xf numFmtId="0" fontId="43" fillId="30" borderId="22" xfId="0" applyFont="1" applyFill="1" applyBorder="1" applyAlignment="1">
      <alignment horizontal="left" indent="2"/>
    </xf>
    <xf numFmtId="0" fontId="43" fillId="30" borderId="23" xfId="0" applyFont="1" applyFill="1" applyBorder="1" applyAlignment="1">
      <alignment horizontal="left" indent="2"/>
    </xf>
    <xf numFmtId="11" fontId="43" fillId="30" borderId="23" xfId="0" applyNumberFormat="1" applyFont="1" applyFill="1" applyBorder="1" applyAlignment="1">
      <alignment horizontal="left" indent="2"/>
    </xf>
    <xf numFmtId="0" fontId="43" fillId="30" borderId="24" xfId="0" applyFont="1" applyFill="1" applyBorder="1" applyAlignment="1">
      <alignment horizontal="left" indent="2"/>
    </xf>
    <xf numFmtId="0" fontId="43" fillId="30" borderId="0" xfId="3" applyFont="1" applyFill="1" applyBorder="1" applyAlignment="1">
      <alignment horizontal="left" indent="2"/>
    </xf>
    <xf numFmtId="11" fontId="43" fillId="30" borderId="0" xfId="3" applyNumberFormat="1" applyFont="1" applyFill="1" applyBorder="1" applyAlignment="1">
      <alignment horizontal="left" indent="2"/>
    </xf>
    <xf numFmtId="0" fontId="44" fillId="30" borderId="20" xfId="3" applyFont="1" applyFill="1" applyBorder="1" applyAlignment="1">
      <alignment horizontal="left" indent="2"/>
    </xf>
    <xf numFmtId="0" fontId="44" fillId="30" borderId="0" xfId="11" applyFont="1" applyFill="1" applyBorder="1" applyAlignment="1">
      <alignment horizontal="left" indent="2"/>
    </xf>
    <xf numFmtId="0" fontId="45" fillId="30" borderId="20" xfId="0" applyFont="1" applyFill="1" applyBorder="1" applyAlignment="1">
      <alignment horizontal="left" indent="2"/>
    </xf>
    <xf numFmtId="0" fontId="44" fillId="30" borderId="20" xfId="7" applyFont="1" applyFill="1" applyBorder="1" applyAlignment="1">
      <alignment horizontal="left" indent="2"/>
    </xf>
    <xf numFmtId="2" fontId="43" fillId="6" borderId="30" xfId="0" applyNumberFormat="1" applyFont="1" applyFill="1" applyBorder="1" applyAlignment="1">
      <alignment horizontal="left" indent="2"/>
    </xf>
    <xf numFmtId="2" fontId="5" fillId="7" borderId="11" xfId="4" applyNumberFormat="1" applyAlignment="1">
      <alignment horizontal="left" indent="2"/>
    </xf>
    <xf numFmtId="1" fontId="5" fillId="7" borderId="11" xfId="4" applyNumberFormat="1" applyAlignment="1">
      <alignment horizontal="left" indent="2"/>
    </xf>
    <xf numFmtId="0" fontId="5" fillId="7" borderId="11" xfId="4" applyAlignment="1" applyProtection="1">
      <alignment horizontal="left" indent="2"/>
      <protection locked="0"/>
    </xf>
    <xf numFmtId="2" fontId="5" fillId="20" borderId="124" xfId="18" applyNumberFormat="1" applyFont="1" applyBorder="1" applyAlignment="1">
      <alignment horizontal="left" indent="2"/>
    </xf>
    <xf numFmtId="2" fontId="5" fillId="0" borderId="0" xfId="18" applyNumberFormat="1" applyFont="1" applyFill="1" applyBorder="1" applyAlignment="1">
      <alignment horizontal="left" indent="2"/>
    </xf>
    <xf numFmtId="2" fontId="0" fillId="30" borderId="0" xfId="27" applyNumberFormat="1" applyFont="1" applyFill="1" applyBorder="1" applyAlignment="1" applyProtection="1">
      <alignment horizontal="center"/>
      <protection locked="0"/>
    </xf>
    <xf numFmtId="172" fontId="0" fillId="30" borderId="0" xfId="27" applyNumberFormat="1" applyFont="1" applyFill="1" applyBorder="1" applyAlignment="1" applyProtection="1">
      <alignment horizontal="center"/>
      <protection locked="0"/>
    </xf>
    <xf numFmtId="10" fontId="43" fillId="30" borderId="0" xfId="0" applyNumberFormat="1" applyFont="1" applyFill="1" applyAlignment="1">
      <alignment horizontal="left" indent="2"/>
    </xf>
    <xf numFmtId="0" fontId="45" fillId="30" borderId="20" xfId="7" applyFont="1" applyFill="1" applyBorder="1" applyAlignment="1">
      <alignment horizontal="left" indent="2"/>
    </xf>
    <xf numFmtId="0" fontId="45" fillId="30" borderId="0" xfId="0" applyFont="1" applyFill="1" applyAlignment="1">
      <alignment horizontal="left" indent="2"/>
    </xf>
    <xf numFmtId="11" fontId="45" fillId="30" borderId="0" xfId="0" applyNumberFormat="1" applyFont="1" applyFill="1" applyAlignment="1">
      <alignment horizontal="left" indent="2"/>
    </xf>
    <xf numFmtId="0" fontId="43" fillId="35" borderId="0" xfId="0" applyFont="1" applyFill="1" applyAlignment="1">
      <alignment horizontal="left" indent="2"/>
    </xf>
    <xf numFmtId="172" fontId="43" fillId="30" borderId="0" xfId="0" applyNumberFormat="1" applyFont="1" applyFill="1" applyAlignment="1">
      <alignment horizontal="left" indent="2"/>
    </xf>
    <xf numFmtId="175" fontId="43" fillId="30" borderId="0" xfId="0" applyNumberFormat="1" applyFont="1" applyFill="1" applyAlignment="1">
      <alignment horizontal="left" indent="2"/>
    </xf>
    <xf numFmtId="175" fontId="5" fillId="7" borderId="11" xfId="4" applyNumberFormat="1" applyAlignment="1">
      <alignment horizontal="left" indent="2"/>
    </xf>
    <xf numFmtId="0" fontId="43" fillId="30" borderId="0" xfId="0" applyFont="1" applyFill="1" applyAlignment="1">
      <alignment horizontal="left" indent="1"/>
    </xf>
    <xf numFmtId="0" fontId="5" fillId="7" borderId="125" xfId="4" applyBorder="1" applyAlignment="1">
      <alignment horizontal="left" indent="2"/>
    </xf>
    <xf numFmtId="0" fontId="5" fillId="7" borderId="125" xfId="4" applyBorder="1"/>
    <xf numFmtId="0" fontId="0" fillId="6" borderId="7" xfId="0" applyFill="1" applyBorder="1"/>
    <xf numFmtId="2" fontId="43" fillId="6" borderId="5" xfId="0" applyNumberFormat="1" applyFont="1" applyFill="1" applyBorder="1" applyAlignment="1">
      <alignment horizontal="left" indent="2"/>
    </xf>
    <xf numFmtId="2" fontId="43" fillId="6" borderId="7" xfId="0" applyNumberFormat="1" applyFont="1" applyFill="1" applyBorder="1" applyAlignment="1">
      <alignment horizontal="left" indent="2"/>
    </xf>
    <xf numFmtId="2" fontId="45" fillId="30" borderId="0" xfId="0" applyNumberFormat="1" applyFont="1" applyFill="1" applyAlignment="1">
      <alignment horizontal="left" indent="2"/>
    </xf>
    <xf numFmtId="0" fontId="8" fillId="30" borderId="0" xfId="7" applyFill="1" applyAlignment="1">
      <alignment horizontal="left" indent="2"/>
    </xf>
    <xf numFmtId="0" fontId="35" fillId="30" borderId="0" xfId="0" applyFont="1" applyFill="1" applyAlignment="1">
      <alignment horizontal="center"/>
    </xf>
    <xf numFmtId="0" fontId="33" fillId="30" borderId="20" xfId="0" applyFont="1" applyFill="1" applyBorder="1" applyAlignment="1">
      <alignment horizontal="left" indent="1"/>
    </xf>
    <xf numFmtId="0" fontId="33" fillId="30" borderId="0" xfId="0" applyFont="1" applyFill="1" applyAlignment="1">
      <alignment horizontal="left" indent="1"/>
    </xf>
    <xf numFmtId="0" fontId="29" fillId="29" borderId="14" xfId="0" applyFont="1" applyFill="1" applyBorder="1" applyAlignment="1">
      <alignment horizontal="center"/>
    </xf>
    <xf numFmtId="0" fontId="29" fillId="29" borderId="16" xfId="0" applyFont="1" applyFill="1" applyBorder="1" applyAlignment="1">
      <alignment horizontal="center"/>
    </xf>
    <xf numFmtId="0" fontId="29" fillId="29" borderId="15" xfId="0" applyFont="1" applyFill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24" borderId="30" xfId="0" applyFill="1" applyBorder="1" applyAlignment="1">
      <alignment horizontal="center"/>
    </xf>
    <xf numFmtId="0" fontId="0" fillId="24" borderId="34" xfId="0" applyFill="1" applyBorder="1" applyAlignment="1">
      <alignment horizontal="center"/>
    </xf>
    <xf numFmtId="0" fontId="0" fillId="2" borderId="2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21" xfId="0" applyFill="1" applyBorder="1" applyAlignment="1">
      <alignment horizontal="center" vertical="center"/>
    </xf>
    <xf numFmtId="0" fontId="0" fillId="2" borderId="22" xfId="0" applyFill="1" applyBorder="1" applyAlignment="1">
      <alignment horizontal="center" vertical="center"/>
    </xf>
    <xf numFmtId="0" fontId="0" fillId="2" borderId="23" xfId="0" applyFill="1" applyBorder="1" applyAlignment="1">
      <alignment horizontal="center" vertical="center"/>
    </xf>
    <xf numFmtId="0" fontId="0" fillId="2" borderId="24" xfId="0" applyFill="1" applyBorder="1" applyAlignment="1">
      <alignment horizontal="center" vertical="center"/>
    </xf>
    <xf numFmtId="0" fontId="0" fillId="29" borderId="9" xfId="0" applyFill="1" applyBorder="1" applyAlignment="1">
      <alignment horizontal="center"/>
    </xf>
    <xf numFmtId="0" fontId="0" fillId="29" borderId="39" xfId="0" applyFill="1" applyBorder="1" applyAlignment="1">
      <alignment horizontal="center"/>
    </xf>
    <xf numFmtId="0" fontId="0" fillId="29" borderId="30" xfId="0" applyFill="1" applyBorder="1" applyAlignment="1">
      <alignment horizontal="center"/>
    </xf>
    <xf numFmtId="0" fontId="0" fillId="29" borderId="34" xfId="0" applyFill="1" applyBorder="1" applyAlignment="1">
      <alignment horizontal="center"/>
    </xf>
    <xf numFmtId="0" fontId="0" fillId="29" borderId="33" xfId="0" applyFill="1" applyBorder="1" applyAlignment="1">
      <alignment horizontal="center"/>
    </xf>
    <xf numFmtId="0" fontId="0" fillId="29" borderId="7" xfId="0" applyFill="1" applyBorder="1" applyAlignment="1">
      <alignment horizontal="center"/>
    </xf>
    <xf numFmtId="0" fontId="0" fillId="29" borderId="20" xfId="0" applyFill="1" applyBorder="1" applyAlignment="1">
      <alignment horizontal="center"/>
    </xf>
    <xf numFmtId="0" fontId="0" fillId="29" borderId="0" xfId="0" applyFill="1" applyAlignment="1">
      <alignment horizontal="center"/>
    </xf>
    <xf numFmtId="0" fontId="0" fillId="29" borderId="38" xfId="0" applyFill="1" applyBorder="1" applyAlignment="1">
      <alignment horizontal="center"/>
    </xf>
    <xf numFmtId="0" fontId="16" fillId="4" borderId="0" xfId="0" applyFont="1" applyFill="1" applyAlignment="1">
      <alignment horizontal="center"/>
    </xf>
    <xf numFmtId="0" fontId="9" fillId="0" borderId="0" xfId="0" applyFont="1" applyAlignment="1">
      <alignment horizontal="center"/>
    </xf>
    <xf numFmtId="0" fontId="10" fillId="5" borderId="0" xfId="7" applyFont="1" applyFill="1" applyBorder="1" applyAlignment="1">
      <alignment horizontal="center"/>
    </xf>
    <xf numFmtId="0" fontId="4" fillId="0" borderId="0" xfId="3" applyBorder="1" applyAlignment="1">
      <alignment horizontal="center"/>
    </xf>
    <xf numFmtId="0" fontId="9" fillId="0" borderId="0" xfId="7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0" xfId="0" applyAlignment="1">
      <alignment horizontal="center"/>
    </xf>
    <xf numFmtId="0" fontId="4" fillId="0" borderId="20" xfId="3" applyBorder="1" applyAlignment="1">
      <alignment horizontal="center"/>
    </xf>
    <xf numFmtId="0" fontId="0" fillId="4" borderId="20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3" xfId="0" applyFill="1" applyBorder="1" applyAlignment="1">
      <alignment horizontal="center" vertical="center"/>
    </xf>
    <xf numFmtId="0" fontId="0" fillId="4" borderId="21" xfId="0" applyFill="1" applyBorder="1" applyAlignment="1">
      <alignment horizontal="center" vertical="center"/>
    </xf>
    <xf numFmtId="0" fontId="0" fillId="4" borderId="24" xfId="0" applyFill="1" applyBorder="1" applyAlignment="1">
      <alignment horizontal="center" vertical="center"/>
    </xf>
    <xf numFmtId="0" fontId="0" fillId="19" borderId="20" xfId="0" applyFill="1" applyBorder="1" applyAlignment="1">
      <alignment horizontal="center"/>
    </xf>
    <xf numFmtId="0" fontId="0" fillId="19" borderId="0" xfId="0" applyFill="1" applyAlignment="1">
      <alignment horizontal="center"/>
    </xf>
    <xf numFmtId="0" fontId="28" fillId="32" borderId="14" xfId="2" applyFont="1" applyFill="1" applyBorder="1" applyAlignment="1">
      <alignment horizontal="center"/>
    </xf>
    <xf numFmtId="0" fontId="28" fillId="32" borderId="16" xfId="2" applyFont="1" applyFill="1" applyBorder="1" applyAlignment="1">
      <alignment horizontal="center"/>
    </xf>
    <xf numFmtId="0" fontId="28" fillId="32" borderId="15" xfId="2" applyFont="1" applyFill="1" applyBorder="1" applyAlignment="1">
      <alignment horizontal="center"/>
    </xf>
    <xf numFmtId="0" fontId="10" fillId="5" borderId="20" xfId="7" applyFont="1" applyFill="1" applyBorder="1" applyAlignment="1">
      <alignment horizontal="center"/>
    </xf>
    <xf numFmtId="0" fontId="0" fillId="0" borderId="30" xfId="0" applyBorder="1" applyAlignment="1">
      <alignment horizontal="center" vertical="top" wrapText="1"/>
    </xf>
    <xf numFmtId="0" fontId="43" fillId="30" borderId="0" xfId="7" quotePrefix="1" applyFont="1" applyFill="1" applyBorder="1" applyAlignment="1">
      <alignment horizontal="left" indent="2"/>
    </xf>
    <xf numFmtId="0" fontId="45" fillId="30" borderId="19" xfId="2" applyFont="1" applyFill="1" applyBorder="1" applyAlignment="1">
      <alignment horizontal="center"/>
    </xf>
    <xf numFmtId="0" fontId="45" fillId="30" borderId="17" xfId="2" applyFont="1" applyFill="1" applyBorder="1" applyAlignment="1">
      <alignment horizontal="center"/>
    </xf>
    <xf numFmtId="0" fontId="45" fillId="30" borderId="113" xfId="2" applyFont="1" applyFill="1" applyBorder="1" applyAlignment="1">
      <alignment horizontal="center"/>
    </xf>
    <xf numFmtId="0" fontId="8" fillId="30" borderId="0" xfId="7" quotePrefix="1" applyFill="1" applyBorder="1" applyAlignment="1">
      <alignment horizontal="left" indent="2"/>
    </xf>
    <xf numFmtId="0" fontId="1" fillId="9" borderId="119" xfId="8" applyBorder="1" applyAlignment="1">
      <alignment horizontal="center"/>
    </xf>
    <xf numFmtId="0" fontId="1" fillId="9" borderId="121" xfId="8" applyBorder="1" applyAlignment="1">
      <alignment horizontal="center"/>
    </xf>
    <xf numFmtId="2" fontId="5" fillId="7" borderId="120" xfId="4" applyNumberFormat="1" applyBorder="1" applyAlignment="1">
      <alignment horizontal="center"/>
    </xf>
    <xf numFmtId="2" fontId="5" fillId="7" borderId="112" xfId="4" applyNumberFormat="1" applyBorder="1" applyAlignment="1">
      <alignment horizontal="center"/>
    </xf>
    <xf numFmtId="0" fontId="23" fillId="29" borderId="14" xfId="0" applyFont="1" applyFill="1" applyBorder="1" applyAlignment="1">
      <alignment horizontal="center"/>
    </xf>
    <xf numFmtId="0" fontId="23" fillId="29" borderId="16" xfId="0" applyFont="1" applyFill="1" applyBorder="1" applyAlignment="1">
      <alignment horizontal="center"/>
    </xf>
    <xf numFmtId="0" fontId="23" fillId="29" borderId="15" xfId="0" applyFont="1" applyFill="1" applyBorder="1" applyAlignment="1">
      <alignment horizontal="center"/>
    </xf>
    <xf numFmtId="0" fontId="0" fillId="4" borderId="20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4" borderId="22" xfId="0" applyFill="1" applyBorder="1" applyAlignment="1">
      <alignment horizontal="center"/>
    </xf>
    <xf numFmtId="0" fontId="0" fillId="4" borderId="23" xfId="0" applyFill="1" applyBorder="1" applyAlignment="1">
      <alignment horizontal="center"/>
    </xf>
    <xf numFmtId="0" fontId="4" fillId="0" borderId="19" xfId="3" applyBorder="1" applyAlignment="1">
      <alignment horizontal="center"/>
    </xf>
    <xf numFmtId="0" fontId="4" fillId="0" borderId="17" xfId="3" applyBorder="1" applyAlignment="1">
      <alignment horizontal="center"/>
    </xf>
    <xf numFmtId="0" fontId="0" fillId="0" borderId="20" xfId="0" applyBorder="1" applyAlignment="1">
      <alignment horizontal="left"/>
    </xf>
    <xf numFmtId="0" fontId="0" fillId="0" borderId="0" xfId="0" applyAlignment="1">
      <alignment horizontal="left"/>
    </xf>
    <xf numFmtId="0" fontId="10" fillId="0" borderId="0" xfId="7" applyFont="1" applyFill="1" applyBorder="1" applyAlignment="1">
      <alignment horizontal="right"/>
    </xf>
    <xf numFmtId="0" fontId="15" fillId="0" borderId="20" xfId="15" applyFill="1" applyBorder="1" applyAlignment="1">
      <alignment horizontal="left"/>
    </xf>
    <xf numFmtId="0" fontId="15" fillId="0" borderId="0" xfId="15" applyFill="1" applyBorder="1" applyAlignment="1">
      <alignment horizontal="left"/>
    </xf>
    <xf numFmtId="0" fontId="0" fillId="0" borderId="0" xfId="0" applyAlignment="1">
      <alignment horizontal="center" wrapText="1"/>
    </xf>
    <xf numFmtId="0" fontId="0" fillId="0" borderId="21" xfId="0" applyBorder="1" applyAlignment="1">
      <alignment horizontal="center" wrapText="1"/>
    </xf>
    <xf numFmtId="0" fontId="0" fillId="5" borderId="14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21" fillId="5" borderId="31" xfId="0" applyFont="1" applyFill="1" applyBorder="1" applyAlignment="1">
      <alignment horizontal="center"/>
    </xf>
    <xf numFmtId="0" fontId="21" fillId="5" borderId="6" xfId="0" applyFont="1" applyFill="1" applyBorder="1" applyAlignment="1">
      <alignment horizontal="center"/>
    </xf>
    <xf numFmtId="0" fontId="21" fillId="5" borderId="32" xfId="0" applyFont="1" applyFill="1" applyBorder="1" applyAlignment="1">
      <alignment horizontal="center"/>
    </xf>
    <xf numFmtId="0" fontId="4" fillId="0" borderId="33" xfId="21" applyFill="1" applyBorder="1" applyAlignment="1">
      <alignment horizontal="center"/>
    </xf>
    <xf numFmtId="0" fontId="4" fillId="0" borderId="30" xfId="21" applyFill="1" applyBorder="1" applyAlignment="1">
      <alignment horizontal="center"/>
    </xf>
    <xf numFmtId="0" fontId="15" fillId="0" borderId="20" xfId="15" applyFill="1" applyBorder="1" applyAlignment="1">
      <alignment horizontal="center"/>
    </xf>
    <xf numFmtId="0" fontId="15" fillId="0" borderId="0" xfId="15" applyFill="1" applyBorder="1" applyAlignment="1">
      <alignment horizontal="center"/>
    </xf>
    <xf numFmtId="0" fontId="0" fillId="0" borderId="30" xfId="0" applyBorder="1" applyAlignment="1">
      <alignment horizontal="center" wrapText="1"/>
    </xf>
    <xf numFmtId="0" fontId="3" fillId="0" borderId="14" xfId="2" applyBorder="1" applyAlignment="1">
      <alignment horizontal="center"/>
    </xf>
    <xf numFmtId="0" fontId="3" fillId="0" borderId="16" xfId="2" applyBorder="1" applyAlignment="1">
      <alignment horizontal="center"/>
    </xf>
    <xf numFmtId="0" fontId="3" fillId="0" borderId="15" xfId="2" applyBorder="1" applyAlignment="1">
      <alignment horizontal="center"/>
    </xf>
    <xf numFmtId="0" fontId="4" fillId="0" borderId="2" xfId="3" applyBorder="1" applyAlignment="1">
      <alignment horizontal="center"/>
    </xf>
    <xf numFmtId="0" fontId="4" fillId="0" borderId="3" xfId="3" applyBorder="1" applyAlignment="1">
      <alignment horizontal="center"/>
    </xf>
    <xf numFmtId="0" fontId="0" fillId="0" borderId="112" xfId="0" applyBorder="1" applyAlignment="1">
      <alignment horizontal="center"/>
    </xf>
    <xf numFmtId="0" fontId="11" fillId="0" borderId="0" xfId="7" quotePrefix="1" applyFont="1" applyFill="1" applyBorder="1" applyAlignment="1">
      <alignment horizontal="center"/>
    </xf>
    <xf numFmtId="0" fontId="11" fillId="0" borderId="21" xfId="7" quotePrefix="1" applyFont="1" applyFill="1" applyBorder="1" applyAlignment="1">
      <alignment horizontal="center"/>
    </xf>
    <xf numFmtId="0" fontId="11" fillId="0" borderId="0" xfId="7" applyFont="1" applyFill="1" applyBorder="1" applyAlignment="1">
      <alignment horizontal="center"/>
    </xf>
    <xf numFmtId="0" fontId="11" fillId="0" borderId="21" xfId="7" applyFont="1" applyFill="1" applyBorder="1" applyAlignment="1">
      <alignment horizontal="center"/>
    </xf>
    <xf numFmtId="0" fontId="1" fillId="0" borderId="30" xfId="0" applyFont="1" applyBorder="1" applyAlignment="1">
      <alignment horizontal="center"/>
    </xf>
    <xf numFmtId="0" fontId="3" fillId="0" borderId="14" xfId="2" applyFill="1" applyBorder="1" applyAlignment="1">
      <alignment horizontal="center"/>
    </xf>
    <xf numFmtId="0" fontId="3" fillId="0" borderId="16" xfId="2" applyFill="1" applyBorder="1" applyAlignment="1">
      <alignment horizontal="center"/>
    </xf>
    <xf numFmtId="0" fontId="3" fillId="0" borderId="15" xfId="2" applyFill="1" applyBorder="1" applyAlignment="1">
      <alignment horizontal="center"/>
    </xf>
    <xf numFmtId="0" fontId="23" fillId="29" borderId="19" xfId="0" applyFont="1" applyFill="1" applyBorder="1" applyAlignment="1">
      <alignment horizontal="center"/>
    </xf>
    <xf numFmtId="0" fontId="23" fillId="29" borderId="17" xfId="0" applyFont="1" applyFill="1" applyBorder="1" applyAlignment="1">
      <alignment horizontal="center"/>
    </xf>
    <xf numFmtId="0" fontId="9" fillId="0" borderId="0" xfId="7" applyFont="1" applyFill="1" applyBorder="1" applyAlignment="1">
      <alignment horizontal="center"/>
    </xf>
    <xf numFmtId="0" fontId="4" fillId="0" borderId="43" xfId="21" applyFill="1" applyBorder="1" applyAlignment="1">
      <alignment horizontal="center"/>
    </xf>
    <xf numFmtId="0" fontId="4" fillId="0" borderId="29" xfId="21" applyFill="1" applyAlignment="1">
      <alignment horizontal="center"/>
    </xf>
    <xf numFmtId="0" fontId="4" fillId="0" borderId="44" xfId="21" applyFill="1" applyBorder="1" applyAlignment="1">
      <alignment horizontal="center"/>
    </xf>
    <xf numFmtId="0" fontId="4" fillId="0" borderId="111" xfId="3" applyBorder="1" applyAlignment="1">
      <alignment horizontal="center"/>
    </xf>
    <xf numFmtId="0" fontId="21" fillId="30" borderId="122" xfId="0" applyFont="1" applyFill="1" applyBorder="1" applyAlignment="1">
      <alignment horizontal="center"/>
    </xf>
    <xf numFmtId="0" fontId="0" fillId="30" borderId="20" xfId="0" applyFill="1" applyBorder="1" applyAlignment="1">
      <alignment horizontal="center"/>
    </xf>
    <xf numFmtId="0" fontId="0" fillId="30" borderId="0" xfId="0" applyFill="1" applyAlignment="1">
      <alignment horizontal="center"/>
    </xf>
    <xf numFmtId="0" fontId="21" fillId="30" borderId="1" xfId="0" applyFont="1" applyFill="1" applyBorder="1" applyAlignment="1">
      <alignment horizontal="center"/>
    </xf>
    <xf numFmtId="0" fontId="0" fillId="30" borderId="1" xfId="0" applyFill="1" applyBorder="1" applyAlignment="1">
      <alignment horizontal="center"/>
    </xf>
    <xf numFmtId="0" fontId="21" fillId="30" borderId="0" xfId="0" applyFont="1" applyFill="1" applyAlignment="1">
      <alignment horizontal="center"/>
    </xf>
    <xf numFmtId="0" fontId="35" fillId="30" borderId="20" xfId="0" applyFont="1" applyFill="1" applyBorder="1" applyAlignment="1">
      <alignment horizontal="center"/>
    </xf>
    <xf numFmtId="0" fontId="35" fillId="30" borderId="0" xfId="0" applyFont="1" applyFill="1" applyAlignment="1">
      <alignment horizontal="center"/>
    </xf>
    <xf numFmtId="0" fontId="0" fillId="30" borderId="20" xfId="0" applyFill="1" applyBorder="1" applyAlignment="1">
      <alignment horizontal="left" indent="1"/>
    </xf>
    <xf numFmtId="0" fontId="0" fillId="30" borderId="0" xfId="0" applyFill="1" applyAlignment="1">
      <alignment horizontal="left" indent="1"/>
    </xf>
    <xf numFmtId="0" fontId="34" fillId="30" borderId="0" xfId="0" applyFont="1" applyFill="1" applyAlignment="1">
      <alignment horizontal="center"/>
    </xf>
    <xf numFmtId="0" fontId="0" fillId="30" borderId="14" xfId="0" applyFill="1" applyBorder="1" applyAlignment="1">
      <alignment horizontal="center"/>
    </xf>
    <xf numFmtId="0" fontId="0" fillId="30" borderId="16" xfId="0" applyFill="1" applyBorder="1" applyAlignment="1">
      <alignment horizontal="center"/>
    </xf>
    <xf numFmtId="0" fontId="0" fillId="30" borderId="15" xfId="0" applyFill="1" applyBorder="1" applyAlignment="1">
      <alignment horizontal="center"/>
    </xf>
    <xf numFmtId="0" fontId="40" fillId="30" borderId="14" xfId="0" applyFont="1" applyFill="1" applyBorder="1" applyAlignment="1" applyProtection="1">
      <alignment horizontal="center"/>
      <protection locked="0"/>
    </xf>
    <xf numFmtId="0" fontId="40" fillId="30" borderId="16" xfId="0" applyFont="1" applyFill="1" applyBorder="1" applyAlignment="1" applyProtection="1">
      <alignment horizontal="center"/>
      <protection locked="0"/>
    </xf>
    <xf numFmtId="0" fontId="40" fillId="30" borderId="15" xfId="0" applyFont="1" applyFill="1" applyBorder="1" applyAlignment="1" applyProtection="1">
      <alignment horizontal="center"/>
      <protection locked="0"/>
    </xf>
    <xf numFmtId="0" fontId="0" fillId="30" borderId="0" xfId="18" applyFont="1" applyFill="1" applyBorder="1" applyAlignment="1">
      <alignment horizontal="left" vertical="top" wrapText="1"/>
    </xf>
    <xf numFmtId="0" fontId="21" fillId="30" borderId="14" xfId="0" applyFont="1" applyFill="1" applyBorder="1" applyAlignment="1">
      <alignment horizontal="center"/>
    </xf>
    <xf numFmtId="0" fontId="21" fillId="30" borderId="16" xfId="0" applyFont="1" applyFill="1" applyBorder="1" applyAlignment="1">
      <alignment horizontal="center"/>
    </xf>
    <xf numFmtId="0" fontId="21" fillId="30" borderId="15" xfId="0" applyFont="1" applyFill="1" applyBorder="1" applyAlignment="1">
      <alignment horizontal="center"/>
    </xf>
    <xf numFmtId="0" fontId="34" fillId="30" borderId="20" xfId="0" applyFont="1" applyFill="1" applyBorder="1" applyAlignment="1">
      <alignment horizontal="center"/>
    </xf>
    <xf numFmtId="0" fontId="0" fillId="30" borderId="20" xfId="0" applyFill="1" applyBorder="1" applyAlignment="1">
      <alignment horizontal="left" vertical="center" indent="2"/>
    </xf>
    <xf numFmtId="0" fontId="0" fillId="30" borderId="0" xfId="0" applyFill="1" applyAlignment="1">
      <alignment horizontal="left" vertical="center" indent="2"/>
    </xf>
    <xf numFmtId="0" fontId="0" fillId="30" borderId="20" xfId="0" applyFill="1" applyBorder="1" applyAlignment="1">
      <alignment horizontal="left" indent="3"/>
    </xf>
    <xf numFmtId="0" fontId="0" fillId="30" borderId="0" xfId="0" applyFill="1" applyAlignment="1">
      <alignment horizontal="left" indent="3"/>
    </xf>
    <xf numFmtId="0" fontId="35" fillId="30" borderId="20" xfId="0" applyFont="1" applyFill="1" applyBorder="1" applyAlignment="1">
      <alignment horizontal="left" indent="5"/>
    </xf>
    <xf numFmtId="0" fontId="35" fillId="30" borderId="0" xfId="0" applyFont="1" applyFill="1" applyAlignment="1">
      <alignment horizontal="left" indent="5"/>
    </xf>
    <xf numFmtId="0" fontId="37" fillId="30" borderId="20" xfId="0" applyFont="1" applyFill="1" applyBorder="1" applyAlignment="1">
      <alignment horizontal="center"/>
    </xf>
    <xf numFmtId="0" fontId="37" fillId="30" borderId="0" xfId="0" applyFont="1" applyFill="1" applyAlignment="1">
      <alignment horizontal="center"/>
    </xf>
    <xf numFmtId="0" fontId="0" fillId="30" borderId="20" xfId="0" applyFill="1" applyBorder="1" applyAlignment="1">
      <alignment horizontal="left" indent="2"/>
    </xf>
    <xf numFmtId="0" fontId="0" fillId="30" borderId="0" xfId="0" applyFill="1" applyAlignment="1">
      <alignment horizontal="left" indent="2"/>
    </xf>
    <xf numFmtId="0" fontId="0" fillId="30" borderId="0" xfId="0" applyFill="1" applyAlignment="1">
      <alignment horizontal="left" vertical="top" wrapText="1"/>
    </xf>
    <xf numFmtId="0" fontId="39" fillId="30" borderId="14" xfId="0" applyFont="1" applyFill="1" applyBorder="1" applyAlignment="1">
      <alignment horizontal="center"/>
    </xf>
    <xf numFmtId="0" fontId="39" fillId="30" borderId="16" xfId="0" applyFont="1" applyFill="1" applyBorder="1" applyAlignment="1">
      <alignment horizontal="center"/>
    </xf>
    <xf numFmtId="0" fontId="39" fillId="30" borderId="15" xfId="0" applyFont="1" applyFill="1" applyBorder="1" applyAlignment="1">
      <alignment horizontal="center"/>
    </xf>
    <xf numFmtId="0" fontId="21" fillId="30" borderId="20" xfId="0" applyFont="1" applyFill="1" applyBorder="1" applyAlignment="1">
      <alignment horizontal="center"/>
    </xf>
    <xf numFmtId="0" fontId="33" fillId="30" borderId="20" xfId="0" applyFont="1" applyFill="1" applyBorder="1" applyAlignment="1">
      <alignment horizontal="left" indent="1"/>
    </xf>
    <xf numFmtId="0" fontId="33" fillId="30" borderId="0" xfId="0" applyFont="1" applyFill="1" applyAlignment="1">
      <alignment horizontal="left" indent="1"/>
    </xf>
    <xf numFmtId="0" fontId="0" fillId="30" borderId="22" xfId="0" applyFill="1" applyBorder="1" applyAlignment="1">
      <alignment horizontal="left" indent="3"/>
    </xf>
    <xf numFmtId="0" fontId="0" fillId="30" borderId="23" xfId="0" applyFill="1" applyBorder="1" applyAlignment="1">
      <alignment horizontal="left" indent="3"/>
    </xf>
    <xf numFmtId="0" fontId="0" fillId="32" borderId="0" xfId="0" applyFill="1" applyAlignment="1">
      <alignment horizontal="center"/>
    </xf>
    <xf numFmtId="0" fontId="0" fillId="32" borderId="0" xfId="0" applyFill="1" applyAlignment="1">
      <alignment horizontal="left" indent="3"/>
    </xf>
    <xf numFmtId="0" fontId="35" fillId="30" borderId="21" xfId="0" applyFont="1" applyFill="1" applyBorder="1" applyAlignment="1">
      <alignment horizontal="center"/>
    </xf>
    <xf numFmtId="0" fontId="0" fillId="30" borderId="20" xfId="0" applyFill="1" applyBorder="1" applyAlignment="1">
      <alignment horizontal="center" wrapText="1"/>
    </xf>
    <xf numFmtId="0" fontId="0" fillId="30" borderId="0" xfId="0" applyFill="1" applyAlignment="1">
      <alignment horizontal="center" wrapText="1"/>
    </xf>
    <xf numFmtId="0" fontId="0" fillId="0" borderId="70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64" xfId="0" applyBorder="1" applyAlignment="1">
      <alignment horizontal="center"/>
    </xf>
    <xf numFmtId="0" fontId="0" fillId="0" borderId="73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100" xfId="0" applyBorder="1" applyAlignment="1">
      <alignment horizontal="center"/>
    </xf>
    <xf numFmtId="0" fontId="0" fillId="0" borderId="101" xfId="0" applyBorder="1" applyAlignment="1">
      <alignment horizontal="center"/>
    </xf>
    <xf numFmtId="0" fontId="0" fillId="0" borderId="102" xfId="0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88" xfId="0" applyBorder="1" applyAlignment="1">
      <alignment horizontal="center"/>
    </xf>
    <xf numFmtId="0" fontId="0" fillId="0" borderId="99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92" xfId="0" applyBorder="1" applyAlignment="1">
      <alignment horizontal="center"/>
    </xf>
    <xf numFmtId="0" fontId="4" fillId="0" borderId="68" xfId="21" applyBorder="1" applyAlignment="1">
      <alignment horizontal="center"/>
    </xf>
    <xf numFmtId="0" fontId="4" fillId="0" borderId="0" xfId="21" applyBorder="1" applyAlignment="1">
      <alignment horizontal="center"/>
    </xf>
    <xf numFmtId="0" fontId="4" fillId="0" borderId="21" xfId="21" applyBorder="1" applyAlignment="1">
      <alignment horizontal="center"/>
    </xf>
    <xf numFmtId="0" fontId="0" fillId="0" borderId="30" xfId="0" applyBorder="1" applyAlignment="1">
      <alignment horizontal="center" vertical="center"/>
    </xf>
    <xf numFmtId="0" fontId="0" fillId="0" borderId="71" xfId="0" applyBorder="1" applyAlignment="1">
      <alignment horizontal="center" vertical="center"/>
    </xf>
    <xf numFmtId="0" fontId="0" fillId="0" borderId="7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94" xfId="0" applyBorder="1" applyAlignment="1">
      <alignment horizontal="center"/>
    </xf>
    <xf numFmtId="0" fontId="0" fillId="0" borderId="95" xfId="0" applyBorder="1" applyAlignment="1">
      <alignment horizontal="center"/>
    </xf>
    <xf numFmtId="0" fontId="4" fillId="0" borderId="20" xfId="21" applyBorder="1" applyAlignment="1">
      <alignment horizontal="center"/>
    </xf>
    <xf numFmtId="0" fontId="4" fillId="0" borderId="69" xfId="21" applyBorder="1" applyAlignment="1">
      <alignment horizontal="center"/>
    </xf>
    <xf numFmtId="0" fontId="21" fillId="4" borderId="35" xfId="0" applyFont="1" applyFill="1" applyBorder="1" applyAlignment="1">
      <alignment horizontal="center"/>
    </xf>
    <xf numFmtId="0" fontId="21" fillId="4" borderId="36" xfId="0" applyFont="1" applyFill="1" applyBorder="1" applyAlignment="1">
      <alignment horizontal="center"/>
    </xf>
    <xf numFmtId="0" fontId="21" fillId="4" borderId="37" xfId="0" applyFont="1" applyFill="1" applyBorder="1" applyAlignment="1">
      <alignment horizontal="center"/>
    </xf>
    <xf numFmtId="11" fontId="21" fillId="33" borderId="35" xfId="0" applyNumberFormat="1" applyFont="1" applyFill="1" applyBorder="1" applyAlignment="1">
      <alignment horizontal="center"/>
    </xf>
    <xf numFmtId="11" fontId="21" fillId="33" borderId="36" xfId="0" applyNumberFormat="1" applyFont="1" applyFill="1" applyBorder="1" applyAlignment="1">
      <alignment horizontal="center"/>
    </xf>
    <xf numFmtId="11" fontId="21" fillId="33" borderId="37" xfId="0" applyNumberFormat="1" applyFont="1" applyFill="1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5" xfId="0" applyBorder="1" applyAlignment="1">
      <alignment horizontal="center"/>
    </xf>
    <xf numFmtId="0" fontId="30" fillId="0" borderId="4" xfId="0" applyFont="1" applyBorder="1" applyAlignment="1">
      <alignment horizontal="center"/>
    </xf>
    <xf numFmtId="0" fontId="30" fillId="0" borderId="1" xfId="0" applyFont="1" applyBorder="1" applyAlignment="1">
      <alignment horizontal="center"/>
    </xf>
    <xf numFmtId="0" fontId="30" fillId="0" borderId="56" xfId="0" applyFont="1" applyBorder="1" applyAlignment="1">
      <alignment horizontal="center"/>
    </xf>
    <xf numFmtId="0" fontId="30" fillId="0" borderId="9" xfId="0" applyFont="1" applyBorder="1" applyAlignment="1">
      <alignment horizontal="center"/>
    </xf>
    <xf numFmtId="0" fontId="0" fillId="0" borderId="78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70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11" fontId="21" fillId="33" borderId="106" xfId="0" applyNumberFormat="1" applyFont="1" applyFill="1" applyBorder="1" applyAlignment="1">
      <alignment horizontal="center"/>
    </xf>
    <xf numFmtId="11" fontId="21" fillId="33" borderId="107" xfId="0" applyNumberFormat="1" applyFont="1" applyFill="1" applyBorder="1" applyAlignment="1">
      <alignment horizontal="center"/>
    </xf>
    <xf numFmtId="11" fontId="21" fillId="33" borderId="108" xfId="0" applyNumberFormat="1" applyFont="1" applyFill="1" applyBorder="1" applyAlignment="1">
      <alignment horizontal="center"/>
    </xf>
    <xf numFmtId="11" fontId="21" fillId="33" borderId="57" xfId="0" applyNumberFormat="1" applyFont="1" applyFill="1" applyBorder="1" applyAlignment="1">
      <alignment horizontal="center"/>
    </xf>
    <xf numFmtId="11" fontId="21" fillId="33" borderId="58" xfId="0" applyNumberFormat="1" applyFont="1" applyFill="1" applyBorder="1" applyAlignment="1">
      <alignment horizontal="center"/>
    </xf>
    <xf numFmtId="0" fontId="0" fillId="0" borderId="53" xfId="0" applyBorder="1" applyAlignment="1">
      <alignment horizontal="center"/>
    </xf>
    <xf numFmtId="0" fontId="0" fillId="0" borderId="80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55" xfId="0" applyBorder="1" applyAlignment="1">
      <alignment horizontal="center"/>
    </xf>
    <xf numFmtId="0" fontId="30" fillId="34" borderId="14" xfId="0" applyFont="1" applyFill="1" applyBorder="1" applyAlignment="1">
      <alignment horizontal="center"/>
    </xf>
    <xf numFmtId="0" fontId="30" fillId="34" borderId="16" xfId="0" applyFont="1" applyFill="1" applyBorder="1" applyAlignment="1">
      <alignment horizontal="center"/>
    </xf>
    <xf numFmtId="0" fontId="30" fillId="34" borderId="75" xfId="0" applyFont="1" applyFill="1" applyBorder="1" applyAlignment="1">
      <alignment horizontal="center"/>
    </xf>
    <xf numFmtId="0" fontId="21" fillId="0" borderId="77" xfId="0" applyFont="1" applyBorder="1" applyAlignment="1">
      <alignment horizontal="center"/>
    </xf>
    <xf numFmtId="0" fontId="21" fillId="0" borderId="16" xfId="0" applyFont="1" applyBorder="1" applyAlignment="1">
      <alignment horizontal="center"/>
    </xf>
    <xf numFmtId="11" fontId="21" fillId="0" borderId="3" xfId="0" applyNumberFormat="1" applyFont="1" applyBorder="1" applyAlignment="1">
      <alignment horizontal="center"/>
    </xf>
    <xf numFmtId="11" fontId="21" fillId="0" borderId="55" xfId="0" applyNumberFormat="1" applyFont="1" applyBorder="1" applyAlignment="1">
      <alignment horizontal="center"/>
    </xf>
    <xf numFmtId="11" fontId="21" fillId="0" borderId="59" xfId="0" applyNumberFormat="1" applyFont="1" applyBorder="1" applyAlignment="1">
      <alignment horizontal="center"/>
    </xf>
    <xf numFmtId="0" fontId="0" fillId="0" borderId="81" xfId="0" applyBorder="1" applyAlignment="1">
      <alignment horizontal="center"/>
    </xf>
    <xf numFmtId="0" fontId="0" fillId="0" borderId="82" xfId="0" applyBorder="1" applyAlignment="1">
      <alignment horizontal="center"/>
    </xf>
    <xf numFmtId="0" fontId="32" fillId="0" borderId="65" xfId="2" applyFont="1" applyBorder="1" applyAlignment="1">
      <alignment horizontal="center"/>
    </xf>
    <xf numFmtId="0" fontId="32" fillId="0" borderId="66" xfId="2" applyFont="1" applyBorder="1" applyAlignment="1">
      <alignment horizontal="center"/>
    </xf>
    <xf numFmtId="0" fontId="32" fillId="0" borderId="67" xfId="2" applyFont="1" applyBorder="1" applyAlignment="1">
      <alignment horizontal="center"/>
    </xf>
    <xf numFmtId="0" fontId="0" fillId="36" borderId="76" xfId="0" applyFill="1" applyBorder="1" applyAlignment="1">
      <alignment horizontal="center" wrapText="1"/>
    </xf>
    <xf numFmtId="0" fontId="0" fillId="36" borderId="64" xfId="0" applyFill="1" applyBorder="1" applyAlignment="1">
      <alignment horizontal="center" wrapText="1"/>
    </xf>
    <xf numFmtId="0" fontId="0" fillId="36" borderId="90" xfId="0" applyFill="1" applyBorder="1" applyAlignment="1">
      <alignment horizontal="center" wrapText="1"/>
    </xf>
    <xf numFmtId="0" fontId="0" fillId="3" borderId="74" xfId="0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0" fillId="3" borderId="16" xfId="0" applyFill="1" applyBorder="1" applyAlignment="1">
      <alignment horizontal="center" vertical="center"/>
    </xf>
    <xf numFmtId="0" fontId="0" fillId="3" borderId="75" xfId="0" applyFill="1" applyBorder="1" applyAlignment="1">
      <alignment horizontal="center" vertical="center"/>
    </xf>
    <xf numFmtId="0" fontId="0" fillId="3" borderId="77" xfId="0" applyFill="1" applyBorder="1" applyAlignment="1">
      <alignment horizontal="center"/>
    </xf>
    <xf numFmtId="0" fontId="0" fillId="3" borderId="16" xfId="0" applyFill="1" applyBorder="1" applyAlignment="1">
      <alignment horizontal="center"/>
    </xf>
    <xf numFmtId="0" fontId="0" fillId="3" borderId="75" xfId="0" applyFill="1" applyBorder="1" applyAlignment="1">
      <alignment horizontal="center"/>
    </xf>
    <xf numFmtId="0" fontId="4" fillId="3" borderId="77" xfId="21" applyFill="1" applyBorder="1" applyAlignment="1">
      <alignment horizontal="center"/>
    </xf>
    <xf numFmtId="0" fontId="4" fillId="3" borderId="16" xfId="21" applyFill="1" applyBorder="1" applyAlignment="1">
      <alignment horizontal="center"/>
    </xf>
    <xf numFmtId="0" fontId="4" fillId="3" borderId="75" xfId="2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37" borderId="104" xfId="0" applyFill="1" applyBorder="1" applyAlignment="1">
      <alignment horizontal="center"/>
    </xf>
    <xf numFmtId="0" fontId="0" fillId="37" borderId="98" xfId="0" applyFill="1" applyBorder="1" applyAlignment="1">
      <alignment horizontal="center"/>
    </xf>
    <xf numFmtId="0" fontId="35" fillId="30" borderId="20" xfId="0" applyFont="1" applyFill="1" applyBorder="1" applyAlignment="1"/>
    <xf numFmtId="0" fontId="35" fillId="30" borderId="0" xfId="0" applyFont="1" applyFill="1" applyAlignment="1"/>
  </cellXfs>
  <cellStyles count="28">
    <cellStyle name="20% - Accent1" xfId="12" builtinId="30"/>
    <cellStyle name="20% - Accent2" xfId="9" builtinId="34"/>
    <cellStyle name="20% - Accent4" xfId="25" builtinId="42"/>
    <cellStyle name="20% - Accent6" xfId="11" builtinId="50"/>
    <cellStyle name="40% - Accent1" xfId="23" builtinId="31"/>
    <cellStyle name="40% - Accent4" xfId="16" builtinId="43"/>
    <cellStyle name="40% - Accent6" xfId="20" builtinId="51"/>
    <cellStyle name="60% - Accent4" xfId="19" builtinId="44"/>
    <cellStyle name="60% - Accent6" xfId="17" builtinId="52"/>
    <cellStyle name="Accent2" xfId="8" builtinId="33"/>
    <cellStyle name="Accent4" xfId="24" builtinId="41"/>
    <cellStyle name="Accent5" xfId="26" builtinId="45"/>
    <cellStyle name="Accent6" xfId="10" builtinId="49"/>
    <cellStyle name="Bad" xfId="14" builtinId="27"/>
    <cellStyle name="Calculation" xfId="6" builtinId="22"/>
    <cellStyle name="Check Cell" xfId="15" builtinId="23"/>
    <cellStyle name="Comma" xfId="1" builtinId="3"/>
    <cellStyle name="Explanatory Text" xfId="7" builtinId="53"/>
    <cellStyle name="Good" xfId="13" builtinId="26"/>
    <cellStyle name="Heading 1" xfId="2" builtinId="16"/>
    <cellStyle name="Heading 3" xfId="21" builtinId="18"/>
    <cellStyle name="Heading 4" xfId="3" builtinId="19"/>
    <cellStyle name="Input" xfId="4" builtinId="20"/>
    <cellStyle name="Normal" xfId="0" builtinId="0"/>
    <cellStyle name="Note" xfId="18" builtinId="10"/>
    <cellStyle name="Output" xfId="5" builtinId="21"/>
    <cellStyle name="Percent" xfId="27" builtinId="5"/>
    <cellStyle name="Total" xfId="22" builtinId="25"/>
  </cellStyles>
  <dxfs count="2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1"/>
        </patternFill>
      </fill>
    </dxf>
  </dxfs>
  <tableStyles count="0" defaultTableStyle="TableStyleMedium2" defaultPivotStyle="PivotStyleLight16"/>
  <colors>
    <mruColors>
      <color rgb="FFFFABCD"/>
      <color rgb="FFFF89B0"/>
      <color rgb="FFFF9999"/>
      <color rgb="FFDD9FFF"/>
      <color rgb="FFFF9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168650604029494"/>
          <c:y val="8.4124326269035113E-2"/>
          <c:w val="0.7674193010764907"/>
          <c:h val="0.81317133529022123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'Section Analysis'!$W$38:$W$57</c:f>
              <c:numCache>
                <c:formatCode>0.00E+00</c:formatCode>
                <c:ptCount val="20"/>
                <c:pt idx="0">
                  <c:v>0</c:v>
                </c:pt>
                <c:pt idx="1">
                  <c:v>720482854.59357285</c:v>
                </c:pt>
                <c:pt idx="2">
                  <c:v>878009929.9502703</c:v>
                </c:pt>
                <c:pt idx="3">
                  <c:v>1122645763.31093</c:v>
                </c:pt>
                <c:pt idx="4">
                  <c:v>1410723406.7097626</c:v>
                </c:pt>
                <c:pt idx="5">
                  <c:v>1855702356.1470449</c:v>
                </c:pt>
                <c:pt idx="6">
                  <c:v>2211471976.1037545</c:v>
                </c:pt>
                <c:pt idx="7">
                  <c:v>2278947992.4873552</c:v>
                </c:pt>
                <c:pt idx="8">
                  <c:v>2169868307.5109797</c:v>
                </c:pt>
                <c:pt idx="9">
                  <c:v>1863630858.7870619</c:v>
                </c:pt>
                <c:pt idx="10">
                  <c:v>1444361005.6201973</c:v>
                </c:pt>
                <c:pt idx="11">
                  <c:v>1051468961.8744555</c:v>
                </c:pt>
                <c:pt idx="12">
                  <c:v>805780477.05063748</c:v>
                </c:pt>
                <c:pt idx="13">
                  <c:v>659081111.07795131</c:v>
                </c:pt>
                <c:pt idx="14">
                  <c:v>565925682.37865984</c:v>
                </c:pt>
                <c:pt idx="15">
                  <c:v>502597056.60660785</c:v>
                </c:pt>
                <c:pt idx="16">
                  <c:v>457057182.33923846</c:v>
                </c:pt>
                <c:pt idx="17">
                  <c:v>422837455.08119977</c:v>
                </c:pt>
                <c:pt idx="18">
                  <c:v>396222667.05339456</c:v>
                </c:pt>
                <c:pt idx="19">
                  <c:v>374913071.87663919</c:v>
                </c:pt>
              </c:numCache>
            </c:numRef>
          </c:xVal>
          <c:yVal>
            <c:numRef>
              <c:f>'Section Analysis'!$V$38:$V$57</c:f>
              <c:numCache>
                <c:formatCode>0.00000E+00</c:formatCode>
                <c:ptCount val="20"/>
                <c:pt idx="0">
                  <c:v>8005365.0510396985</c:v>
                </c:pt>
                <c:pt idx="1">
                  <c:v>8005365.0510396985</c:v>
                </c:pt>
                <c:pt idx="2">
                  <c:v>7804534.0560921226</c:v>
                </c:pt>
                <c:pt idx="3">
                  <c:v>7484305.0887395749</c:v>
                </c:pt>
                <c:pt idx="4">
                  <c:v>7053617.0335488124</c:v>
                </c:pt>
                <c:pt idx="5">
                  <c:v>6185674.52049015</c:v>
                </c:pt>
                <c:pt idx="6">
                  <c:v>4914382.1691194549</c:v>
                </c:pt>
                <c:pt idx="7">
                  <c:v>4220485.0738647776</c:v>
                </c:pt>
                <c:pt idx="8">
                  <c:v>3274358.0645316923</c:v>
                </c:pt>
                <c:pt idx="9">
                  <c:v>2300962.9003157588</c:v>
                </c:pt>
                <c:pt idx="10">
                  <c:v>1459096.4057785447</c:v>
                </c:pt>
                <c:pt idx="11">
                  <c:v>865514.72880221391</c:v>
                </c:pt>
                <c:pt idx="12">
                  <c:v>535740.71204930858</c:v>
                </c:pt>
                <c:pt idx="13">
                  <c:v>348789.90862442704</c:v>
                </c:pt>
                <c:pt idx="14">
                  <c:v>232951.77903542324</c:v>
                </c:pt>
                <c:pt idx="15">
                  <c:v>155176.84122729022</c:v>
                </c:pt>
                <c:pt idx="16">
                  <c:v>99626.516542572586</c:v>
                </c:pt>
                <c:pt idx="17">
                  <c:v>58048.796302505478</c:v>
                </c:pt>
                <c:pt idx="18">
                  <c:v>25789.229732773558</c:v>
                </c:pt>
                <c:pt idx="1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2F9-47FA-AB89-1B2309653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3024191"/>
        <c:axId val="1425237759"/>
      </c:scatterChart>
      <c:valAx>
        <c:axId val="12330241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5237759"/>
        <c:crosses val="autoZero"/>
        <c:crossBetween val="midCat"/>
      </c:valAx>
      <c:valAx>
        <c:axId val="1425237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30241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ContinousBeam!$BN$4:$BN$64</c:f>
              <c:numCache>
                <c:formatCode>General</c:formatCode>
                <c:ptCount val="61"/>
                <c:pt idx="0">
                  <c:v>0</c:v>
                </c:pt>
                <c:pt idx="1">
                  <c:v>1690</c:v>
                </c:pt>
                <c:pt idx="2">
                  <c:v>3380</c:v>
                </c:pt>
                <c:pt idx="3" formatCode="0.00">
                  <c:v>3380</c:v>
                </c:pt>
                <c:pt idx="4" formatCode="0.00">
                  <c:v>5070</c:v>
                </c:pt>
                <c:pt idx="5" formatCode="0.00">
                  <c:v>6760</c:v>
                </c:pt>
                <c:pt idx="6" formatCode="0.00">
                  <c:v>6760</c:v>
                </c:pt>
                <c:pt idx="7" formatCode="0.00">
                  <c:v>7360</c:v>
                </c:pt>
                <c:pt idx="8" formatCode="0.00">
                  <c:v>7960</c:v>
                </c:pt>
                <c:pt idx="9" formatCode="0.00">
                  <c:v>7960</c:v>
                </c:pt>
                <c:pt idx="10" formatCode="0.00">
                  <c:v>9960</c:v>
                </c:pt>
                <c:pt idx="11" formatCode="0.00">
                  <c:v>11960</c:v>
                </c:pt>
                <c:pt idx="12" formatCode="0.00">
                  <c:v>11960</c:v>
                </c:pt>
                <c:pt idx="13" formatCode="0.00">
                  <c:v>14210</c:v>
                </c:pt>
                <c:pt idx="14" formatCode="0.00">
                  <c:v>16460</c:v>
                </c:pt>
                <c:pt idx="15" formatCode="0.00">
                  <c:v>16460</c:v>
                </c:pt>
                <c:pt idx="16" formatCode="0.00">
                  <c:v>18150</c:v>
                </c:pt>
                <c:pt idx="17" formatCode="0.00">
                  <c:v>19840</c:v>
                </c:pt>
                <c:pt idx="18" formatCode="0.00">
                  <c:v>19840</c:v>
                </c:pt>
                <c:pt idx="19" formatCode="0.00">
                  <c:v>20840</c:v>
                </c:pt>
                <c:pt idx="20" formatCode="0.00">
                  <c:v>21840</c:v>
                </c:pt>
                <c:pt idx="21" formatCode="0.00">
                  <c:v>21840</c:v>
                </c:pt>
                <c:pt idx="22" formatCode="0.00">
                  <c:v>23590</c:v>
                </c:pt>
                <c:pt idx="23" formatCode="0.00">
                  <c:v>25340</c:v>
                </c:pt>
                <c:pt idx="24" formatCode="0.00">
                  <c:v>25340</c:v>
                </c:pt>
                <c:pt idx="25" formatCode="0.00">
                  <c:v>26340</c:v>
                </c:pt>
                <c:pt idx="26" formatCode="0.00">
                  <c:v>27340</c:v>
                </c:pt>
                <c:pt idx="27" formatCode="0.00">
                  <c:v>27340</c:v>
                </c:pt>
                <c:pt idx="28" formatCode="0.00">
                  <c:v>13670</c:v>
                </c:pt>
                <c:pt idx="29" formatCode="0.00">
                  <c:v>0</c:v>
                </c:pt>
                <c:pt idx="30" formatCode="0.00">
                  <c:v>0</c:v>
                </c:pt>
                <c:pt idx="31" formatCode="0.00">
                  <c:v>0</c:v>
                </c:pt>
                <c:pt idx="32" formatCode="0.00">
                  <c:v>0</c:v>
                </c:pt>
                <c:pt idx="33" formatCode="0.00">
                  <c:v>0</c:v>
                </c:pt>
                <c:pt idx="34" formatCode="0.00">
                  <c:v>0</c:v>
                </c:pt>
                <c:pt idx="35" formatCode="0.00">
                  <c:v>0</c:v>
                </c:pt>
                <c:pt idx="36" formatCode="0.00">
                  <c:v>0</c:v>
                </c:pt>
                <c:pt idx="37" formatCode="0.00">
                  <c:v>0</c:v>
                </c:pt>
                <c:pt idx="38" formatCode="0.00">
                  <c:v>0</c:v>
                </c:pt>
                <c:pt idx="39" formatCode="0.00">
                  <c:v>0</c:v>
                </c:pt>
                <c:pt idx="40" formatCode="0.00">
                  <c:v>0</c:v>
                </c:pt>
                <c:pt idx="41" formatCode="0.00">
                  <c:v>0</c:v>
                </c:pt>
                <c:pt idx="42" formatCode="0.00">
                  <c:v>0</c:v>
                </c:pt>
                <c:pt idx="43" formatCode="0.00">
                  <c:v>0</c:v>
                </c:pt>
                <c:pt idx="44" formatCode="0.00">
                  <c:v>0</c:v>
                </c:pt>
                <c:pt idx="45" formatCode="0.00">
                  <c:v>0</c:v>
                </c:pt>
                <c:pt idx="46" formatCode="0.00">
                  <c:v>0</c:v>
                </c:pt>
                <c:pt idx="47" formatCode="0.00">
                  <c:v>0</c:v>
                </c:pt>
                <c:pt idx="48" formatCode="0.00">
                  <c:v>0</c:v>
                </c:pt>
                <c:pt idx="49" formatCode="0.00">
                  <c:v>0</c:v>
                </c:pt>
                <c:pt idx="50" formatCode="0.00">
                  <c:v>0</c:v>
                </c:pt>
                <c:pt idx="51" formatCode="0.00">
                  <c:v>0</c:v>
                </c:pt>
                <c:pt idx="52" formatCode="0.00">
                  <c:v>0</c:v>
                </c:pt>
                <c:pt idx="53" formatCode="0.00">
                  <c:v>0</c:v>
                </c:pt>
                <c:pt idx="54" formatCode="0.00">
                  <c:v>0</c:v>
                </c:pt>
                <c:pt idx="55" formatCode="0.00">
                  <c:v>0</c:v>
                </c:pt>
                <c:pt idx="56" formatCode="0.00">
                  <c:v>0</c:v>
                </c:pt>
                <c:pt idx="57" formatCode="0.00">
                  <c:v>0</c:v>
                </c:pt>
                <c:pt idx="58" formatCode="0.00">
                  <c:v>0</c:v>
                </c:pt>
                <c:pt idx="59" formatCode="0.00">
                  <c:v>0</c:v>
                </c:pt>
                <c:pt idx="60" formatCode="0.00">
                  <c:v>0</c:v>
                </c:pt>
              </c:numCache>
            </c:numRef>
          </c:xVal>
          <c:yVal>
            <c:numRef>
              <c:f>ContinousBeam!$BO$4:$BO$64</c:f>
              <c:numCache>
                <c:formatCode>General</c:formatCode>
                <c:ptCount val="61"/>
                <c:pt idx="0" formatCode="0.00E+00">
                  <c:v>0</c:v>
                </c:pt>
                <c:pt idx="1">
                  <c:v>73147340.5</c:v>
                </c:pt>
                <c:pt idx="2" formatCode="0.00E+00">
                  <c:v>-67363303.069999993</c:v>
                </c:pt>
                <c:pt idx="3" formatCode="0.00E+00">
                  <c:v>-67363303.069999993</c:v>
                </c:pt>
                <c:pt idx="4">
                  <c:v>73147340.5</c:v>
                </c:pt>
                <c:pt idx="5" formatCode="0.00E+00">
                  <c:v>-31291833.989999998</c:v>
                </c:pt>
                <c:pt idx="6" formatCode="0.00E+00">
                  <c:v>-31291833.989999998</c:v>
                </c:pt>
                <c:pt idx="7">
                  <c:v>3501299.9999999995</c:v>
                </c:pt>
                <c:pt idx="8" formatCode="0.00E+00">
                  <c:v>-53603677.289999999</c:v>
                </c:pt>
                <c:pt idx="9" formatCode="0.00E+00">
                  <c:v>-53603677.289999999</c:v>
                </c:pt>
                <c:pt idx="10">
                  <c:v>107864999.99999997</c:v>
                </c:pt>
                <c:pt idx="11" formatCode="0.00E+00">
                  <c:v>-95568989.739999995</c:v>
                </c:pt>
                <c:pt idx="12" formatCode="0.00E+00">
                  <c:v>-95568989.739999995</c:v>
                </c:pt>
                <c:pt idx="13">
                  <c:v>140697063.84375003</c:v>
                </c:pt>
                <c:pt idx="14" formatCode="0.00E+00">
                  <c:v>-84411439.909999996</c:v>
                </c:pt>
                <c:pt idx="15" formatCode="0.00E+00">
                  <c:v>-84411439.909999996</c:v>
                </c:pt>
                <c:pt idx="16">
                  <c:v>73167436.290000007</c:v>
                </c:pt>
                <c:pt idx="17" formatCode="0.00E+00">
                  <c:v>-28918582.960000001</c:v>
                </c:pt>
                <c:pt idx="18" formatCode="0.00E+00">
                  <c:v>-28918582.960000001</c:v>
                </c:pt>
                <c:pt idx="19">
                  <c:v>19577474.125</c:v>
                </c:pt>
                <c:pt idx="20" formatCode="0.00E+00">
                  <c:v>-42621248.07</c:v>
                </c:pt>
                <c:pt idx="21" formatCode="0.00E+00">
                  <c:v>-42621248.07</c:v>
                </c:pt>
                <c:pt idx="22">
                  <c:v>79396763.250000015</c:v>
                </c:pt>
                <c:pt idx="23" formatCode="0.00E+00">
                  <c:v>-45960310.439999998</c:v>
                </c:pt>
                <c:pt idx="24" formatCode="0.00E+00">
                  <c:v>-45960310.439999998</c:v>
                </c:pt>
                <c:pt idx="25">
                  <c:v>19577428.125000004</c:v>
                </c:pt>
                <c:pt idx="26" formatCode="0.00E+00">
                  <c:v>0</c:v>
                </c:pt>
                <c:pt idx="27" formatCode="0.00E+00">
                  <c:v>0</c:v>
                </c:pt>
                <c:pt idx="28">
                  <c:v>0</c:v>
                </c:pt>
                <c:pt idx="29" formatCode="0.00E+00">
                  <c:v>0</c:v>
                </c:pt>
                <c:pt idx="30" formatCode="0.00E+00">
                  <c:v>0</c:v>
                </c:pt>
                <c:pt idx="31">
                  <c:v>0</c:v>
                </c:pt>
                <c:pt idx="32" formatCode="0.00E+00">
                  <c:v>0</c:v>
                </c:pt>
                <c:pt idx="33" formatCode="0.00E+00">
                  <c:v>0</c:v>
                </c:pt>
                <c:pt idx="34">
                  <c:v>0</c:v>
                </c:pt>
                <c:pt idx="35" formatCode="0.00E+00">
                  <c:v>0</c:v>
                </c:pt>
                <c:pt idx="36" formatCode="0.00E+00">
                  <c:v>0</c:v>
                </c:pt>
                <c:pt idx="37">
                  <c:v>0</c:v>
                </c:pt>
                <c:pt idx="38" formatCode="0.00E+00">
                  <c:v>0</c:v>
                </c:pt>
                <c:pt idx="39" formatCode="0.00E+00">
                  <c:v>0</c:v>
                </c:pt>
                <c:pt idx="40">
                  <c:v>0</c:v>
                </c:pt>
                <c:pt idx="41" formatCode="0.00E+00">
                  <c:v>0</c:v>
                </c:pt>
                <c:pt idx="42" formatCode="0.00E+00">
                  <c:v>0</c:v>
                </c:pt>
                <c:pt idx="43">
                  <c:v>0</c:v>
                </c:pt>
                <c:pt idx="44" formatCode="0.00E+00">
                  <c:v>0</c:v>
                </c:pt>
                <c:pt idx="45" formatCode="0.00E+00">
                  <c:v>0</c:v>
                </c:pt>
                <c:pt idx="46">
                  <c:v>0</c:v>
                </c:pt>
                <c:pt idx="47" formatCode="0.00E+00">
                  <c:v>0</c:v>
                </c:pt>
                <c:pt idx="48" formatCode="0.00E+00">
                  <c:v>0</c:v>
                </c:pt>
                <c:pt idx="49">
                  <c:v>0</c:v>
                </c:pt>
                <c:pt idx="50" formatCode="0.00E+00">
                  <c:v>0</c:v>
                </c:pt>
                <c:pt idx="51" formatCode="0.00E+00">
                  <c:v>0</c:v>
                </c:pt>
                <c:pt idx="52">
                  <c:v>0</c:v>
                </c:pt>
                <c:pt idx="53" formatCode="0.00E+00">
                  <c:v>0</c:v>
                </c:pt>
                <c:pt idx="54" formatCode="0.00E+00">
                  <c:v>0</c:v>
                </c:pt>
                <c:pt idx="55">
                  <c:v>0</c:v>
                </c:pt>
                <c:pt idx="56" formatCode="0.00E+00">
                  <c:v>0</c:v>
                </c:pt>
                <c:pt idx="57" formatCode="0.00E+00">
                  <c:v>0</c:v>
                </c:pt>
                <c:pt idx="58">
                  <c:v>0</c:v>
                </c:pt>
                <c:pt idx="59" formatCode="0.00E+00">
                  <c:v>0</c:v>
                </c:pt>
                <c:pt idx="60" formatCode="0.00E+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6D-48B4-AEBF-7647DCC9A1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1466080"/>
        <c:axId val="312493888"/>
      </c:scatterChart>
      <c:valAx>
        <c:axId val="701466080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493888"/>
        <c:crosses val="autoZero"/>
        <c:crossBetween val="midCat"/>
      </c:valAx>
      <c:valAx>
        <c:axId val="312493888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1466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jp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g"/><Relationship Id="rId2" Type="http://schemas.openxmlformats.org/officeDocument/2006/relationships/image" Target="../media/image5.PNG"/><Relationship Id="rId1" Type="http://schemas.openxmlformats.org/officeDocument/2006/relationships/chart" Target="../charts/chart1.xml"/><Relationship Id="rId4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7" Type="http://schemas.openxmlformats.org/officeDocument/2006/relationships/image" Target="../media/image19.jpeg"/><Relationship Id="rId2" Type="http://schemas.openxmlformats.org/officeDocument/2006/relationships/image" Target="../media/image14.png"/><Relationship Id="rId1" Type="http://schemas.openxmlformats.org/officeDocument/2006/relationships/image" Target="../media/image13.png"/><Relationship Id="rId6" Type="http://schemas.openxmlformats.org/officeDocument/2006/relationships/image" Target="../media/image18.png"/><Relationship Id="rId5" Type="http://schemas.openxmlformats.org/officeDocument/2006/relationships/image" Target="../media/image17.png"/><Relationship Id="rId4" Type="http://schemas.openxmlformats.org/officeDocument/2006/relationships/image" Target="../media/image16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78828</xdr:colOff>
      <xdr:row>2</xdr:row>
      <xdr:rowOff>126020</xdr:rowOff>
    </xdr:from>
    <xdr:ext cx="3748689" cy="2925571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4690" y="590227"/>
          <a:ext cx="3748689" cy="2925571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10</xdr:row>
      <xdr:rowOff>41910</xdr:rowOff>
    </xdr:from>
    <xdr:ext cx="65" cy="172227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22547580" y="18859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20</xdr:col>
      <xdr:colOff>0</xdr:colOff>
      <xdr:row>10</xdr:row>
      <xdr:rowOff>41910</xdr:rowOff>
    </xdr:from>
    <xdr:ext cx="65" cy="172227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10866120" y="196977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20</xdr:col>
      <xdr:colOff>0</xdr:colOff>
      <xdr:row>10</xdr:row>
      <xdr:rowOff>41910</xdr:rowOff>
    </xdr:from>
    <xdr:ext cx="65" cy="172227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22547580" y="18859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twoCellAnchor editAs="oneCell">
    <xdr:from>
      <xdr:col>21</xdr:col>
      <xdr:colOff>183614</xdr:colOff>
      <xdr:row>3</xdr:row>
      <xdr:rowOff>12509</xdr:rowOff>
    </xdr:from>
    <xdr:to>
      <xdr:col>25</xdr:col>
      <xdr:colOff>358047</xdr:colOff>
      <xdr:row>16</xdr:row>
      <xdr:rowOff>99952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826" r="4082"/>
        <a:stretch/>
      </xdr:blipFill>
      <xdr:spPr>
        <a:xfrm>
          <a:off x="15432795" y="664340"/>
          <a:ext cx="3314241" cy="2474431"/>
        </a:xfrm>
        <a:prstGeom prst="rect">
          <a:avLst/>
        </a:prstGeom>
      </xdr:spPr>
    </xdr:pic>
    <xdr:clientData/>
  </xdr:twoCellAnchor>
  <xdr:twoCellAnchor editAs="oneCell">
    <xdr:from>
      <xdr:col>21</xdr:col>
      <xdr:colOff>27544</xdr:colOff>
      <xdr:row>32</xdr:row>
      <xdr:rowOff>110169</xdr:rowOff>
    </xdr:from>
    <xdr:to>
      <xdr:col>24</xdr:col>
      <xdr:colOff>100989</xdr:colOff>
      <xdr:row>43</xdr:row>
      <xdr:rowOff>128531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095" t="7986" r="4419" b="9722"/>
        <a:stretch/>
      </xdr:blipFill>
      <xdr:spPr>
        <a:xfrm>
          <a:off x="15276725" y="6086820"/>
          <a:ext cx="2515518" cy="2175831"/>
        </a:xfrm>
        <a:prstGeom prst="rect">
          <a:avLst/>
        </a:prstGeom>
      </xdr:spPr>
    </xdr:pic>
    <xdr:clientData/>
  </xdr:twoCellAnchor>
  <xdr:twoCellAnchor editAs="oneCell">
    <xdr:from>
      <xdr:col>23</xdr:col>
      <xdr:colOff>593826</xdr:colOff>
      <xdr:row>22</xdr:row>
      <xdr:rowOff>45902</xdr:rowOff>
    </xdr:from>
    <xdr:to>
      <xdr:col>27</xdr:col>
      <xdr:colOff>55087</xdr:colOff>
      <xdr:row>31</xdr:row>
      <xdr:rowOff>9179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02742" y="4168047"/>
          <a:ext cx="2885670" cy="1615807"/>
        </a:xfrm>
        <a:prstGeom prst="rect">
          <a:avLst/>
        </a:prstGeom>
      </xdr:spPr>
    </xdr:pic>
    <xdr:clientData/>
  </xdr:twoCellAnchor>
  <xdr:twoCellAnchor editAs="oneCell">
    <xdr:from>
      <xdr:col>35</xdr:col>
      <xdr:colOff>445497</xdr:colOff>
      <xdr:row>2</xdr:row>
      <xdr:rowOff>81843</xdr:rowOff>
    </xdr:from>
    <xdr:to>
      <xdr:col>39</xdr:col>
      <xdr:colOff>824141</xdr:colOff>
      <xdr:row>15</xdr:row>
      <xdr:rowOff>135255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97337" y="546663"/>
          <a:ext cx="2992304" cy="2430852"/>
        </a:xfrm>
        <a:prstGeom prst="rect">
          <a:avLst/>
        </a:prstGeom>
      </xdr:spPr>
    </xdr:pic>
    <xdr:clientData/>
  </xdr:twoCellAnchor>
  <xdr:oneCellAnchor>
    <xdr:from>
      <xdr:col>48</xdr:col>
      <xdr:colOff>486294</xdr:colOff>
      <xdr:row>2</xdr:row>
      <xdr:rowOff>60881</xdr:rowOff>
    </xdr:from>
    <xdr:ext cx="3151910" cy="2416659"/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48734" y="525701"/>
          <a:ext cx="3151910" cy="2416659"/>
        </a:xfrm>
        <a:prstGeom prst="rect">
          <a:avLst/>
        </a:prstGeom>
      </xdr:spPr>
    </xdr:pic>
    <xdr:clientData/>
  </xdr:oneCellAnchor>
  <xdr:twoCellAnchor editAs="oneCell">
    <xdr:from>
      <xdr:col>31</xdr:col>
      <xdr:colOff>70123</xdr:colOff>
      <xdr:row>2</xdr:row>
      <xdr:rowOff>131795</xdr:rowOff>
    </xdr:from>
    <xdr:to>
      <xdr:col>33</xdr:col>
      <xdr:colOff>749209</xdr:colOff>
      <xdr:row>12</xdr:row>
      <xdr:rowOff>152672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33983" y="596615"/>
          <a:ext cx="2073546" cy="1849677"/>
        </a:xfrm>
        <a:prstGeom prst="rect">
          <a:avLst/>
        </a:prstGeom>
      </xdr:spPr>
    </xdr:pic>
    <xdr:clientData/>
  </xdr:twoCellAnchor>
  <xdr:twoCellAnchor editAs="oneCell">
    <xdr:from>
      <xdr:col>46</xdr:col>
      <xdr:colOff>705658</xdr:colOff>
      <xdr:row>2</xdr:row>
      <xdr:rowOff>148169</xdr:rowOff>
    </xdr:from>
    <xdr:to>
      <xdr:col>48</xdr:col>
      <xdr:colOff>178846</xdr:colOff>
      <xdr:row>9</xdr:row>
      <xdr:rowOff>38101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1490"/>
        <a:stretch/>
      </xdr:blipFill>
      <xdr:spPr>
        <a:xfrm rot="5400000">
          <a:off x="34055840" y="791654"/>
          <a:ext cx="1149348" cy="79371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685800</xdr:colOff>
      <xdr:row>22</xdr:row>
      <xdr:rowOff>91440</xdr:rowOff>
    </xdr:from>
    <xdr:to>
      <xdr:col>8</xdr:col>
      <xdr:colOff>693420</xdr:colOff>
      <xdr:row>33</xdr:row>
      <xdr:rowOff>0</xdr:rowOff>
    </xdr:to>
    <xdr:pic>
      <xdr:nvPicPr>
        <xdr:cNvPr id="4" name="Picture 3" descr="Chapter 5 Analysis and Design of T Beams and Doubly Reinforced Beams">
          <a:extLst>
            <a:ext uri="{FF2B5EF4-FFF2-40B4-BE49-F238E27FC236}">
              <a16:creationId xmlns:a16="http://schemas.microsoft.com/office/drawing/2014/main" id="{1F45E3AA-EDC1-B350-F6DA-4B7AB5BDCB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82440" y="4122420"/>
          <a:ext cx="2247900" cy="1920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228600</xdr:colOff>
      <xdr:row>21</xdr:row>
      <xdr:rowOff>53341</xdr:rowOff>
    </xdr:from>
    <xdr:to>
      <xdr:col>16</xdr:col>
      <xdr:colOff>7795</xdr:colOff>
      <xdr:row>29</xdr:row>
      <xdr:rowOff>76201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82CEC7F7-2216-BE1D-439C-294CAF10C4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62160" y="3901441"/>
          <a:ext cx="2019475" cy="1485900"/>
        </a:xfrm>
        <a:prstGeom prst="rect">
          <a:avLst/>
        </a:prstGeom>
      </xdr:spPr>
    </xdr:pic>
    <xdr:clientData/>
  </xdr:twoCellAnchor>
  <xdr:twoCellAnchor editAs="oneCell">
    <xdr:from>
      <xdr:col>4</xdr:col>
      <xdr:colOff>358140</xdr:colOff>
      <xdr:row>35</xdr:row>
      <xdr:rowOff>60959</xdr:rowOff>
    </xdr:from>
    <xdr:to>
      <xdr:col>8</xdr:col>
      <xdr:colOff>480060</xdr:colOff>
      <xdr:row>40</xdr:row>
      <xdr:rowOff>60960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1506C29D-5E05-C9F4-5789-C00B358B6F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08020" y="6469379"/>
          <a:ext cx="3108960" cy="91440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17</xdr:col>
      <xdr:colOff>0</xdr:colOff>
      <xdr:row>10</xdr:row>
      <xdr:rowOff>41910</xdr:rowOff>
    </xdr:from>
    <xdr:ext cx="65" cy="17222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574280" y="18859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18</xdr:col>
      <xdr:colOff>153940</xdr:colOff>
      <xdr:row>57</xdr:row>
      <xdr:rowOff>100060</xdr:rowOff>
    </xdr:from>
    <xdr:to>
      <xdr:col>23</xdr:col>
      <xdr:colOff>608060</xdr:colOff>
      <xdr:row>73</xdr:row>
      <xdr:rowOff>118534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17</xdr:col>
      <xdr:colOff>0</xdr:colOff>
      <xdr:row>77</xdr:row>
      <xdr:rowOff>0</xdr:rowOff>
    </xdr:from>
    <xdr:ext cx="65" cy="172227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0" y="225171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18</xdr:col>
      <xdr:colOff>83820</xdr:colOff>
      <xdr:row>77</xdr:row>
      <xdr:rowOff>171450</xdr:rowOff>
    </xdr:from>
    <xdr:ext cx="2030684" cy="45935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00000000-0008-0000-0200-000007000000}"/>
                </a:ext>
              </a:extLst>
            </xdr:cNvPr>
            <xdr:cNvSpPr txBox="1"/>
          </xdr:nvSpPr>
          <xdr:spPr>
            <a:xfrm>
              <a:off x="1013460" y="3112770"/>
              <a:ext cx="2030684" cy="45935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sz="16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𝑒𝑐</m:t>
                        </m:r>
                      </m:num>
                      <m:den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𝑐</m:t>
                        </m:r>
                      </m:den>
                    </m:f>
                    <m:r>
                      <a:rPr lang="en-US" sz="1600" b="0" i="1">
                        <a:latin typeface="Cambria Math" panose="02040503050406030204" pitchFamily="18" charset="0"/>
                      </a:rPr>
                      <m:t>= </m:t>
                    </m:r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𝑒𝑖</m:t>
                        </m:r>
                      </m:num>
                      <m:den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𝑐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𝑑𝑖</m:t>
                        </m:r>
                      </m:den>
                    </m:f>
                    <m:r>
                      <a:rPr lang="en-US" sz="1600" b="0" i="1">
                        <a:latin typeface="Cambria Math" panose="02040503050406030204" pitchFamily="18" charset="0"/>
                      </a:rPr>
                      <m:t>= </m:t>
                    </m:r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𝑒𝑐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𝑒𝑖</m:t>
                        </m:r>
                      </m:num>
                      <m:den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𝑑𝑖</m:t>
                        </m:r>
                      </m:den>
                    </m:f>
                  </m:oMath>
                </m:oMathPara>
              </a14:m>
              <a:endParaRPr lang="en-US" sz="1600" b="0"/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ED79E99D-FF46-4B8A-B2D6-7D41555DDFB4}"/>
                </a:ext>
              </a:extLst>
            </xdr:cNvPr>
            <xdr:cNvSpPr txBox="1"/>
          </xdr:nvSpPr>
          <xdr:spPr>
            <a:xfrm>
              <a:off x="1013460" y="3112770"/>
              <a:ext cx="2030684" cy="45935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𝑒𝑐/𝑐=  𝑒𝑖/(𝑐−𝑑𝑖)=  (𝑒𝑐−𝑒𝑖)/𝑑𝑖</a:t>
              </a:r>
              <a:endParaRPr lang="en-US" sz="1600" b="0"/>
            </a:p>
          </xdr:txBody>
        </xdr:sp>
      </mc:Fallback>
    </mc:AlternateContent>
    <xdr:clientData/>
  </xdr:oneCellAnchor>
  <xdr:twoCellAnchor editAs="oneCell">
    <xdr:from>
      <xdr:col>35</xdr:col>
      <xdr:colOff>520446</xdr:colOff>
      <xdr:row>2</xdr:row>
      <xdr:rowOff>86336</xdr:rowOff>
    </xdr:from>
    <xdr:to>
      <xdr:col>39</xdr:col>
      <xdr:colOff>531238</xdr:colOff>
      <xdr:row>16</xdr:row>
      <xdr:rowOff>118278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92333" y="622956"/>
          <a:ext cx="3236487" cy="2675526"/>
        </a:xfrm>
        <a:prstGeom prst="rect">
          <a:avLst/>
        </a:prstGeom>
      </xdr:spPr>
    </xdr:pic>
    <xdr:clientData/>
  </xdr:twoCellAnchor>
  <xdr:oneCellAnchor>
    <xdr:from>
      <xdr:col>52</xdr:col>
      <xdr:colOff>34636</xdr:colOff>
      <xdr:row>2</xdr:row>
      <xdr:rowOff>18173</xdr:rowOff>
    </xdr:from>
    <xdr:ext cx="3156929" cy="2750111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277886" y="555037"/>
          <a:ext cx="3156929" cy="2750111"/>
        </a:xfrm>
        <a:prstGeom prst="rect">
          <a:avLst/>
        </a:prstGeom>
      </xdr:spPr>
    </xdr:pic>
    <xdr:clientData/>
  </xdr:oneCellAnchor>
  <xdr:twoCellAnchor editAs="oneCell">
    <xdr:from>
      <xdr:col>31</xdr:col>
      <xdr:colOff>326570</xdr:colOff>
      <xdr:row>2</xdr:row>
      <xdr:rowOff>160343</xdr:rowOff>
    </xdr:from>
    <xdr:to>
      <xdr:col>36</xdr:col>
      <xdr:colOff>30623</xdr:colOff>
      <xdr:row>14</xdr:row>
      <xdr:rowOff>1237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216258" y="694733"/>
          <a:ext cx="3118209" cy="2066279"/>
        </a:xfrm>
        <a:prstGeom prst="rect">
          <a:avLst/>
        </a:prstGeom>
      </xdr:spPr>
    </xdr:pic>
    <xdr:clientData/>
  </xdr:twoCellAnchor>
  <xdr:twoCellAnchor editAs="oneCell">
    <xdr:from>
      <xdr:col>47</xdr:col>
      <xdr:colOff>501663</xdr:colOff>
      <xdr:row>3</xdr:row>
      <xdr:rowOff>77931</xdr:rowOff>
    </xdr:from>
    <xdr:to>
      <xdr:col>49</xdr:col>
      <xdr:colOff>299777</xdr:colOff>
      <xdr:row>8</xdr:row>
      <xdr:rowOff>26723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1490"/>
        <a:stretch/>
      </xdr:blipFill>
      <xdr:spPr>
        <a:xfrm>
          <a:off x="37588549" y="874567"/>
          <a:ext cx="1287478" cy="86665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36</xdr:col>
      <xdr:colOff>120711</xdr:colOff>
      <xdr:row>30</xdr:row>
      <xdr:rowOff>65463</xdr:rowOff>
    </xdr:from>
    <xdr:to>
      <xdr:col>39</xdr:col>
      <xdr:colOff>330680</xdr:colOff>
      <xdr:row>33</xdr:row>
      <xdr:rowOff>8363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B931C2D-9BE2-36AE-45B7-C6D954A068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33239" y="5500105"/>
          <a:ext cx="2431270" cy="482050"/>
        </a:xfrm>
        <a:prstGeom prst="rect">
          <a:avLst/>
        </a:prstGeom>
      </xdr:spPr>
    </xdr:pic>
    <xdr:clientData/>
  </xdr:twoCellAnchor>
  <xdr:twoCellAnchor editAs="oneCell">
    <xdr:from>
      <xdr:col>39</xdr:col>
      <xdr:colOff>237227</xdr:colOff>
      <xdr:row>30</xdr:row>
      <xdr:rowOff>134250</xdr:rowOff>
    </xdr:from>
    <xdr:to>
      <xdr:col>42</xdr:col>
      <xdr:colOff>589084</xdr:colOff>
      <xdr:row>33</xdr:row>
      <xdr:rowOff>33002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154DF33-3F4E-2E69-C1B3-B2E0589C90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71057" y="5568892"/>
          <a:ext cx="2573160" cy="437902"/>
        </a:xfrm>
        <a:prstGeom prst="rect">
          <a:avLst/>
        </a:prstGeom>
      </xdr:spPr>
    </xdr:pic>
    <xdr:clientData/>
  </xdr:twoCellAnchor>
  <xdr:twoCellAnchor>
    <xdr:from>
      <xdr:col>3</xdr:col>
      <xdr:colOff>24693</xdr:colOff>
      <xdr:row>20</xdr:row>
      <xdr:rowOff>148166</xdr:rowOff>
    </xdr:from>
    <xdr:to>
      <xdr:col>13</xdr:col>
      <xdr:colOff>183444</xdr:colOff>
      <xdr:row>32</xdr:row>
      <xdr:rowOff>141111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3052376-827D-1B23-172C-93CAB55C45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179295</xdr:colOff>
      <xdr:row>81</xdr:row>
      <xdr:rowOff>71717</xdr:rowOff>
    </xdr:from>
    <xdr:to>
      <xdr:col>5</xdr:col>
      <xdr:colOff>59025</xdr:colOff>
      <xdr:row>89</xdr:row>
      <xdr:rowOff>143435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D02A269-EA02-4436-AE29-E99E36446C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013" y="13904258"/>
          <a:ext cx="2425706" cy="1506071"/>
        </a:xfrm>
        <a:prstGeom prst="rect">
          <a:avLst/>
        </a:prstGeom>
      </xdr:spPr>
    </xdr:pic>
    <xdr:clientData/>
  </xdr:twoCellAnchor>
  <xdr:twoCellAnchor editAs="oneCell">
    <xdr:from>
      <xdr:col>4</xdr:col>
      <xdr:colOff>138340</xdr:colOff>
      <xdr:row>14</xdr:row>
      <xdr:rowOff>112384</xdr:rowOff>
    </xdr:from>
    <xdr:to>
      <xdr:col>6</xdr:col>
      <xdr:colOff>294540</xdr:colOff>
      <xdr:row>21</xdr:row>
      <xdr:rowOff>151953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21D38E8-FF11-44BA-A0E7-40082A8885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826" r="4082"/>
        <a:stretch/>
      </xdr:blipFill>
      <xdr:spPr>
        <a:xfrm>
          <a:off x="2130150" y="2697397"/>
          <a:ext cx="1439061" cy="1322429"/>
        </a:xfrm>
        <a:prstGeom prst="rect">
          <a:avLst/>
        </a:prstGeom>
      </xdr:spPr>
    </xdr:pic>
    <xdr:clientData/>
  </xdr:twoCellAnchor>
  <xdr:twoCellAnchor editAs="oneCell">
    <xdr:from>
      <xdr:col>5</xdr:col>
      <xdr:colOff>139776</xdr:colOff>
      <xdr:row>29</xdr:row>
      <xdr:rowOff>152399</xdr:rowOff>
    </xdr:from>
    <xdr:to>
      <xdr:col>9</xdr:col>
      <xdr:colOff>370516</xdr:colOff>
      <xdr:row>39</xdr:row>
      <xdr:rowOff>1785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6CB8E49-CF60-7270-3AC8-8E345568B3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89871" y="6068044"/>
          <a:ext cx="2804752" cy="1696239"/>
        </a:xfrm>
        <a:prstGeom prst="rect">
          <a:avLst/>
        </a:prstGeom>
      </xdr:spPr>
    </xdr:pic>
    <xdr:clientData/>
  </xdr:twoCellAnchor>
  <xdr:twoCellAnchor editAs="oneCell">
    <xdr:from>
      <xdr:col>5</xdr:col>
      <xdr:colOff>197403</xdr:colOff>
      <xdr:row>67</xdr:row>
      <xdr:rowOff>23043</xdr:rowOff>
    </xdr:from>
    <xdr:to>
      <xdr:col>8</xdr:col>
      <xdr:colOff>533400</xdr:colOff>
      <xdr:row>75</xdr:row>
      <xdr:rowOff>138496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DDA3B14-076F-36F9-3ABD-61615EBBB78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259" r="6233"/>
        <a:stretch/>
      </xdr:blipFill>
      <xdr:spPr>
        <a:xfrm>
          <a:off x="2823372" y="11505797"/>
          <a:ext cx="2252720" cy="1569115"/>
        </a:xfrm>
        <a:prstGeom prst="rect">
          <a:avLst/>
        </a:prstGeom>
      </xdr:spPr>
    </xdr:pic>
    <xdr:clientData/>
  </xdr:twoCellAnchor>
  <xdr:twoCellAnchor editAs="oneCell">
    <xdr:from>
      <xdr:col>7</xdr:col>
      <xdr:colOff>532934</xdr:colOff>
      <xdr:row>99</xdr:row>
      <xdr:rowOff>17014</xdr:rowOff>
    </xdr:from>
    <xdr:to>
      <xdr:col>10</xdr:col>
      <xdr:colOff>533982</xdr:colOff>
      <xdr:row>108</xdr:row>
      <xdr:rowOff>147668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FA75584F-C71A-CDD2-DC15-84E95C8D2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23616" y="17103743"/>
          <a:ext cx="1910531" cy="1744301"/>
        </a:xfrm>
        <a:prstGeom prst="rect">
          <a:avLst/>
        </a:prstGeom>
      </xdr:spPr>
    </xdr:pic>
    <xdr:clientData/>
  </xdr:twoCellAnchor>
  <xdr:twoCellAnchor editAs="oneCell">
    <xdr:from>
      <xdr:col>8</xdr:col>
      <xdr:colOff>203164</xdr:colOff>
      <xdr:row>5</xdr:row>
      <xdr:rowOff>150628</xdr:rowOff>
    </xdr:from>
    <xdr:to>
      <xdr:col>10</xdr:col>
      <xdr:colOff>458042</xdr:colOff>
      <xdr:row>12</xdr:row>
      <xdr:rowOff>143205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A94AB23D-C9A1-FC4D-0DF2-566E094921D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988"/>
        <a:stretch/>
      </xdr:blipFill>
      <xdr:spPr>
        <a:xfrm>
          <a:off x="5962466" y="1098698"/>
          <a:ext cx="1531753" cy="1295065"/>
        </a:xfrm>
        <a:prstGeom prst="rect">
          <a:avLst/>
        </a:prstGeom>
      </xdr:spPr>
    </xdr:pic>
    <xdr:clientData/>
  </xdr:twoCellAnchor>
  <xdr:twoCellAnchor editAs="oneCell">
    <xdr:from>
      <xdr:col>5</xdr:col>
      <xdr:colOff>322730</xdr:colOff>
      <xdr:row>80</xdr:row>
      <xdr:rowOff>23448</xdr:rowOff>
    </xdr:from>
    <xdr:to>
      <xdr:col>10</xdr:col>
      <xdr:colOff>466165</xdr:colOff>
      <xdr:row>94</xdr:row>
      <xdr:rowOff>17930</xdr:rowOff>
    </xdr:to>
    <xdr:pic>
      <xdr:nvPicPr>
        <xdr:cNvPr id="4" name="Picture 3" descr="Importance of P-M Interaction Curve in Column Design">
          <a:extLst>
            <a:ext uri="{FF2B5EF4-FFF2-40B4-BE49-F238E27FC236}">
              <a16:creationId xmlns:a16="http://schemas.microsoft.com/office/drawing/2014/main" id="{C30F311B-578E-A120-E1F5-A7FD2EF397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40424" y="13685660"/>
          <a:ext cx="3325906" cy="25045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Engineering\Spreed%20sheets\Addins\ConcreteDesign(UltimateLimetState).xlam" TargetMode="External"/><Relationship Id="rId1" Type="http://schemas.openxmlformats.org/officeDocument/2006/relationships/externalLinkPath" Target="Addins/ConcreteDesign(UltimateLimetState)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AxialForceAndBendingSectionAnalysis"/>
      <definedName name="AxialForceAndBendingSectionAnalysis_2F"/>
      <definedName name="AxialForceAndBendingSectionAnalysis_2F_eccentricity"/>
      <definedName name="AxialForceAndBendingSectionAnalysis_EcentricityRatio"/>
      <definedName name="AxialForceAndBendingSectionAnalysis_UF"/>
      <definedName name="AxialForceAndBendingSectionAnalysis_UF_eccentricity"/>
      <definedName name="AxialForceAndBendingSectionDesign_2F"/>
      <definedName name="AxialForceAndBendingSectionDesign_UF"/>
      <definedName name="BeamPositiveMoment"/>
      <definedName name="BeamPositiveMomentPeakFactor"/>
      <definedName name="calcM_Df"/>
      <definedName name="ContinousBeamAnalysis"/>
      <definedName name="PureBendingDesig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CM74"/>
  <sheetViews>
    <sheetView topLeftCell="X1" zoomScale="87" zoomScaleNormal="89" workbookViewId="0">
      <selection activeCell="M32" sqref="M32"/>
    </sheetView>
  </sheetViews>
  <sheetFormatPr defaultRowHeight="14.4" x14ac:dyDescent="0.3"/>
  <cols>
    <col min="1" max="8" width="10.77734375" customWidth="1"/>
    <col min="9" max="9" width="9" bestFit="1" customWidth="1"/>
    <col min="10" max="10" width="9.21875" bestFit="1" customWidth="1"/>
    <col min="11" max="11" width="9.77734375" bestFit="1" customWidth="1"/>
    <col min="12" max="12" width="10.109375" bestFit="1" customWidth="1"/>
    <col min="13" max="13" width="11.21875" bestFit="1" customWidth="1"/>
    <col min="14" max="14" width="10.5546875" bestFit="1" customWidth="1"/>
    <col min="15" max="19" width="9.109375" bestFit="1" customWidth="1"/>
    <col min="21" max="21" width="5.21875" customWidth="1"/>
    <col min="22" max="22" width="12.33203125" customWidth="1"/>
    <col min="23" max="23" width="9" bestFit="1" customWidth="1"/>
    <col min="24" max="24" width="14.33203125" customWidth="1"/>
    <col min="25" max="25" width="10.109375" customWidth="1"/>
    <col min="26" max="26" width="9.109375" customWidth="1"/>
    <col min="27" max="27" width="16.33203125" customWidth="1"/>
    <col min="28" max="28" width="14.21875" customWidth="1"/>
    <col min="30" max="32" width="11.44140625" customWidth="1"/>
    <col min="34" max="34" width="11.33203125" customWidth="1"/>
    <col min="35" max="35" width="10.44140625" customWidth="1"/>
    <col min="37" max="37" width="11.44140625" customWidth="1"/>
    <col min="40" max="40" width="14" customWidth="1"/>
    <col min="41" max="43" width="11.44140625" customWidth="1"/>
    <col min="44" max="44" width="10" customWidth="1"/>
    <col min="45" max="46" width="10.6640625" customWidth="1"/>
    <col min="53" max="53" width="10.21875" customWidth="1"/>
    <col min="77" max="77" width="12.109375" bestFit="1" customWidth="1"/>
    <col min="82" max="82" width="9.77734375" bestFit="1" customWidth="1"/>
  </cols>
  <sheetData>
    <row r="1" spans="2:91" ht="15" thickBot="1" x14ac:dyDescent="0.35"/>
    <row r="2" spans="2:91" ht="21.6" thickBot="1" x14ac:dyDescent="0.45">
      <c r="B2" s="530" t="s">
        <v>99</v>
      </c>
      <c r="C2" s="531"/>
      <c r="D2" s="531"/>
      <c r="E2" s="531"/>
      <c r="F2" s="531"/>
      <c r="G2" s="531"/>
      <c r="H2" s="531"/>
      <c r="I2" s="531"/>
      <c r="J2" s="531"/>
      <c r="K2" s="531"/>
      <c r="L2" s="531"/>
      <c r="M2" s="531"/>
      <c r="N2" s="531"/>
      <c r="O2" s="531"/>
      <c r="P2" s="531"/>
      <c r="Q2" s="531"/>
      <c r="R2" s="532"/>
      <c r="S2" s="374"/>
      <c r="V2" s="493" t="s">
        <v>131</v>
      </c>
      <c r="W2" s="494"/>
      <c r="X2" s="494"/>
      <c r="Y2" s="494"/>
      <c r="Z2" s="494"/>
      <c r="AA2" s="494"/>
      <c r="AB2" s="495"/>
      <c r="AD2" s="493" t="s">
        <v>377</v>
      </c>
      <c r="AE2" s="494"/>
      <c r="AF2" s="494"/>
      <c r="AG2" s="494"/>
      <c r="AH2" s="494"/>
      <c r="AI2" s="494"/>
      <c r="AJ2" s="494"/>
      <c r="AK2" s="494"/>
      <c r="AL2" s="494"/>
      <c r="AM2" s="494"/>
      <c r="AN2" s="494"/>
      <c r="AO2" s="495"/>
      <c r="AQ2" s="493" t="s">
        <v>164</v>
      </c>
      <c r="AR2" s="494"/>
      <c r="AS2" s="494"/>
      <c r="AT2" s="494"/>
      <c r="AU2" s="494"/>
      <c r="AV2" s="494"/>
      <c r="AW2" s="494"/>
      <c r="AX2" s="494"/>
      <c r="AY2" s="494"/>
      <c r="AZ2" s="494"/>
      <c r="BA2" s="494"/>
      <c r="BB2" s="495"/>
      <c r="BD2" s="493" t="s">
        <v>184</v>
      </c>
      <c r="BE2" s="494"/>
      <c r="BF2" s="494"/>
      <c r="BG2" s="494"/>
      <c r="BH2" s="494"/>
      <c r="BI2" s="494"/>
      <c r="BJ2" s="494"/>
      <c r="BK2" s="494"/>
      <c r="BL2" s="494"/>
      <c r="BM2" s="494"/>
      <c r="BN2" s="494"/>
      <c r="BO2" s="494"/>
      <c r="BP2" s="494"/>
      <c r="BQ2" s="494"/>
      <c r="BR2" s="495"/>
      <c r="BT2" s="530" t="s">
        <v>381</v>
      </c>
      <c r="BU2" s="531"/>
      <c r="BV2" s="531"/>
      <c r="BW2" s="531"/>
      <c r="BX2" s="531"/>
      <c r="BY2" s="531"/>
      <c r="BZ2" s="531"/>
      <c r="CA2" s="531"/>
      <c r="CB2" s="531"/>
      <c r="CC2" s="531"/>
      <c r="CD2" s="531"/>
      <c r="CE2" s="532"/>
      <c r="CF2" s="374"/>
      <c r="CG2" s="374"/>
      <c r="CH2" s="374"/>
      <c r="CI2" s="374"/>
      <c r="CJ2" s="374"/>
      <c r="CK2" s="374"/>
      <c r="CL2" s="374"/>
      <c r="CM2" s="374"/>
    </row>
    <row r="3" spans="2:91" x14ac:dyDescent="0.3">
      <c r="B3" s="521" t="s">
        <v>76</v>
      </c>
      <c r="C3" s="517"/>
      <c r="D3" s="517"/>
      <c r="E3" s="517"/>
      <c r="G3" s="517" t="s">
        <v>77</v>
      </c>
      <c r="H3" s="517"/>
      <c r="J3" s="517" t="s">
        <v>69</v>
      </c>
      <c r="K3" s="517"/>
      <c r="L3" s="27"/>
      <c r="M3" s="27"/>
      <c r="N3" s="27"/>
      <c r="R3" s="36"/>
      <c r="V3" s="37"/>
      <c r="AA3" s="505" t="s">
        <v>126</v>
      </c>
      <c r="AB3" s="506"/>
      <c r="AD3" s="511" t="s">
        <v>126</v>
      </c>
      <c r="AE3" s="512"/>
      <c r="AO3" s="36"/>
      <c r="AQ3" s="513" t="s">
        <v>126</v>
      </c>
      <c r="AR3" s="505"/>
      <c r="BB3" s="36"/>
      <c r="BD3" s="513" t="s">
        <v>126</v>
      </c>
      <c r="BE3" s="505"/>
      <c r="BF3" s="505"/>
      <c r="BG3" s="505"/>
      <c r="BR3" s="36"/>
      <c r="BT3" s="521" t="s">
        <v>76</v>
      </c>
      <c r="BU3" s="517"/>
      <c r="BV3" s="517"/>
      <c r="BW3" s="517"/>
      <c r="BY3" s="517" t="s">
        <v>77</v>
      </c>
      <c r="BZ3" s="517"/>
      <c r="CB3" s="517" t="s">
        <v>69</v>
      </c>
      <c r="CC3" s="517"/>
      <c r="CD3" s="27"/>
      <c r="CE3" s="383"/>
      <c r="CF3" s="27"/>
    </row>
    <row r="4" spans="2:91" x14ac:dyDescent="0.3">
      <c r="B4" s="519" t="s">
        <v>81</v>
      </c>
      <c r="C4" s="520"/>
      <c r="D4" s="520"/>
      <c r="E4" s="31">
        <v>0.8</v>
      </c>
      <c r="G4" t="s">
        <v>10</v>
      </c>
      <c r="H4" s="31">
        <v>30</v>
      </c>
      <c r="J4" t="s">
        <v>11</v>
      </c>
      <c r="K4" s="31">
        <v>360</v>
      </c>
      <c r="L4" s="27"/>
      <c r="M4" s="27"/>
      <c r="N4" s="27"/>
      <c r="R4" s="36"/>
      <c r="V4" s="37"/>
      <c r="AA4" s="60" t="s">
        <v>10</v>
      </c>
      <c r="AB4" s="107">
        <v>25</v>
      </c>
      <c r="AD4" s="37" t="s">
        <v>10</v>
      </c>
      <c r="AE4" s="92">
        <v>40</v>
      </c>
      <c r="AO4" s="36"/>
      <c r="AQ4" s="62" t="s">
        <v>10</v>
      </c>
      <c r="AR4" s="92">
        <v>40</v>
      </c>
      <c r="BB4" s="36"/>
      <c r="BD4" s="62" t="s">
        <v>10</v>
      </c>
      <c r="BE4" s="92">
        <v>25</v>
      </c>
      <c r="BF4" s="60" t="s">
        <v>172</v>
      </c>
      <c r="BG4" s="9">
        <f>0.7</f>
        <v>0.7</v>
      </c>
      <c r="BI4" s="534" t="s">
        <v>181</v>
      </c>
      <c r="BJ4" s="534"/>
      <c r="BK4" s="154">
        <v>600</v>
      </c>
      <c r="BR4" s="36"/>
      <c r="BT4" s="519" t="s">
        <v>81</v>
      </c>
      <c r="BU4" s="520"/>
      <c r="BV4" s="520"/>
      <c r="BW4" s="31">
        <v>0.8</v>
      </c>
      <c r="BY4" t="s">
        <v>10</v>
      </c>
      <c r="BZ4" s="31">
        <v>30</v>
      </c>
      <c r="CB4" t="s">
        <v>11</v>
      </c>
      <c r="CC4" s="31">
        <v>360</v>
      </c>
      <c r="CD4" s="27"/>
      <c r="CE4" s="383"/>
      <c r="CF4" s="27"/>
    </row>
    <row r="5" spans="2:91" x14ac:dyDescent="0.3">
      <c r="B5" s="519" t="s">
        <v>82</v>
      </c>
      <c r="C5" s="520"/>
      <c r="D5" s="520"/>
      <c r="E5" s="31">
        <v>0.82499999999999996</v>
      </c>
      <c r="G5" t="s">
        <v>34</v>
      </c>
      <c r="H5" s="31">
        <v>3.0000000000000001E-3</v>
      </c>
      <c r="J5" t="s">
        <v>1</v>
      </c>
      <c r="K5" s="32">
        <v>200000</v>
      </c>
      <c r="L5" s="27"/>
      <c r="M5" s="27"/>
      <c r="N5" s="27"/>
      <c r="R5" s="36"/>
      <c r="V5" s="37"/>
      <c r="AA5" s="60" t="s">
        <v>34</v>
      </c>
      <c r="AB5" s="107">
        <v>3.0000000000000001E-3</v>
      </c>
      <c r="AD5" s="37" t="s">
        <v>34</v>
      </c>
      <c r="AE5" s="92">
        <v>3.0000000000000001E-3</v>
      </c>
      <c r="AO5" s="36"/>
      <c r="AQ5" s="62" t="s">
        <v>34</v>
      </c>
      <c r="AR5" s="92">
        <v>3.0000000000000001E-3</v>
      </c>
      <c r="BB5" s="36"/>
      <c r="BD5" s="62" t="s">
        <v>34</v>
      </c>
      <c r="BE5" s="92">
        <v>3.0000000000000001E-3</v>
      </c>
      <c r="BF5" s="60" t="s">
        <v>179</v>
      </c>
      <c r="BG5" s="9">
        <v>0.24</v>
      </c>
      <c r="BI5" s="534"/>
      <c r="BJ5" s="534"/>
      <c r="BR5" s="36"/>
      <c r="BT5" s="519" t="s">
        <v>82</v>
      </c>
      <c r="BU5" s="520"/>
      <c r="BV5" s="520"/>
      <c r="BW5" s="31">
        <v>0.82499999999999996</v>
      </c>
      <c r="BY5" t="s">
        <v>34</v>
      </c>
      <c r="BZ5" s="31">
        <v>3.0000000000000001E-3</v>
      </c>
      <c r="CB5" t="s">
        <v>1</v>
      </c>
      <c r="CC5" s="32">
        <v>200000</v>
      </c>
      <c r="CD5" s="27"/>
      <c r="CE5" s="383"/>
      <c r="CF5" s="27"/>
    </row>
    <row r="6" spans="2:91" x14ac:dyDescent="0.3">
      <c r="B6" s="519" t="s">
        <v>83</v>
      </c>
      <c r="C6" s="520"/>
      <c r="D6" s="520"/>
      <c r="E6" s="31">
        <v>0.8</v>
      </c>
      <c r="G6" t="s">
        <v>68</v>
      </c>
      <c r="H6" s="31">
        <v>1.5</v>
      </c>
      <c r="J6" t="s">
        <v>70</v>
      </c>
      <c r="K6" s="31">
        <v>1.1499999999999999</v>
      </c>
      <c r="L6" s="27"/>
      <c r="M6" s="27"/>
      <c r="N6" s="27"/>
      <c r="R6" s="36"/>
      <c r="V6" s="37"/>
      <c r="AA6" s="60" t="s">
        <v>68</v>
      </c>
      <c r="AB6" s="107">
        <v>1.5</v>
      </c>
      <c r="AD6" s="37" t="s">
        <v>68</v>
      </c>
      <c r="AE6" s="92">
        <v>1.5</v>
      </c>
      <c r="AO6" s="36"/>
      <c r="AQ6" s="62" t="s">
        <v>68</v>
      </c>
      <c r="AR6" s="92">
        <v>1.5</v>
      </c>
      <c r="BB6" s="36"/>
      <c r="BD6" s="62" t="s">
        <v>68</v>
      </c>
      <c r="BE6" s="92">
        <v>1.5</v>
      </c>
      <c r="BF6" s="60" t="s">
        <v>173</v>
      </c>
      <c r="BG6" s="145">
        <f>BG4*SQRT(BE4/BE6)</f>
        <v>2.857738033247041</v>
      </c>
      <c r="BI6" s="496" t="s">
        <v>182</v>
      </c>
      <c r="BJ6" s="496"/>
      <c r="BK6" s="154">
        <v>200</v>
      </c>
      <c r="BR6" s="36"/>
      <c r="BT6" s="519" t="s">
        <v>83</v>
      </c>
      <c r="BU6" s="520"/>
      <c r="BV6" s="520"/>
      <c r="BW6" s="31">
        <v>0.8</v>
      </c>
      <c r="BY6" t="s">
        <v>68</v>
      </c>
      <c r="BZ6" s="31">
        <v>1.5</v>
      </c>
      <c r="CB6" t="s">
        <v>70</v>
      </c>
      <c r="CC6" s="31">
        <v>1.1499999999999999</v>
      </c>
      <c r="CD6" s="27"/>
      <c r="CE6" s="383"/>
      <c r="CF6" s="27"/>
    </row>
    <row r="7" spans="2:91" x14ac:dyDescent="0.3">
      <c r="B7" s="519" t="s">
        <v>80</v>
      </c>
      <c r="C7" s="520"/>
      <c r="D7" s="520"/>
      <c r="E7" s="33">
        <v>0.66666666666666663</v>
      </c>
      <c r="L7" s="27"/>
      <c r="M7" s="27"/>
      <c r="N7" s="27"/>
      <c r="R7" s="36"/>
      <c r="V7" s="37"/>
      <c r="AA7" s="60" t="s">
        <v>132</v>
      </c>
      <c r="AB7" s="107">
        <v>0.8</v>
      </c>
      <c r="AD7" s="37" t="s">
        <v>132</v>
      </c>
      <c r="AE7" s="92">
        <v>0.8</v>
      </c>
      <c r="AO7" s="36"/>
      <c r="AQ7" s="62" t="s">
        <v>132</v>
      </c>
      <c r="AR7" s="92">
        <v>0.8</v>
      </c>
      <c r="BB7" s="36"/>
      <c r="BD7" s="62" t="s">
        <v>132</v>
      </c>
      <c r="BE7" s="92">
        <v>0.8</v>
      </c>
      <c r="BF7" s="60" t="s">
        <v>171</v>
      </c>
      <c r="BG7" s="145">
        <f>BG5*SQRT(BE4/BE6)</f>
        <v>0.97979589711327131</v>
      </c>
      <c r="BI7" s="496" t="s">
        <v>183</v>
      </c>
      <c r="BJ7" s="496"/>
      <c r="BK7" s="154">
        <v>250</v>
      </c>
      <c r="BR7" s="36"/>
      <c r="BT7" s="519" t="s">
        <v>80</v>
      </c>
      <c r="BU7" s="520"/>
      <c r="BV7" s="520"/>
      <c r="BW7" s="33">
        <v>0.66666666666666663</v>
      </c>
      <c r="CD7" s="27"/>
      <c r="CE7" s="383"/>
      <c r="CF7" s="27"/>
    </row>
    <row r="8" spans="2:91" ht="14.4" customHeight="1" x14ac:dyDescent="0.3">
      <c r="B8" s="37"/>
      <c r="G8" t="s">
        <v>75</v>
      </c>
      <c r="H8" s="34">
        <f>H4*E4*E5/H6</f>
        <v>13.199999999999998</v>
      </c>
      <c r="J8" t="s">
        <v>35</v>
      </c>
      <c r="K8" s="34">
        <f>K4/K6</f>
        <v>313.04347826086956</v>
      </c>
      <c r="L8" s="27"/>
      <c r="M8" s="27"/>
      <c r="N8" s="27"/>
      <c r="R8" s="36"/>
      <c r="V8" s="37"/>
      <c r="AA8" s="60" t="s">
        <v>133</v>
      </c>
      <c r="AB8" s="107">
        <v>0.85</v>
      </c>
      <c r="AD8" s="37" t="s">
        <v>133</v>
      </c>
      <c r="AE8" s="92">
        <v>0.85</v>
      </c>
      <c r="AO8" s="36"/>
      <c r="AQ8" s="62" t="s">
        <v>133</v>
      </c>
      <c r="AR8" s="92">
        <v>0.85</v>
      </c>
      <c r="BB8" s="36"/>
      <c r="BD8" s="62" t="s">
        <v>133</v>
      </c>
      <c r="BE8" s="92">
        <v>0.85</v>
      </c>
      <c r="BR8" s="36"/>
      <c r="BT8" s="37"/>
      <c r="BY8" t="s">
        <v>75</v>
      </c>
      <c r="BZ8" s="34">
        <f>BZ4*BW4*BW5/BZ6</f>
        <v>13.199999999999998</v>
      </c>
      <c r="CB8" t="s">
        <v>35</v>
      </c>
      <c r="CC8" s="34">
        <f>CC4/CC6</f>
        <v>313.04347826086956</v>
      </c>
      <c r="CD8" s="27"/>
      <c r="CE8" s="383"/>
      <c r="CF8" s="27"/>
    </row>
    <row r="9" spans="2:91" x14ac:dyDescent="0.3">
      <c r="B9" s="528" t="s">
        <v>114</v>
      </c>
      <c r="C9" s="529"/>
      <c r="D9" s="529"/>
      <c r="F9" s="529" t="s">
        <v>115</v>
      </c>
      <c r="G9" s="529"/>
      <c r="H9" s="529"/>
      <c r="L9" s="27"/>
      <c r="M9" s="27"/>
      <c r="N9" s="27"/>
      <c r="R9" s="36"/>
      <c r="V9" s="37"/>
      <c r="AA9" s="60" t="s">
        <v>134</v>
      </c>
      <c r="AB9" s="107">
        <v>0.8</v>
      </c>
      <c r="AD9" s="37" t="s">
        <v>134</v>
      </c>
      <c r="AE9" s="92">
        <v>0.8</v>
      </c>
      <c r="AO9" s="36"/>
      <c r="AQ9" s="62" t="s">
        <v>134</v>
      </c>
      <c r="AR9" s="92">
        <v>0.8</v>
      </c>
      <c r="BB9" s="36"/>
      <c r="BD9" s="62" t="s">
        <v>134</v>
      </c>
      <c r="BE9" s="92">
        <v>0.8</v>
      </c>
      <c r="BF9" s="60" t="s">
        <v>111</v>
      </c>
      <c r="BG9" s="147">
        <f>BE4*BE8*BE9/BE6</f>
        <v>11.333333333333334</v>
      </c>
      <c r="BR9" s="36"/>
      <c r="BT9" s="528" t="s">
        <v>114</v>
      </c>
      <c r="BU9" s="529"/>
      <c r="BV9" s="529"/>
      <c r="BX9" s="529" t="s">
        <v>115</v>
      </c>
      <c r="BY9" s="529"/>
      <c r="BZ9" s="529"/>
      <c r="CD9" s="27"/>
      <c r="CE9" s="383"/>
      <c r="CF9" s="27"/>
    </row>
    <row r="10" spans="2:91" ht="14.4" customHeight="1" x14ac:dyDescent="0.3">
      <c r="B10" s="533" t="s">
        <v>78</v>
      </c>
      <c r="C10" s="516"/>
      <c r="D10" s="44" t="s">
        <v>13</v>
      </c>
      <c r="E10" s="41"/>
      <c r="F10" s="516" t="s">
        <v>78</v>
      </c>
      <c r="G10" s="516"/>
      <c r="H10" s="44" t="s">
        <v>18</v>
      </c>
      <c r="K10" s="11" t="s">
        <v>15</v>
      </c>
      <c r="L10" s="13"/>
      <c r="M10" s="27"/>
      <c r="N10" s="27"/>
      <c r="R10" s="36"/>
      <c r="V10" s="37"/>
      <c r="AA10" s="60" t="s">
        <v>111</v>
      </c>
      <c r="AB10" s="108">
        <f>AB4*AB8*AB9/AB6</f>
        <v>11.333333333333334</v>
      </c>
      <c r="AD10" s="37" t="s">
        <v>111</v>
      </c>
      <c r="AE10" s="147">
        <f>AE4*AE8*AE9/AE6</f>
        <v>18.133333333333336</v>
      </c>
      <c r="AO10" s="36"/>
      <c r="AQ10" s="62" t="s">
        <v>111</v>
      </c>
      <c r="AR10" s="147">
        <f>AR4*AR8*AR9/AR6</f>
        <v>18.133333333333336</v>
      </c>
      <c r="BB10" s="36"/>
      <c r="BD10" s="37"/>
      <c r="BR10" s="36"/>
      <c r="BT10" s="533" t="s">
        <v>78</v>
      </c>
      <c r="BU10" s="516"/>
      <c r="BV10" s="44" t="s">
        <v>13</v>
      </c>
      <c r="BW10" s="41"/>
      <c r="BX10" s="516" t="s">
        <v>78</v>
      </c>
      <c r="BY10" s="516"/>
      <c r="BZ10" s="44" t="s">
        <v>18</v>
      </c>
      <c r="CB10" s="11" t="s">
        <v>15</v>
      </c>
      <c r="CC10" s="13"/>
      <c r="CE10" s="383"/>
      <c r="CF10" s="27"/>
    </row>
    <row r="11" spans="2:91" ht="14.4" customHeight="1" x14ac:dyDescent="0.3">
      <c r="B11" s="45"/>
      <c r="C11" s="46"/>
      <c r="D11" s="44" t="s">
        <v>14</v>
      </c>
      <c r="E11" s="41"/>
      <c r="F11" s="46"/>
      <c r="G11" s="46"/>
      <c r="H11" s="44" t="s">
        <v>14</v>
      </c>
      <c r="K11" s="11" t="s">
        <v>16</v>
      </c>
      <c r="L11" s="11"/>
      <c r="M11" s="27"/>
      <c r="N11" s="27"/>
      <c r="R11" s="36"/>
      <c r="V11" s="37"/>
      <c r="AB11" s="36"/>
      <c r="AD11" s="37"/>
      <c r="AO11" s="36"/>
      <c r="AQ11" s="37"/>
      <c r="BB11" s="36"/>
      <c r="BD11" s="37"/>
      <c r="BR11" s="36"/>
      <c r="BT11" s="45"/>
      <c r="BU11" s="46"/>
      <c r="BV11" s="44" t="s">
        <v>14</v>
      </c>
      <c r="BW11" s="41"/>
      <c r="BX11" s="46"/>
      <c r="BY11" s="46"/>
      <c r="BZ11" s="44" t="s">
        <v>14</v>
      </c>
      <c r="CB11" s="11" t="s">
        <v>16</v>
      </c>
      <c r="CC11" s="11"/>
      <c r="CE11" s="383"/>
      <c r="CF11" s="27"/>
    </row>
    <row r="12" spans="2:91" ht="14.4" customHeight="1" x14ac:dyDescent="0.3">
      <c r="B12" s="45"/>
      <c r="C12" s="46"/>
      <c r="D12" s="44" t="s">
        <v>94</v>
      </c>
      <c r="E12" s="41"/>
      <c r="F12" s="46"/>
      <c r="G12" s="46"/>
      <c r="H12" s="44" t="s">
        <v>116</v>
      </c>
      <c r="K12" s="11" t="s">
        <v>17</v>
      </c>
      <c r="L12" s="11"/>
      <c r="M12" s="27"/>
      <c r="N12" s="27"/>
      <c r="R12" s="36"/>
      <c r="V12" s="37"/>
      <c r="AA12" s="507" t="s">
        <v>135</v>
      </c>
      <c r="AB12" s="508"/>
      <c r="AD12" s="511" t="s">
        <v>135</v>
      </c>
      <c r="AE12" s="512"/>
      <c r="AO12" s="36"/>
      <c r="AQ12" s="509" t="s">
        <v>135</v>
      </c>
      <c r="AR12" s="507"/>
      <c r="BB12" s="36"/>
      <c r="BD12" s="509" t="s">
        <v>135</v>
      </c>
      <c r="BE12" s="507"/>
      <c r="BF12" s="507"/>
      <c r="BG12" s="507"/>
      <c r="BR12" s="36"/>
      <c r="BT12" s="45"/>
      <c r="BU12" s="46"/>
      <c r="BV12" s="44" t="s">
        <v>94</v>
      </c>
      <c r="BW12" s="41"/>
      <c r="BX12" s="46"/>
      <c r="BY12" s="46"/>
      <c r="BZ12" s="44" t="s">
        <v>116</v>
      </c>
      <c r="CB12" s="11" t="s">
        <v>17</v>
      </c>
      <c r="CC12" s="11"/>
      <c r="CE12" s="383"/>
      <c r="CF12" s="27"/>
    </row>
    <row r="13" spans="2:91" x14ac:dyDescent="0.3">
      <c r="B13" s="53" t="s">
        <v>87</v>
      </c>
      <c r="C13" s="518" t="s">
        <v>79</v>
      </c>
      <c r="D13" s="518"/>
      <c r="F13" s="49" t="s">
        <v>95</v>
      </c>
      <c r="J13" s="27"/>
      <c r="L13" s="27"/>
      <c r="M13" s="27"/>
      <c r="N13" s="27"/>
      <c r="R13" s="36"/>
      <c r="V13" s="37"/>
      <c r="AA13" s="60" t="s">
        <v>11</v>
      </c>
      <c r="AB13" s="107">
        <v>360</v>
      </c>
      <c r="AD13" s="37" t="s">
        <v>11</v>
      </c>
      <c r="AE13" s="92">
        <v>420</v>
      </c>
      <c r="AO13" s="36"/>
      <c r="AQ13" s="62" t="s">
        <v>11</v>
      </c>
      <c r="AR13" s="92">
        <v>420</v>
      </c>
      <c r="BB13" s="36"/>
      <c r="BD13" s="62" t="s">
        <v>11</v>
      </c>
      <c r="BE13" s="92">
        <v>420</v>
      </c>
      <c r="BF13" s="60" t="s">
        <v>177</v>
      </c>
      <c r="BG13" s="9">
        <v>240</v>
      </c>
      <c r="BR13" s="36"/>
      <c r="BT13" s="53" t="s">
        <v>87</v>
      </c>
      <c r="BU13" s="518" t="s">
        <v>79</v>
      </c>
      <c r="BV13" s="518"/>
      <c r="BX13" s="49" t="s">
        <v>95</v>
      </c>
      <c r="CB13" s="27"/>
      <c r="CD13" s="27"/>
      <c r="CE13" s="383"/>
      <c r="CF13" s="27"/>
    </row>
    <row r="14" spans="2:91" x14ac:dyDescent="0.3">
      <c r="B14" s="53" t="s">
        <v>88</v>
      </c>
      <c r="C14" s="518" t="s">
        <v>84</v>
      </c>
      <c r="D14" s="518"/>
      <c r="F14" s="50" t="s">
        <v>100</v>
      </c>
      <c r="G14" s="50" t="s">
        <v>19</v>
      </c>
      <c r="H14" s="50" t="s">
        <v>97</v>
      </c>
      <c r="I14" s="51"/>
      <c r="M14" s="27"/>
      <c r="N14" s="27"/>
      <c r="R14" s="36"/>
      <c r="V14" s="37"/>
      <c r="AA14" s="60" t="s">
        <v>1</v>
      </c>
      <c r="AB14" s="59">
        <v>200000</v>
      </c>
      <c r="AD14" s="37" t="s">
        <v>1</v>
      </c>
      <c r="AE14" s="104">
        <v>200000</v>
      </c>
      <c r="AG14" t="s">
        <v>161</v>
      </c>
      <c r="AH14" s="345">
        <v>8.0000000000000002E-3</v>
      </c>
      <c r="AO14" s="36"/>
      <c r="AQ14" s="62" t="s">
        <v>1</v>
      </c>
      <c r="AR14" s="104">
        <v>200000</v>
      </c>
      <c r="AT14" s="60" t="s">
        <v>161</v>
      </c>
      <c r="AU14" s="156">
        <v>8.0000000000000002E-3</v>
      </c>
      <c r="BB14" s="36"/>
      <c r="BD14" s="62" t="s">
        <v>1</v>
      </c>
      <c r="BE14" s="104">
        <v>200000</v>
      </c>
      <c r="BF14" s="60" t="s">
        <v>178</v>
      </c>
      <c r="BG14" s="145">
        <f>BG13/BE15</f>
        <v>208.69565217391306</v>
      </c>
      <c r="BH14" s="161"/>
      <c r="BR14" s="36"/>
      <c r="BT14" s="53" t="s">
        <v>88</v>
      </c>
      <c r="BU14" s="518" t="s">
        <v>84</v>
      </c>
      <c r="BV14" s="518"/>
      <c r="BX14" s="50" t="s">
        <v>100</v>
      </c>
      <c r="BY14" s="50" t="s">
        <v>19</v>
      </c>
      <c r="BZ14" s="50" t="s">
        <v>97</v>
      </c>
      <c r="CA14" s="51"/>
      <c r="CE14" s="383"/>
      <c r="CF14" s="27"/>
    </row>
    <row r="15" spans="2:91" x14ac:dyDescent="0.3">
      <c r="B15" s="53" t="s">
        <v>85</v>
      </c>
      <c r="C15" s="518" t="s">
        <v>86</v>
      </c>
      <c r="D15" s="518"/>
      <c r="F15" s="50" t="s">
        <v>96</v>
      </c>
      <c r="G15" s="50" t="s">
        <v>98</v>
      </c>
      <c r="H15" s="50"/>
      <c r="I15" s="51"/>
      <c r="M15" s="28"/>
      <c r="N15" s="28"/>
      <c r="O15" s="43"/>
      <c r="R15" s="36"/>
      <c r="V15" s="37"/>
      <c r="AA15" s="60" t="s">
        <v>70</v>
      </c>
      <c r="AB15" s="107">
        <v>1.1499999999999999</v>
      </c>
      <c r="AD15" s="37" t="s">
        <v>70</v>
      </c>
      <c r="AE15" s="92">
        <v>1.1499999999999999</v>
      </c>
      <c r="AG15" t="s">
        <v>162</v>
      </c>
      <c r="AH15" s="345">
        <v>2.5000000000000001E-2</v>
      </c>
      <c r="AO15" s="36"/>
      <c r="AQ15" s="62" t="s">
        <v>70</v>
      </c>
      <c r="AR15" s="92">
        <v>1.1499999999999999</v>
      </c>
      <c r="AT15" s="60" t="s">
        <v>162</v>
      </c>
      <c r="AU15" s="156">
        <v>2.5000000000000001E-2</v>
      </c>
      <c r="BB15" s="36"/>
      <c r="BD15" s="62" t="s">
        <v>70</v>
      </c>
      <c r="BE15" s="92">
        <v>1.1499999999999999</v>
      </c>
      <c r="BF15" s="60" t="s">
        <v>35</v>
      </c>
      <c r="BG15" s="147">
        <f>BE13/BE15</f>
        <v>365.21739130434787</v>
      </c>
      <c r="BH15" s="161"/>
      <c r="BR15" s="36"/>
      <c r="BT15" s="53" t="s">
        <v>85</v>
      </c>
      <c r="BU15" s="518" t="s">
        <v>86</v>
      </c>
      <c r="BV15" s="518"/>
      <c r="BX15" s="50" t="s">
        <v>96</v>
      </c>
      <c r="BY15" s="50" t="s">
        <v>98</v>
      </c>
      <c r="BZ15" s="50"/>
      <c r="CA15" s="51"/>
      <c r="CE15" s="384"/>
      <c r="CF15" s="28"/>
      <c r="CG15" s="43"/>
    </row>
    <row r="16" spans="2:91" ht="14.4" customHeight="1" x14ac:dyDescent="0.3">
      <c r="B16" s="53" t="s">
        <v>89</v>
      </c>
      <c r="C16" s="518" t="s">
        <v>90</v>
      </c>
      <c r="D16" s="518"/>
      <c r="M16" s="28"/>
      <c r="N16" s="28"/>
      <c r="O16" s="43"/>
      <c r="R16" s="36"/>
      <c r="V16" s="37"/>
      <c r="AA16" s="60" t="s">
        <v>35</v>
      </c>
      <c r="AB16" s="108">
        <f>AB13/AB15</f>
        <v>313.04347826086956</v>
      </c>
      <c r="AD16" s="37" t="s">
        <v>35</v>
      </c>
      <c r="AE16" s="147">
        <f>AE13/AE15</f>
        <v>365.21739130434787</v>
      </c>
      <c r="AG16" t="s">
        <v>334</v>
      </c>
      <c r="AH16" s="105">
        <f>AE13/AE14</f>
        <v>2.0999999999999999E-3</v>
      </c>
      <c r="AO16" s="36"/>
      <c r="AQ16" s="62" t="s">
        <v>35</v>
      </c>
      <c r="AR16" s="147">
        <f>AR13/AR15</f>
        <v>365.21739130434787</v>
      </c>
      <c r="BB16" s="36"/>
      <c r="BD16" s="37"/>
      <c r="BR16" s="36"/>
      <c r="BT16" s="53" t="s">
        <v>89</v>
      </c>
      <c r="BU16" s="518" t="s">
        <v>90</v>
      </c>
      <c r="BV16" s="518"/>
      <c r="CE16" s="384"/>
      <c r="CF16" s="28"/>
      <c r="CG16" s="43"/>
    </row>
    <row r="17" spans="2:91" x14ac:dyDescent="0.3">
      <c r="B17" s="54" t="s">
        <v>101</v>
      </c>
      <c r="C17" s="515" t="s">
        <v>102</v>
      </c>
      <c r="D17" s="515"/>
      <c r="L17" s="27"/>
      <c r="M17" s="27"/>
      <c r="N17" s="27"/>
      <c r="R17" s="36"/>
      <c r="V17" s="37"/>
      <c r="AB17" s="36"/>
      <c r="AD17" s="522" t="s">
        <v>380</v>
      </c>
      <c r="AE17" s="523"/>
      <c r="AF17" s="523"/>
      <c r="AG17" s="523"/>
      <c r="AH17" s="523"/>
      <c r="AI17" s="523"/>
      <c r="AJ17" s="523"/>
      <c r="AK17" s="523"/>
      <c r="AL17" s="523"/>
      <c r="AM17" s="523"/>
      <c r="AN17" s="523"/>
      <c r="AO17" s="36"/>
      <c r="AQ17" s="522" t="s">
        <v>379</v>
      </c>
      <c r="AR17" s="523"/>
      <c r="AS17" s="523"/>
      <c r="AT17" s="523"/>
      <c r="AU17" s="523"/>
      <c r="AV17" s="523"/>
      <c r="AW17" s="523"/>
      <c r="AX17" s="523"/>
      <c r="AY17" s="523"/>
      <c r="AZ17" s="523"/>
      <c r="BA17" s="523"/>
      <c r="BB17" s="526"/>
      <c r="BD17" s="158"/>
      <c r="BE17" s="162"/>
      <c r="BF17" s="162"/>
      <c r="BG17" s="162"/>
      <c r="BH17" s="162"/>
      <c r="BI17" s="162"/>
      <c r="BJ17" s="162"/>
      <c r="BK17" s="162"/>
      <c r="BL17" s="162"/>
      <c r="BM17" s="162"/>
      <c r="BN17" s="162"/>
      <c r="BO17" s="162"/>
      <c r="BR17" s="36"/>
      <c r="BT17" s="54" t="s">
        <v>101</v>
      </c>
      <c r="BU17" s="515" t="s">
        <v>102</v>
      </c>
      <c r="BV17" s="515"/>
      <c r="CD17" s="27"/>
      <c r="CE17" s="383"/>
      <c r="CF17" s="27"/>
    </row>
    <row r="18" spans="2:91" ht="14.4" customHeight="1" thickBot="1" x14ac:dyDescent="0.35">
      <c r="B18" s="37"/>
      <c r="C18" s="2"/>
      <c r="D18" s="14"/>
      <c r="L18" s="27"/>
      <c r="M18" s="27"/>
      <c r="N18" s="27"/>
      <c r="R18" s="36"/>
      <c r="V18" s="37"/>
      <c r="AA18" s="112" t="s">
        <v>151</v>
      </c>
      <c r="AB18" s="114">
        <f>Y20/W20/W21/AB4</f>
        <v>0.46666666666666662</v>
      </c>
      <c r="AD18" s="524"/>
      <c r="AE18" s="525"/>
      <c r="AF18" s="525"/>
      <c r="AG18" s="525"/>
      <c r="AH18" s="525"/>
      <c r="AI18" s="525"/>
      <c r="AJ18" s="525"/>
      <c r="AK18" s="525"/>
      <c r="AL18" s="525"/>
      <c r="AM18" s="525"/>
      <c r="AN18" s="525"/>
      <c r="AO18" s="40"/>
      <c r="AQ18" s="524"/>
      <c r="AR18" s="525"/>
      <c r="AS18" s="525"/>
      <c r="AT18" s="525"/>
      <c r="AU18" s="525"/>
      <c r="AV18" s="525"/>
      <c r="AW18" s="525"/>
      <c r="AX18" s="525"/>
      <c r="AY18" s="525"/>
      <c r="AZ18" s="525"/>
      <c r="BA18" s="525"/>
      <c r="BB18" s="527"/>
      <c r="BD18" s="159"/>
      <c r="BE18" s="160"/>
      <c r="BF18" s="160"/>
      <c r="BG18" s="160"/>
      <c r="BH18" s="160"/>
      <c r="BI18" s="160"/>
      <c r="BJ18" s="160"/>
      <c r="BK18" s="160"/>
      <c r="BL18" s="160"/>
      <c r="BM18" s="160"/>
      <c r="BN18" s="160"/>
      <c r="BO18" s="160"/>
      <c r="BP18" s="39"/>
      <c r="BQ18" s="39"/>
      <c r="BR18" s="40"/>
      <c r="BT18" s="37"/>
      <c r="BU18" s="2"/>
      <c r="BV18" s="14"/>
      <c r="CB18" t="s">
        <v>382</v>
      </c>
      <c r="CD18" s="27">
        <v>0</v>
      </c>
      <c r="CE18" s="383"/>
      <c r="CF18" s="27"/>
    </row>
    <row r="19" spans="2:91" x14ac:dyDescent="0.3">
      <c r="B19" s="37"/>
      <c r="D19" s="514" t="s">
        <v>105</v>
      </c>
      <c r="E19" s="514"/>
      <c r="F19" s="514"/>
      <c r="G19" s="514"/>
      <c r="H19" s="514"/>
      <c r="J19" s="47" t="s">
        <v>103</v>
      </c>
      <c r="K19" s="48">
        <f>E7*H5/(H5+K4/K5)</f>
        <v>0.41666666666666663</v>
      </c>
      <c r="L19" s="27"/>
      <c r="M19" s="27"/>
      <c r="N19" s="27"/>
      <c r="R19" s="36"/>
      <c r="V19" s="509" t="s">
        <v>136</v>
      </c>
      <c r="W19" s="507"/>
      <c r="X19" s="510" t="s">
        <v>148</v>
      </c>
      <c r="Y19" s="507"/>
      <c r="AA19" s="113" t="s">
        <v>139</v>
      </c>
      <c r="AB19" s="114">
        <f>Y20/W20/W21/AB10</f>
        <v>1.0294117647058822</v>
      </c>
      <c r="AD19" s="148" t="s">
        <v>4</v>
      </c>
      <c r="AE19" s="20" t="s">
        <v>71</v>
      </c>
      <c r="AF19" s="20" t="s">
        <v>57</v>
      </c>
      <c r="AG19" s="20" t="s">
        <v>12</v>
      </c>
      <c r="AH19" s="20" t="s">
        <v>166</v>
      </c>
      <c r="AI19" s="151" t="s">
        <v>139</v>
      </c>
      <c r="AJ19" s="151" t="s">
        <v>159</v>
      </c>
      <c r="AK19" s="151" t="s">
        <v>109</v>
      </c>
      <c r="AL19" s="151" t="s">
        <v>9</v>
      </c>
      <c r="AM19" s="151" t="s">
        <v>130</v>
      </c>
      <c r="AN19" s="155" t="s">
        <v>160</v>
      </c>
      <c r="AO19" s="151" t="s">
        <v>26</v>
      </c>
      <c r="AQ19" s="148" t="s">
        <v>4</v>
      </c>
      <c r="AR19" s="20" t="s">
        <v>71</v>
      </c>
      <c r="AS19" s="20" t="s">
        <v>57</v>
      </c>
      <c r="AT19" s="20" t="s">
        <v>12</v>
      </c>
      <c r="AU19" s="151" t="s">
        <v>139</v>
      </c>
      <c r="AV19" s="151" t="s">
        <v>159</v>
      </c>
      <c r="AW19" s="151" t="s">
        <v>109</v>
      </c>
      <c r="AX19" s="151" t="s">
        <v>9</v>
      </c>
      <c r="AY19" s="151" t="s">
        <v>163</v>
      </c>
      <c r="AZ19" s="151" t="s">
        <v>130</v>
      </c>
      <c r="BA19" s="155" t="s">
        <v>160</v>
      </c>
      <c r="BB19" s="151" t="s">
        <v>26</v>
      </c>
      <c r="BD19" s="151" t="s">
        <v>4</v>
      </c>
      <c r="BE19" s="151" t="s">
        <v>5</v>
      </c>
      <c r="BF19" s="151" t="s">
        <v>166</v>
      </c>
      <c r="BG19" s="151" t="s">
        <v>25</v>
      </c>
      <c r="BH19" s="151" t="s">
        <v>167</v>
      </c>
      <c r="BI19" s="151" t="s">
        <v>168</v>
      </c>
      <c r="BJ19" s="151" t="s">
        <v>169</v>
      </c>
      <c r="BK19" s="151" t="s">
        <v>174</v>
      </c>
      <c r="BL19" s="151" t="s">
        <v>144</v>
      </c>
      <c r="BM19" s="151" t="s">
        <v>175</v>
      </c>
      <c r="BN19" s="151" t="s">
        <v>170</v>
      </c>
      <c r="BO19" s="151" t="s">
        <v>25</v>
      </c>
      <c r="BP19" s="151" t="s">
        <v>180</v>
      </c>
      <c r="BQ19" s="151" t="s">
        <v>176</v>
      </c>
      <c r="BR19" s="151" t="s">
        <v>20</v>
      </c>
      <c r="BT19" s="37"/>
      <c r="BV19" s="514" t="s">
        <v>105</v>
      </c>
      <c r="BW19" s="514"/>
      <c r="BX19" s="514"/>
      <c r="BY19" s="514"/>
      <c r="BZ19" s="514"/>
      <c r="CB19" s="47" t="s">
        <v>103</v>
      </c>
      <c r="CD19" s="48">
        <f>BW7*BZ5/(BZ5+CC4/CC5)</f>
        <v>0.41666666666666663</v>
      </c>
      <c r="CE19" s="383"/>
      <c r="CF19" s="27"/>
    </row>
    <row r="20" spans="2:91" ht="15" thickBot="1" x14ac:dyDescent="0.35">
      <c r="B20" s="37"/>
      <c r="L20" s="27"/>
      <c r="M20" s="27"/>
      <c r="N20" s="27"/>
      <c r="R20" s="36"/>
      <c r="V20" s="109" t="s">
        <v>140</v>
      </c>
      <c r="W20" s="92">
        <v>500</v>
      </c>
      <c r="X20" s="106" t="s">
        <v>57</v>
      </c>
      <c r="Y20" s="105">
        <v>7000000</v>
      </c>
      <c r="AA20" s="113" t="s">
        <v>142</v>
      </c>
      <c r="AB20" s="114">
        <f>Y21/Y20/W20</f>
        <v>0.2</v>
      </c>
      <c r="AD20" s="146">
        <v>300</v>
      </c>
      <c r="AE20" s="9">
        <v>900</v>
      </c>
      <c r="AF20" s="10">
        <v>600000</v>
      </c>
      <c r="AG20" s="10">
        <v>800000000</v>
      </c>
      <c r="AH20" s="10">
        <v>0.5</v>
      </c>
      <c r="AI20" s="149">
        <f>AF20/(AD20*AE20*AE$10)</f>
        <v>0.12254901960784312</v>
      </c>
      <c r="AJ20" s="149">
        <f>AG20/(AE$10*AD20*AE20*AE20)</f>
        <v>0.18155410312273054</v>
      </c>
      <c r="AK20" s="149">
        <f>AI20/AJ20</f>
        <v>0.67500000000000004</v>
      </c>
      <c r="AL20" s="150">
        <f>MAX(1,7/6-1/AK20/3)</f>
        <v>1</v>
      </c>
      <c r="AM20" s="150" cm="1">
        <f t="array" ref="AM20">[1]!AxialForceAndBendingSectionDesign_2F(AI20*AL20,AL20*AJ20,AH$16,AH20,AE$5,AE$7)</f>
        <v>0.25512737647170941</v>
      </c>
      <c r="AN20" s="157">
        <f>AM20*AE$10/AE$16</f>
        <v>1.2667276723865192E-2</v>
      </c>
      <c r="AO20" s="163">
        <f>MAX(AH$14,AN20)*AE20*AD20</f>
        <v>3420.1647154436014</v>
      </c>
      <c r="AQ20" s="146">
        <v>300</v>
      </c>
      <c r="AR20" s="9">
        <v>900</v>
      </c>
      <c r="AS20" s="10">
        <v>600000</v>
      </c>
      <c r="AT20" s="10">
        <v>800000000</v>
      </c>
      <c r="AU20" s="149">
        <f>AS20/(AQ20*AR20*AR$10)</f>
        <v>0.12254901960784312</v>
      </c>
      <c r="AV20" s="149">
        <f>AT20/(AR$10*AQ20*AR20*AR20)</f>
        <v>0.18155410312273054</v>
      </c>
      <c r="AW20" s="149">
        <f>AU20/AV20</f>
        <v>0.67500000000000004</v>
      </c>
      <c r="AX20" s="150">
        <f>MAX(1,7/6-1/AW20/3)</f>
        <v>1</v>
      </c>
      <c r="AY20" s="150">
        <f>AR20/AQ20</f>
        <v>3</v>
      </c>
      <c r="AZ20" s="150" cm="1">
        <f t="array" ref="AZ20">[1]!AxialForceAndBendingSectionDesign_UF(AU20*AX20,AX20*AV20,AR$13/AR$14,AY20,AR$5,AR$7,40)</f>
        <v>0.37629918999944956</v>
      </c>
      <c r="BA20" s="157">
        <f>AZ20*AR$10/AR$16</f>
        <v>1.8683553433623466E-2</v>
      </c>
      <c r="BB20" s="163">
        <f>MAX(AU$14,BA20)*AR20*AQ20</f>
        <v>5044.5594270783358</v>
      </c>
      <c r="BD20" s="9">
        <v>350</v>
      </c>
      <c r="BE20" s="9">
        <v>550</v>
      </c>
      <c r="BF20" s="9">
        <v>2</v>
      </c>
      <c r="BG20" s="9">
        <v>16</v>
      </c>
      <c r="BH20" s="145">
        <f>BF20*BG20*BG20*3.14/4</f>
        <v>401.92</v>
      </c>
      <c r="BI20" s="10">
        <v>250000</v>
      </c>
      <c r="BJ20" s="142">
        <f>BI20/BD20/BE20</f>
        <v>1.2987012987012987</v>
      </c>
      <c r="BK20" s="145">
        <f>IF(BJ20&lt;BG$7,0,BJ20-BG$7/2)</f>
        <v>0.80880335014466298</v>
      </c>
      <c r="BL20" s="145">
        <f>IF(BE20&gt;BK$4,60,45)</f>
        <v>45</v>
      </c>
      <c r="BM20" s="145">
        <f>BH20*BG$15*SIN(RADIANS(BL20))/(BD20*BE20)</f>
        <v>0.53919435413975758</v>
      </c>
      <c r="BN20" s="145">
        <f>MAX(0,BK20-BM20)</f>
        <v>0.2696089960049054</v>
      </c>
      <c r="BO20" s="9">
        <v>8</v>
      </c>
      <c r="BP20" s="9">
        <f>ROUNDDOWN(BD20*2/BK$6,0)</f>
        <v>3</v>
      </c>
      <c r="BQ20" s="145">
        <f>3.14/4*BO20*BO20*BP20</f>
        <v>150.72</v>
      </c>
      <c r="BR20" s="164">
        <f>IFERROR(MIN(BQ20*BG$14/(BN20*BD20),200),200)</f>
        <v>200</v>
      </c>
      <c r="BT20" s="37"/>
      <c r="CD20" s="27"/>
      <c r="CE20" s="383"/>
      <c r="CF20" s="27"/>
    </row>
    <row r="21" spans="2:91" ht="15" thickBot="1" x14ac:dyDescent="0.35">
      <c r="B21" s="431" t="s">
        <v>4</v>
      </c>
      <c r="C21" s="432" t="s">
        <v>24</v>
      </c>
      <c r="D21" s="432" t="s">
        <v>6</v>
      </c>
      <c r="E21" s="432" t="s">
        <v>7</v>
      </c>
      <c r="F21" s="432" t="s">
        <v>8</v>
      </c>
      <c r="G21" s="433" t="s">
        <v>9</v>
      </c>
      <c r="H21" s="434" t="s">
        <v>71</v>
      </c>
      <c r="I21" s="434" t="s">
        <v>72</v>
      </c>
      <c r="J21" s="434" t="s">
        <v>3</v>
      </c>
      <c r="K21" s="434" t="s">
        <v>4</v>
      </c>
      <c r="L21" s="433" t="s">
        <v>5</v>
      </c>
      <c r="M21" s="435" t="s">
        <v>74</v>
      </c>
      <c r="N21" s="435" t="s">
        <v>106</v>
      </c>
      <c r="O21" s="435" t="s">
        <v>2</v>
      </c>
      <c r="P21" s="435" t="s">
        <v>104</v>
      </c>
      <c r="Q21" s="435" t="s">
        <v>2</v>
      </c>
      <c r="R21" s="436" t="s">
        <v>104</v>
      </c>
      <c r="S21" s="375"/>
      <c r="V21" s="109" t="s">
        <v>141</v>
      </c>
      <c r="W21" s="92">
        <v>1200</v>
      </c>
      <c r="X21" s="106" t="s">
        <v>137</v>
      </c>
      <c r="Y21" s="105">
        <f>Y20*100</f>
        <v>700000000</v>
      </c>
      <c r="AA21" s="113" t="s">
        <v>143</v>
      </c>
      <c r="AB21" s="114">
        <f>Y22/Y20/W21</f>
        <v>9.5000000000000001E-2</v>
      </c>
      <c r="AD21" s="146">
        <v>300</v>
      </c>
      <c r="AE21" s="9">
        <v>1000</v>
      </c>
      <c r="AF21" s="10">
        <v>700000</v>
      </c>
      <c r="AG21" s="10">
        <v>450000000</v>
      </c>
      <c r="AH21" s="10">
        <v>0.5</v>
      </c>
      <c r="AI21" s="149">
        <f>AF21/(AD21*AE21*AE$10)</f>
        <v>0.12867647058823528</v>
      </c>
      <c r="AJ21" s="149">
        <f>AG21/(AE$10*AD21*AE21*AE21)</f>
        <v>8.2720588235294101E-2</v>
      </c>
      <c r="AK21" s="149">
        <f>AI21/AJ21</f>
        <v>1.5555555555555558</v>
      </c>
      <c r="AL21" s="150">
        <f>MAX(1,7/6-1/AK21/3)</f>
        <v>1</v>
      </c>
      <c r="AM21" s="150" cm="1">
        <f t="array" ref="AM21">[1]!AxialForceAndBendingSectionDesign_2F(AI21*AL21,AL21*AJ21,AH$16,AH21,AE$5,AE$7)</f>
        <v>8.3911327972771468E-2</v>
      </c>
      <c r="AN21" s="157">
        <f>AM21*AE$10/AE$16</f>
        <v>4.166264030140145E-3</v>
      </c>
      <c r="AO21" s="163">
        <f>MAX(AH$14,AN21)*AE21*AD21</f>
        <v>2400</v>
      </c>
      <c r="AQ21" s="146">
        <v>300</v>
      </c>
      <c r="AR21" s="9">
        <v>1000</v>
      </c>
      <c r="AS21" s="10">
        <v>700000</v>
      </c>
      <c r="AT21" s="10">
        <v>450000000</v>
      </c>
      <c r="AU21" s="149">
        <f>AS21/(AQ21*AR21*AR$10)</f>
        <v>0.12867647058823528</v>
      </c>
      <c r="AV21" s="149">
        <f>AT21/(AR$10*AQ21*AR21*AR21)</f>
        <v>8.2720588235294101E-2</v>
      </c>
      <c r="AW21" s="149">
        <f>AU21/AV21</f>
        <v>1.5555555555555558</v>
      </c>
      <c r="AX21" s="150">
        <f>MAX(1,7/6-1/AW21/3)</f>
        <v>1</v>
      </c>
      <c r="AY21" s="150">
        <f>AR21/AQ21</f>
        <v>3.3333333333333335</v>
      </c>
      <c r="AZ21" s="150" cm="1">
        <f t="array" ref="AZ21">[1]!AxialForceAndBendingSectionDesign_UF(AU21*AX21,AX21*AV21,AR$13/AR$14,AY21,AR$5,AR$7,40)</f>
        <v>7.1163032054578149E-2</v>
      </c>
      <c r="BA21" s="157">
        <f>AZ21*AR$10/AR$16</f>
        <v>3.5333010201066737E-3</v>
      </c>
      <c r="BB21" s="163">
        <f>MAX(AU$14,BA21)*AR21*AQ21</f>
        <v>2400</v>
      </c>
      <c r="BD21" s="9">
        <v>350</v>
      </c>
      <c r="BE21" s="9">
        <v>550</v>
      </c>
      <c r="BF21" s="9">
        <v>2</v>
      </c>
      <c r="BG21" s="9">
        <v>16</v>
      </c>
      <c r="BH21" s="145">
        <f>BF21*BG21*BG21*3.14/4</f>
        <v>401.92</v>
      </c>
      <c r="BI21" s="10">
        <v>450000</v>
      </c>
      <c r="BJ21" s="142">
        <f>BI21/BD21/BE21</f>
        <v>2.337662337662338</v>
      </c>
      <c r="BK21" s="145">
        <f>IF(BJ21&lt;BG$7,0,BJ21-BG$7/2)</f>
        <v>1.8477643891057023</v>
      </c>
      <c r="BL21" s="145">
        <f>IF(BE21&gt;BK$4,60,45)</f>
        <v>45</v>
      </c>
      <c r="BM21" s="145">
        <f>BH21*BG$15*SIN(RADIANS(BL21))/(BD21*BE21)</f>
        <v>0.53919435413975758</v>
      </c>
      <c r="BN21" s="145">
        <f>MAX(0,BK21-BM21)</f>
        <v>1.3085700349659448</v>
      </c>
      <c r="BO21" s="9">
        <v>10</v>
      </c>
      <c r="BP21" s="9">
        <f>ROUNDDOWN(BD21*2/BK$6,0)</f>
        <v>3</v>
      </c>
      <c r="BQ21" s="145">
        <f>3.14/4*BO21*BO21*BP21</f>
        <v>235.5</v>
      </c>
      <c r="BR21" s="164">
        <f>IFERROR(MIN(BQ21*BG$14/(BN21*BD21),200),200)</f>
        <v>107.30977822834043</v>
      </c>
      <c r="BT21" s="385" t="s">
        <v>4</v>
      </c>
      <c r="BU21" s="386" t="s">
        <v>71</v>
      </c>
      <c r="BV21" s="386" t="s">
        <v>72</v>
      </c>
      <c r="BW21" s="386" t="s">
        <v>3</v>
      </c>
      <c r="BX21" s="387" t="s">
        <v>5</v>
      </c>
      <c r="BY21" s="388" t="s">
        <v>74</v>
      </c>
      <c r="BZ21" s="388" t="s">
        <v>106</v>
      </c>
      <c r="CA21" s="388" t="s">
        <v>2</v>
      </c>
      <c r="CB21" s="388" t="s">
        <v>104</v>
      </c>
      <c r="CC21" s="388" t="s">
        <v>25</v>
      </c>
      <c r="CD21" s="388" t="s">
        <v>107</v>
      </c>
      <c r="CE21" s="389"/>
      <c r="CF21" s="375"/>
      <c r="CG21" s="375"/>
      <c r="CH21" s="376"/>
    </row>
    <row r="22" spans="2:91" x14ac:dyDescent="0.3">
      <c r="B22" s="52">
        <v>120</v>
      </c>
      <c r="C22" s="52">
        <v>3870</v>
      </c>
      <c r="D22" s="52">
        <v>120</v>
      </c>
      <c r="E22" s="52">
        <v>1410</v>
      </c>
      <c r="F22" s="52">
        <v>2780</v>
      </c>
      <c r="G22" s="22">
        <f t="shared" ref="G22:G27" si="0">IF(OR(E22=0,F22=0),MIN(C22/10,6*D22,(E22+F22)/2)+B22,MIN(C22/5,16*D22,(E22+F22)/2)+B22)</f>
        <v>894</v>
      </c>
      <c r="H22" s="42">
        <v>600</v>
      </c>
      <c r="I22" s="42">
        <v>50</v>
      </c>
      <c r="J22" s="55">
        <v>5400000000</v>
      </c>
      <c r="K22">
        <f t="shared" ref="K22:K27" si="1">IF(J22&gt;0,G22,B22)</f>
        <v>894</v>
      </c>
      <c r="L22" s="56">
        <f t="shared" ref="L22:L27" si="2">H22-I22</f>
        <v>550</v>
      </c>
      <c r="M22" s="407">
        <f>ABS(J22/($H$8*K22*L22*L22))</f>
        <v>1.512714364231365</v>
      </c>
      <c r="N22" s="29">
        <f t="shared" ref="N22:N27" si="3">IF(D22&gt;0, MAX($K$19,D22/L22),$K$19)</f>
        <v>0.41666666666666663</v>
      </c>
      <c r="O22" s="57" cm="1">
        <f t="array" ref="O22:P22">[1]!PureBendingDesign(M22,$K$19*$E$6,(L22-I22)/L22)*L22*K22*$H$8/$K$8</f>
        <v>35075.926388888889</v>
      </c>
      <c r="P22" s="57">
        <v>28164.809722222224</v>
      </c>
      <c r="Q22" s="372">
        <f t="shared" ref="Q22:Q27" si="4">MAX(0.31%*L22*B22,O22)</f>
        <v>35075.926388888889</v>
      </c>
      <c r="R22" s="408">
        <f>MAX(P22,0.1*Q22)</f>
        <v>28164.809722222224</v>
      </c>
      <c r="S22" s="378"/>
      <c r="V22" s="109" t="s">
        <v>147</v>
      </c>
      <c r="W22" s="60">
        <f>W20/W21</f>
        <v>0.41666666666666669</v>
      </c>
      <c r="X22" s="106" t="s">
        <v>138</v>
      </c>
      <c r="Y22" s="105">
        <f>Y20*114</f>
        <v>798000000</v>
      </c>
      <c r="AB22" s="36"/>
      <c r="AD22" s="146">
        <v>300</v>
      </c>
      <c r="AE22" s="9">
        <v>1000</v>
      </c>
      <c r="AF22" s="10">
        <v>800000</v>
      </c>
      <c r="AG22" s="10">
        <v>500000000</v>
      </c>
      <c r="AH22" s="10">
        <v>0.5</v>
      </c>
      <c r="AI22" s="149">
        <f>AF22/(AD22*AE22*AE$10)</f>
        <v>0.14705882352941174</v>
      </c>
      <c r="AJ22" s="149">
        <f>AG22/(AE$10*AD22*AE22*AE22)</f>
        <v>9.1911764705882332E-2</v>
      </c>
      <c r="AK22" s="149">
        <f>AI22/AJ22</f>
        <v>1.6</v>
      </c>
      <c r="AL22" s="150">
        <f>MAX(1,7/6-1/AK22/3)</f>
        <v>1</v>
      </c>
      <c r="AM22" s="150" cm="1">
        <f t="array" ref="AM22">[1]!AxialForceAndBendingSectionDesign_2F(AI22*AL22,AL22*AJ22,AH$16,AH22,AE$5,AE$7)</f>
        <v>5.8456230851265265E-2</v>
      </c>
      <c r="AN22" s="157">
        <f>AM22*AE$10/AE$16</f>
        <v>2.9023982555993295E-3</v>
      </c>
      <c r="AO22" s="163">
        <f>MAX(AH$14,AN22)*AE22*AD22</f>
        <v>2400</v>
      </c>
      <c r="AQ22" s="146">
        <v>300</v>
      </c>
      <c r="AR22" s="9">
        <v>1000</v>
      </c>
      <c r="AS22" s="10">
        <v>800000</v>
      </c>
      <c r="AT22" s="10">
        <v>500000000</v>
      </c>
      <c r="AU22" s="149">
        <f>AS22/(AQ22*AR22*AR$10)</f>
        <v>0.14705882352941174</v>
      </c>
      <c r="AV22" s="149">
        <f>AT22/(AR$10*AQ22*AR22*AR22)</f>
        <v>9.1911764705882332E-2</v>
      </c>
      <c r="AW22" s="149">
        <f>AU22/AV22</f>
        <v>1.6</v>
      </c>
      <c r="AX22" s="150">
        <f>MAX(1,7/6-1/AW22/3)</f>
        <v>1</v>
      </c>
      <c r="AY22" s="150">
        <f>AR22/AQ22</f>
        <v>3.3333333333333335</v>
      </c>
      <c r="AZ22" s="150" cm="1">
        <f t="array" ref="AZ22">[1]!AxialForceAndBendingSectionDesign_UF(AU22*AX22,AX22*AV22,AR$13/AR$14,AY22,AR$5,AR$7,40)</f>
        <v>8.0807686420384883E-2</v>
      </c>
      <c r="BA22" s="157">
        <f>AZ22*AR$10/AR$16</f>
        <v>4.0121657638565707E-3</v>
      </c>
      <c r="BB22" s="163">
        <f>MAX(AU$14,BA22)*AR22*AQ22</f>
        <v>2400</v>
      </c>
      <c r="BD22" s="9">
        <v>350</v>
      </c>
      <c r="BE22" s="9">
        <v>550</v>
      </c>
      <c r="BF22" s="9">
        <v>2</v>
      </c>
      <c r="BG22" s="9">
        <v>16</v>
      </c>
      <c r="BH22" s="145">
        <f>BF22*BG22*BG22*3.14/4</f>
        <v>401.92</v>
      </c>
      <c r="BI22" s="10">
        <v>350000</v>
      </c>
      <c r="BJ22" s="142">
        <f>BI22/BD22/BE22</f>
        <v>1.8181818181818181</v>
      </c>
      <c r="BK22" s="145">
        <f>IF(BJ22&lt;BG$7,0,BJ22-BG$7/2)</f>
        <v>1.3282838696251824</v>
      </c>
      <c r="BL22" s="145">
        <f>IF(BE22&gt;BK$4,60,45)</f>
        <v>45</v>
      </c>
      <c r="BM22" s="145">
        <f>BH22*BG$15*SIN(RADIANS(BL22))/(BD22*BE22)</f>
        <v>0.53919435413975758</v>
      </c>
      <c r="BN22" s="145">
        <f>MAX(0,BK22-BM22)</f>
        <v>0.78908951548542483</v>
      </c>
      <c r="BO22" s="9">
        <v>8</v>
      </c>
      <c r="BP22" s="9">
        <f>ROUNDDOWN(BD22*2/BK$6,0)</f>
        <v>3</v>
      </c>
      <c r="BQ22" s="145">
        <f>3.14/4*BO22*BO22*BP22</f>
        <v>150.72</v>
      </c>
      <c r="BR22" s="164">
        <f>IFERROR(MIN(BQ22*BG$14/(BN22*BD22),200),200)</f>
        <v>113.89114770295816</v>
      </c>
      <c r="BT22" s="9">
        <v>1000</v>
      </c>
      <c r="BU22" s="9">
        <v>120</v>
      </c>
      <c r="BV22" s="9">
        <v>25</v>
      </c>
      <c r="BW22" s="10">
        <v>18000000</v>
      </c>
      <c r="BX22" s="390">
        <f>BU22-BV22</f>
        <v>95</v>
      </c>
      <c r="BY22" s="393">
        <f>BW22/BT22/BX22/BX22/BZ$8</f>
        <v>0.15109544195416774</v>
      </c>
      <c r="BZ22" s="394">
        <f>CD$19*BW$6</f>
        <v>0.33333333333333331</v>
      </c>
      <c r="CA22" s="395" cm="1">
        <f t="array" ref="CA22:CB22">[1]!PureBendingDesign(BY22,BZ22,BW$6)*BT22*BX22*BZ$8/CC$8</f>
        <v>659.56167254577133</v>
      </c>
      <c r="CB22" s="396">
        <v>0</v>
      </c>
      <c r="CC22" s="401">
        <v>8</v>
      </c>
      <c r="CD22" s="402">
        <f>MAX(5,ROUNDUP(CA22/(3.14*CC22*CC22),0))</f>
        <v>5</v>
      </c>
      <c r="CE22" s="397"/>
      <c r="CG22" s="377"/>
      <c r="CI22" s="378"/>
      <c r="CJ22" s="379"/>
      <c r="CK22" s="380"/>
      <c r="CL22" s="378"/>
    </row>
    <row r="23" spans="2:91" x14ac:dyDescent="0.3">
      <c r="B23" s="52">
        <v>120</v>
      </c>
      <c r="C23" s="52">
        <v>3870</v>
      </c>
      <c r="D23" s="52">
        <v>120</v>
      </c>
      <c r="E23" s="52">
        <v>1410</v>
      </c>
      <c r="F23" s="52">
        <v>2780</v>
      </c>
      <c r="G23" s="22">
        <f t="shared" si="0"/>
        <v>894</v>
      </c>
      <c r="H23" s="42">
        <v>600</v>
      </c>
      <c r="I23" s="42">
        <v>50</v>
      </c>
      <c r="J23" s="55">
        <v>18000000</v>
      </c>
      <c r="K23">
        <f t="shared" si="1"/>
        <v>894</v>
      </c>
      <c r="L23" s="56">
        <f t="shared" si="2"/>
        <v>550</v>
      </c>
      <c r="M23" s="407">
        <f t="shared" ref="M23:M27" si="5">ABS(J23/($H$8*K23*L23*L23))</f>
        <v>5.0423812141045504E-3</v>
      </c>
      <c r="N23" s="29">
        <f t="shared" si="3"/>
        <v>0.41666666666666663</v>
      </c>
      <c r="O23" s="57" cm="1">
        <f t="array" ref="O23:P23">[1]!PureBendingDesign(M23,$K$19*$E$6,(L23-I23)/L23)*L23*K23*$H$8/$K$8</f>
        <v>104.81037106601191</v>
      </c>
      <c r="P23" s="57">
        <v>0</v>
      </c>
      <c r="Q23" s="372">
        <f t="shared" si="4"/>
        <v>204.6</v>
      </c>
      <c r="R23" s="408">
        <f t="shared" ref="R23:R27" si="6">MAX(P23,0.1*Q23)</f>
        <v>20.46</v>
      </c>
      <c r="S23" s="378"/>
      <c r="V23" s="110" t="s">
        <v>149</v>
      </c>
      <c r="W23" s="115">
        <f>MAX(AB20,AB21)</f>
        <v>0.2</v>
      </c>
      <c r="AB23" s="36"/>
      <c r="AD23" s="146">
        <v>300</v>
      </c>
      <c r="AE23" s="9">
        <v>1000</v>
      </c>
      <c r="AF23" s="10">
        <v>900000</v>
      </c>
      <c r="AG23" s="10">
        <v>550000000</v>
      </c>
      <c r="AH23" s="10">
        <v>0.5</v>
      </c>
      <c r="AI23" s="149">
        <f>AF23/(AD23*AE23*AE$10)</f>
        <v>0.1654411764705882</v>
      </c>
      <c r="AJ23" s="149">
        <f>AG23/(AE$10*AD23*AE23*AE23)</f>
        <v>0.10110294117647058</v>
      </c>
      <c r="AK23" s="149">
        <f>AI23/AJ23</f>
        <v>1.6363636363636362</v>
      </c>
      <c r="AL23" s="150">
        <f>MAX(1,7/6-1/AK23/3)</f>
        <v>1</v>
      </c>
      <c r="AM23" s="150" cm="1">
        <f t="array" ref="AM23">[1]!AxialForceAndBendingSectionDesign_2F(AI23*AL23,AL23*AJ23,AH$16,AH23,AE$5,AE$7)</f>
        <v>9.6279805518979245E-2</v>
      </c>
      <c r="AN23" s="157">
        <f>AM23*AE$10/AE$16</f>
        <v>4.7803687565613822E-3</v>
      </c>
      <c r="AO23" s="163">
        <f>MAX(AH$14,AN23)*AE23*AD23</f>
        <v>2400</v>
      </c>
      <c r="AQ23" s="146">
        <v>300</v>
      </c>
      <c r="AR23" s="9">
        <v>1000</v>
      </c>
      <c r="AS23" s="10">
        <v>900000</v>
      </c>
      <c r="AT23" s="10">
        <v>550000000</v>
      </c>
      <c r="AU23" s="149">
        <f>AS23/(AQ23*AR23*AR$10)</f>
        <v>0.1654411764705882</v>
      </c>
      <c r="AV23" s="149">
        <f>AT23/(AR$10*AQ23*AR23*AR23)</f>
        <v>0.10110294117647058</v>
      </c>
      <c r="AW23" s="149">
        <f>AU23/AV23</f>
        <v>1.6363636363636362</v>
      </c>
      <c r="AX23" s="150">
        <f>MAX(1,7/6-1/AW23/3)</f>
        <v>1</v>
      </c>
      <c r="AY23" s="150">
        <f>AR23/AQ23</f>
        <v>3.3333333333333335</v>
      </c>
      <c r="AZ23" s="150" cm="1">
        <f t="array" ref="AZ23">[1]!AxialForceAndBendingSectionDesign_UF(AU23*AX23,AX23*AV23,AR$13/AR$14,AY23,AR$5,AR$7,40)</f>
        <v>9.2015939174540567E-2</v>
      </c>
      <c r="BA23" s="157">
        <f>AZ23*AR$10/AR$16</f>
        <v>4.5686644085390941E-3</v>
      </c>
      <c r="BB23" s="163">
        <f>MAX(AU$14,BA23)*AR23*AQ23</f>
        <v>2400</v>
      </c>
      <c r="BT23" s="390"/>
      <c r="BU23" s="390"/>
      <c r="BV23" s="390"/>
      <c r="BW23" s="390"/>
      <c r="BX23" s="390"/>
      <c r="BY23" s="5"/>
      <c r="BZ23" s="391"/>
      <c r="CA23" s="391"/>
      <c r="CB23" s="396"/>
      <c r="CC23" s="398"/>
      <c r="CD23" s="399"/>
      <c r="CE23" s="400"/>
      <c r="CF23" s="377"/>
      <c r="CG23" s="377"/>
      <c r="CH23" s="380"/>
      <c r="CI23" s="378"/>
      <c r="CJ23" s="379"/>
      <c r="CK23" s="380"/>
      <c r="CL23" s="378"/>
      <c r="CM23" s="381"/>
    </row>
    <row r="24" spans="2:91" ht="14.4" customHeight="1" x14ac:dyDescent="0.3">
      <c r="B24" s="52">
        <v>120</v>
      </c>
      <c r="C24" s="52">
        <v>3870</v>
      </c>
      <c r="D24" s="52">
        <v>120</v>
      </c>
      <c r="E24" s="52">
        <v>1410</v>
      </c>
      <c r="F24" s="52">
        <v>2780</v>
      </c>
      <c r="G24" s="22">
        <f t="shared" si="0"/>
        <v>894</v>
      </c>
      <c r="H24" s="42">
        <v>600</v>
      </c>
      <c r="I24" s="42">
        <v>50</v>
      </c>
      <c r="J24" s="55">
        <v>-42000000</v>
      </c>
      <c r="K24">
        <f t="shared" si="1"/>
        <v>120</v>
      </c>
      <c r="L24" s="56">
        <f t="shared" si="2"/>
        <v>550</v>
      </c>
      <c r="M24" s="407">
        <f t="shared" si="5"/>
        <v>8.7653393438517413E-2</v>
      </c>
      <c r="N24" s="29">
        <f t="shared" si="3"/>
        <v>0.41666666666666663</v>
      </c>
      <c r="O24" s="57" cm="1">
        <f t="array" ref="O24:P24">[1]!PureBendingDesign(M24,$K$19*$E$6,(L24-I24)/L24)*L24*K24*$H$8/$K$8</f>
        <v>255.68475782435536</v>
      </c>
      <c r="P24" s="57">
        <v>0</v>
      </c>
      <c r="Q24" s="372">
        <f t="shared" si="4"/>
        <v>255.68475782435536</v>
      </c>
      <c r="R24" s="408">
        <f t="shared" si="6"/>
        <v>25.568475782435538</v>
      </c>
      <c r="S24" s="378"/>
      <c r="V24" s="110" t="s">
        <v>150</v>
      </c>
      <c r="W24" s="116">
        <f>MIN(AB20,AB21)</f>
        <v>9.5000000000000001E-2</v>
      </c>
      <c r="AB24" s="36"/>
      <c r="AD24" s="1"/>
      <c r="BT24" s="390"/>
      <c r="BU24" s="390"/>
      <c r="BV24" s="390"/>
      <c r="BW24" s="390"/>
      <c r="BX24" s="390"/>
      <c r="BY24" s="5"/>
      <c r="BZ24" s="391"/>
      <c r="CA24" s="391"/>
      <c r="CB24" s="396"/>
      <c r="CC24" s="398"/>
      <c r="CD24" s="399"/>
      <c r="CE24" s="400"/>
      <c r="CF24" s="377"/>
      <c r="CG24" s="377"/>
      <c r="CH24" s="380"/>
      <c r="CI24" s="378"/>
      <c r="CJ24" s="379"/>
      <c r="CK24" s="380"/>
      <c r="CL24" s="378"/>
      <c r="CM24" s="381"/>
    </row>
    <row r="25" spans="2:91" ht="14.4" customHeight="1" x14ac:dyDescent="0.3">
      <c r="B25" s="52">
        <v>120</v>
      </c>
      <c r="C25" s="52">
        <v>3870</v>
      </c>
      <c r="D25" s="52">
        <v>120</v>
      </c>
      <c r="E25" s="52">
        <v>1410</v>
      </c>
      <c r="F25" s="52">
        <v>2780</v>
      </c>
      <c r="G25" s="22">
        <f t="shared" si="0"/>
        <v>894</v>
      </c>
      <c r="H25" s="42">
        <v>600</v>
      </c>
      <c r="I25" s="42">
        <v>50</v>
      </c>
      <c r="J25" s="55">
        <v>35000000</v>
      </c>
      <c r="K25">
        <f t="shared" si="1"/>
        <v>894</v>
      </c>
      <c r="L25" s="56">
        <f t="shared" si="2"/>
        <v>550</v>
      </c>
      <c r="M25" s="407">
        <f t="shared" si="5"/>
        <v>9.8046301385366248E-3</v>
      </c>
      <c r="N25" s="29">
        <f t="shared" si="3"/>
        <v>0.41666666666666663</v>
      </c>
      <c r="O25" s="57" cm="1">
        <f t="array" ref="O25:P25">[1]!PureBendingDesign(M25,$K$19*$E$6,(L25-I25)/L25)*L25*K25*$H$8/$K$8</f>
        <v>204.28927704084063</v>
      </c>
      <c r="P25" s="57">
        <v>0</v>
      </c>
      <c r="Q25" s="372">
        <f t="shared" si="4"/>
        <v>204.6</v>
      </c>
      <c r="R25" s="408">
        <f t="shared" si="6"/>
        <v>20.46</v>
      </c>
      <c r="S25" s="378"/>
      <c r="V25" s="111" t="s">
        <v>9</v>
      </c>
      <c r="W25" s="117">
        <f>0.8-0.5*(AB18-0.2)</f>
        <v>0.66666666666666674</v>
      </c>
      <c r="AB25" s="36"/>
      <c r="BT25" s="390"/>
      <c r="BU25" s="390"/>
      <c r="BV25" s="390"/>
      <c r="BW25" s="390"/>
      <c r="BX25" s="390"/>
      <c r="BY25" s="5"/>
      <c r="BZ25" s="391"/>
      <c r="CA25" s="391"/>
      <c r="CB25" s="396"/>
      <c r="CC25" s="398"/>
      <c r="CD25" s="399"/>
      <c r="CE25" s="400"/>
      <c r="CF25" s="377"/>
      <c r="CG25" s="377"/>
      <c r="CH25" s="380"/>
      <c r="CI25" s="378"/>
      <c r="CJ25" s="379"/>
      <c r="CK25" s="380"/>
      <c r="CL25" s="378"/>
      <c r="CM25" s="381"/>
    </row>
    <row r="26" spans="2:91" x14ac:dyDescent="0.3">
      <c r="B26" s="52">
        <v>120</v>
      </c>
      <c r="C26" s="52">
        <v>3870</v>
      </c>
      <c r="D26" s="52">
        <v>120</v>
      </c>
      <c r="E26" s="52">
        <v>1410</v>
      </c>
      <c r="F26" s="52">
        <v>2780</v>
      </c>
      <c r="G26" s="22">
        <f t="shared" si="0"/>
        <v>894</v>
      </c>
      <c r="H26" s="42">
        <v>600</v>
      </c>
      <c r="I26" s="42">
        <v>50</v>
      </c>
      <c r="J26" s="55">
        <v>-43000000</v>
      </c>
      <c r="K26">
        <f t="shared" si="1"/>
        <v>120</v>
      </c>
      <c r="L26" s="56">
        <f t="shared" si="2"/>
        <v>550</v>
      </c>
      <c r="M26" s="407">
        <f t="shared" si="5"/>
        <v>8.9740378996577358E-2</v>
      </c>
      <c r="N26" s="29">
        <f t="shared" si="3"/>
        <v>0.41666666666666663</v>
      </c>
      <c r="O26" s="57" cm="1">
        <f t="array" ref="O26:P26">[1]!PureBendingDesign(M26,$K$19*$E$6,(L26-I26)/L26)*L26*K26*$H$8/$K$8</f>
        <v>262.08854666500412</v>
      </c>
      <c r="P26" s="57">
        <v>0</v>
      </c>
      <c r="Q26" s="372">
        <f t="shared" si="4"/>
        <v>262.08854666500412</v>
      </c>
      <c r="R26" s="408">
        <f t="shared" si="6"/>
        <v>26.208854666500415</v>
      </c>
      <c r="S26" s="378"/>
      <c r="V26" s="110" t="s">
        <v>144</v>
      </c>
      <c r="W26" s="117">
        <f>MAX(0.6,MIN(0.8,W25))</f>
        <v>0.66666666666666674</v>
      </c>
      <c r="AB26" s="36"/>
      <c r="BT26" s="390"/>
      <c r="BU26" s="392"/>
      <c r="BV26" s="390"/>
      <c r="BW26" s="390"/>
      <c r="BX26" s="390"/>
      <c r="BY26" s="5"/>
      <c r="BZ26" s="391"/>
      <c r="CA26" s="391"/>
      <c r="CB26" s="396"/>
      <c r="CC26" s="398"/>
      <c r="CD26" s="399"/>
      <c r="CE26" s="400"/>
      <c r="CF26" s="377"/>
      <c r="CG26" s="377"/>
      <c r="CH26" s="380"/>
      <c r="CI26" s="378"/>
      <c r="CJ26" s="379"/>
      <c r="CK26" s="380"/>
      <c r="CL26" s="378"/>
      <c r="CM26" s="382"/>
    </row>
    <row r="27" spans="2:91" x14ac:dyDescent="0.3">
      <c r="B27" s="52">
        <v>120</v>
      </c>
      <c r="C27" s="52">
        <v>3870</v>
      </c>
      <c r="D27" s="52">
        <v>120</v>
      </c>
      <c r="E27" s="52">
        <v>1410</v>
      </c>
      <c r="F27" s="52">
        <v>2780</v>
      </c>
      <c r="G27" s="22">
        <f t="shared" si="0"/>
        <v>894</v>
      </c>
      <c r="H27" s="42">
        <v>600</v>
      </c>
      <c r="I27" s="42">
        <v>50</v>
      </c>
      <c r="J27" s="55">
        <v>18000000</v>
      </c>
      <c r="K27">
        <f t="shared" si="1"/>
        <v>894</v>
      </c>
      <c r="L27" s="56">
        <f t="shared" si="2"/>
        <v>550</v>
      </c>
      <c r="M27" s="407">
        <f t="shared" si="5"/>
        <v>5.0423812141045504E-3</v>
      </c>
      <c r="N27" s="29">
        <f t="shared" si="3"/>
        <v>0.41666666666666663</v>
      </c>
      <c r="O27" s="57" cm="1">
        <f t="array" ref="O27:P27">[1]!PureBendingDesign(M27,$K$19*$E$6,(L27-I27)/L27)*L27*K27*$H$8/$K$8</f>
        <v>104.81037106601191</v>
      </c>
      <c r="P27" s="57">
        <v>0</v>
      </c>
      <c r="Q27" s="372">
        <f t="shared" si="4"/>
        <v>204.6</v>
      </c>
      <c r="R27" s="408">
        <f t="shared" si="6"/>
        <v>20.46</v>
      </c>
      <c r="S27" s="378"/>
      <c r="V27" s="110" t="s">
        <v>145</v>
      </c>
      <c r="W27" s="117">
        <f>W23+W24*W26</f>
        <v>0.26333333333333336</v>
      </c>
      <c r="AB27" s="36"/>
    </row>
    <row r="28" spans="2:91" x14ac:dyDescent="0.3">
      <c r="B28" s="52"/>
      <c r="C28" s="52"/>
      <c r="D28" s="52"/>
      <c r="E28" s="52"/>
      <c r="F28" s="52"/>
      <c r="G28" s="22"/>
      <c r="H28" s="42"/>
      <c r="I28" s="42"/>
      <c r="J28" s="55"/>
      <c r="L28" s="56"/>
      <c r="M28" s="407"/>
      <c r="N28" s="29"/>
      <c r="O28" s="57"/>
      <c r="P28" s="57"/>
      <c r="Q28" s="372"/>
      <c r="R28" s="408"/>
      <c r="S28" s="378"/>
      <c r="V28" s="111" t="s">
        <v>147</v>
      </c>
      <c r="W28" s="115">
        <f>MAX(W22,1/W22)</f>
        <v>2.4</v>
      </c>
      <c r="AB28" s="36"/>
    </row>
    <row r="29" spans="2:91" x14ac:dyDescent="0.3">
      <c r="B29" s="52"/>
      <c r="C29" s="52"/>
      <c r="D29" s="52"/>
      <c r="E29" s="52"/>
      <c r="F29" s="52"/>
      <c r="G29" s="22"/>
      <c r="H29" s="42"/>
      <c r="I29" s="42"/>
      <c r="J29" s="55"/>
      <c r="L29" s="56"/>
      <c r="M29" s="407"/>
      <c r="N29" s="29"/>
      <c r="O29" s="57"/>
      <c r="P29" s="57"/>
      <c r="Q29" s="372"/>
      <c r="R29" s="408"/>
      <c r="S29" s="378"/>
      <c r="V29" s="37"/>
      <c r="W29" s="7"/>
      <c r="AB29" s="36"/>
    </row>
    <row r="30" spans="2:91" x14ac:dyDescent="0.3">
      <c r="B30" s="52"/>
      <c r="C30" s="52"/>
      <c r="D30" s="52"/>
      <c r="E30" s="52"/>
      <c r="F30" s="52"/>
      <c r="G30" s="22"/>
      <c r="H30" s="42"/>
      <c r="I30" s="42"/>
      <c r="J30" s="55"/>
      <c r="L30" s="56"/>
      <c r="M30" s="407"/>
      <c r="N30" s="29"/>
      <c r="O30" s="57"/>
      <c r="P30" s="57"/>
      <c r="Q30" s="372"/>
      <c r="R30" s="408"/>
      <c r="S30" s="378"/>
      <c r="V30" s="37"/>
      <c r="AB30" s="36"/>
    </row>
    <row r="31" spans="2:91" x14ac:dyDescent="0.3">
      <c r="B31" s="52"/>
      <c r="C31" s="52"/>
      <c r="D31" s="52"/>
      <c r="E31" s="52"/>
      <c r="F31" s="52"/>
      <c r="G31" s="22"/>
      <c r="H31" s="42"/>
      <c r="I31" s="42"/>
      <c r="J31" s="55"/>
      <c r="L31" s="56"/>
      <c r="M31" s="407"/>
      <c r="N31" s="29"/>
      <c r="O31" s="57"/>
      <c r="P31" s="57"/>
      <c r="Q31" s="372"/>
      <c r="R31" s="408"/>
      <c r="S31" s="378"/>
      <c r="V31" s="37"/>
      <c r="AB31" s="36"/>
    </row>
    <row r="32" spans="2:91" x14ac:dyDescent="0.3">
      <c r="V32" s="37"/>
      <c r="AB32" s="36"/>
    </row>
    <row r="33" spans="22:28" x14ac:dyDescent="0.3">
      <c r="V33" s="37"/>
      <c r="AB33" s="36"/>
    </row>
    <row r="34" spans="22:28" x14ac:dyDescent="0.3">
      <c r="V34" s="37"/>
      <c r="AA34" s="497" t="s">
        <v>146</v>
      </c>
      <c r="AB34" s="498"/>
    </row>
    <row r="35" spans="22:28" x14ac:dyDescent="0.3">
      <c r="V35" s="37"/>
      <c r="AA35" s="103" t="s">
        <v>130</v>
      </c>
      <c r="AB35" s="82" cm="1">
        <f t="array" ref="AB35">[1]!AxialForceAndBendingSectionDesign_UF(AB19,AB19*W27,AB13/AB14,W28,AB5,AB7,15)</f>
        <v>0.89115844663391708</v>
      </c>
    </row>
    <row r="36" spans="22:28" ht="14.4" customHeight="1" x14ac:dyDescent="0.3">
      <c r="V36" s="37"/>
      <c r="AA36" s="120" t="s">
        <v>154</v>
      </c>
      <c r="AB36" s="279">
        <f>AB35*AB10/AB16</f>
        <v>3.2263236354987186E-2</v>
      </c>
    </row>
    <row r="37" spans="22:28" ht="14.4" customHeight="1" x14ac:dyDescent="0.3">
      <c r="V37" s="37"/>
      <c r="AA37" s="120" t="s">
        <v>153</v>
      </c>
      <c r="AB37" s="10">
        <v>8.0000000000000002E-3</v>
      </c>
    </row>
    <row r="38" spans="22:28" x14ac:dyDescent="0.3">
      <c r="V38" s="37"/>
      <c r="AA38" s="120" t="s">
        <v>152</v>
      </c>
      <c r="AB38" s="10">
        <v>2.5000000000000001E-2</v>
      </c>
    </row>
    <row r="39" spans="22:28" ht="25.2" customHeight="1" x14ac:dyDescent="0.35">
      <c r="V39" s="37"/>
      <c r="AA39" s="118" t="s">
        <v>26</v>
      </c>
      <c r="AB39" s="119">
        <f>AB36*W20*W21</f>
        <v>19357.941812992311</v>
      </c>
    </row>
    <row r="40" spans="22:28" x14ac:dyDescent="0.3">
      <c r="V40" s="37"/>
      <c r="AB40" s="36"/>
    </row>
    <row r="41" spans="22:28" x14ac:dyDescent="0.3">
      <c r="V41" s="37"/>
      <c r="AA41" s="2"/>
      <c r="AB41" s="36"/>
    </row>
    <row r="42" spans="22:28" x14ac:dyDescent="0.3">
      <c r="V42" s="37"/>
      <c r="AA42" s="2"/>
      <c r="AB42" s="36"/>
    </row>
    <row r="43" spans="22:28" x14ac:dyDescent="0.3">
      <c r="V43" s="37"/>
      <c r="AA43" s="2"/>
      <c r="AB43" s="36"/>
    </row>
    <row r="44" spans="22:28" x14ac:dyDescent="0.3">
      <c r="V44" s="37"/>
      <c r="AB44" s="36"/>
    </row>
    <row r="45" spans="22:28" x14ac:dyDescent="0.3">
      <c r="V45" s="37"/>
      <c r="AB45" s="36"/>
    </row>
    <row r="46" spans="22:28" x14ac:dyDescent="0.3">
      <c r="V46" s="499" t="s">
        <v>379</v>
      </c>
      <c r="W46" s="500"/>
      <c r="X46" s="500"/>
      <c r="Y46" s="500"/>
      <c r="Z46" s="500"/>
      <c r="AA46" s="500"/>
      <c r="AB46" s="501"/>
    </row>
    <row r="47" spans="22:28" ht="15" thickBot="1" x14ac:dyDescent="0.35">
      <c r="V47" s="502"/>
      <c r="W47" s="503"/>
      <c r="X47" s="503"/>
      <c r="Y47" s="503"/>
      <c r="Z47" s="503"/>
      <c r="AA47" s="503"/>
      <c r="AB47" s="504"/>
    </row>
    <row r="74" ht="14.4" customHeight="1" x14ac:dyDescent="0.3"/>
  </sheetData>
  <mergeCells count="57">
    <mergeCell ref="CB3:CC3"/>
    <mergeCell ref="BT4:BV4"/>
    <mergeCell ref="C15:D15"/>
    <mergeCell ref="B10:C10"/>
    <mergeCell ref="J3:K3"/>
    <mergeCell ref="BD12:BG12"/>
    <mergeCell ref="BI4:BJ5"/>
    <mergeCell ref="BV19:BZ19"/>
    <mergeCell ref="BT2:CE2"/>
    <mergeCell ref="BT10:BU10"/>
    <mergeCell ref="BX10:BY10"/>
    <mergeCell ref="BU13:BV13"/>
    <mergeCell ref="BU14:BV14"/>
    <mergeCell ref="BU15:BV15"/>
    <mergeCell ref="BT5:BV5"/>
    <mergeCell ref="BT6:BV6"/>
    <mergeCell ref="BT7:BV7"/>
    <mergeCell ref="BT9:BV9"/>
    <mergeCell ref="BX9:BZ9"/>
    <mergeCell ref="BT3:BW3"/>
    <mergeCell ref="BU16:BV16"/>
    <mergeCell ref="BU17:BV17"/>
    <mergeCell ref="BY3:BZ3"/>
    <mergeCell ref="AD17:AN18"/>
    <mergeCell ref="AQ17:BB18"/>
    <mergeCell ref="B9:D9"/>
    <mergeCell ref="F9:H9"/>
    <mergeCell ref="AD2:AO2"/>
    <mergeCell ref="B2:R2"/>
    <mergeCell ref="D19:H19"/>
    <mergeCell ref="C17:D17"/>
    <mergeCell ref="F10:G10"/>
    <mergeCell ref="G3:H3"/>
    <mergeCell ref="C16:D16"/>
    <mergeCell ref="B4:D4"/>
    <mergeCell ref="B3:E3"/>
    <mergeCell ref="B5:D5"/>
    <mergeCell ref="B6:D6"/>
    <mergeCell ref="B7:D7"/>
    <mergeCell ref="C13:D13"/>
    <mergeCell ref="C14:D14"/>
    <mergeCell ref="BD2:BR2"/>
    <mergeCell ref="BI6:BJ6"/>
    <mergeCell ref="BI7:BJ7"/>
    <mergeCell ref="AA34:AB34"/>
    <mergeCell ref="V46:AB47"/>
    <mergeCell ref="V2:AB2"/>
    <mergeCell ref="AA3:AB3"/>
    <mergeCell ref="AA12:AB12"/>
    <mergeCell ref="V19:W19"/>
    <mergeCell ref="X19:Y19"/>
    <mergeCell ref="AQ2:BB2"/>
    <mergeCell ref="AD3:AE3"/>
    <mergeCell ref="AQ3:AR3"/>
    <mergeCell ref="AD12:AE12"/>
    <mergeCell ref="AQ12:AR12"/>
    <mergeCell ref="BD3:BG3"/>
  </mergeCells>
  <conditionalFormatting sqref="L10">
    <cfRule type="cellIs" dxfId="23" priority="24" operator="equal">
      <formula>-1</formula>
    </cfRule>
  </conditionalFormatting>
  <conditionalFormatting sqref="AB36">
    <cfRule type="cellIs" dxfId="22" priority="13" operator="between">
      <formula>$AB$37</formula>
      <formula>$AB$38</formula>
    </cfRule>
    <cfRule type="cellIs" dxfId="21" priority="14" operator="lessThan">
      <formula>$AB$37</formula>
    </cfRule>
    <cfRule type="cellIs" dxfId="20" priority="15" operator="greaterThan">
      <formula>$AB$38</formula>
    </cfRule>
  </conditionalFormatting>
  <conditionalFormatting sqref="AN20:AN23">
    <cfRule type="cellIs" dxfId="19" priority="6" operator="greaterThan">
      <formula>$AH$15</formula>
    </cfRule>
  </conditionalFormatting>
  <conditionalFormatting sqref="BA20:BA23">
    <cfRule type="cellIs" dxfId="18" priority="5" operator="greaterThan">
      <formula>$AH$15</formula>
    </cfRule>
  </conditionalFormatting>
  <conditionalFormatting sqref="BJ20:BJ22">
    <cfRule type="cellIs" dxfId="17" priority="4" operator="greaterThan">
      <formula>$BG$6</formula>
    </cfRule>
  </conditionalFormatting>
  <conditionalFormatting sqref="BR20:BR22">
    <cfRule type="cellIs" dxfId="16" priority="3" operator="greaterThan">
      <formula>$BK$7</formula>
    </cfRule>
  </conditionalFormatting>
  <conditionalFormatting sqref="CC10">
    <cfRule type="cellIs" dxfId="15" priority="2" operator="equal">
      <formula>-1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F9408D-D92A-4491-AB5B-65CF34063D2F}">
  <dimension ref="B1:R49"/>
  <sheetViews>
    <sheetView topLeftCell="A9" zoomScaleNormal="100" workbookViewId="0">
      <selection activeCell="V21" sqref="V21"/>
    </sheetView>
  </sheetViews>
  <sheetFormatPr defaultRowHeight="14.4" x14ac:dyDescent="0.3"/>
  <cols>
    <col min="1" max="1" width="8.88671875" style="280"/>
    <col min="2" max="3" width="10.88671875" style="280" customWidth="1"/>
    <col min="4" max="4" width="10.88671875" style="441" customWidth="1"/>
    <col min="5" max="9" width="10.88671875" style="280" customWidth="1"/>
    <col min="10" max="10" width="8.88671875" style="280"/>
    <col min="11" max="18" width="10.88671875" style="280" customWidth="1"/>
    <col min="19" max="16384" width="8.88671875" style="280"/>
  </cols>
  <sheetData>
    <row r="1" spans="2:18" ht="15" thickBot="1" x14ac:dyDescent="0.35"/>
    <row r="2" spans="2:18" x14ac:dyDescent="0.3">
      <c r="B2" s="536" t="s">
        <v>438</v>
      </c>
      <c r="C2" s="537"/>
      <c r="D2" s="537"/>
      <c r="E2" s="537"/>
      <c r="F2" s="537"/>
      <c r="G2" s="537"/>
      <c r="H2" s="537"/>
      <c r="I2" s="538"/>
      <c r="J2" s="439"/>
      <c r="K2" s="536" t="s">
        <v>439</v>
      </c>
      <c r="L2" s="537"/>
      <c r="M2" s="537"/>
      <c r="N2" s="537"/>
      <c r="O2" s="537"/>
      <c r="P2" s="537"/>
      <c r="Q2" s="537"/>
      <c r="R2" s="538"/>
    </row>
    <row r="3" spans="2:18" x14ac:dyDescent="0.3">
      <c r="B3" s="462" t="s">
        <v>76</v>
      </c>
      <c r="C3" s="460"/>
      <c r="D3" s="461"/>
      <c r="E3" s="460"/>
      <c r="F3" s="443"/>
      <c r="G3" s="443"/>
      <c r="H3" s="443"/>
      <c r="I3" s="446"/>
      <c r="K3" s="462" t="s">
        <v>76</v>
      </c>
      <c r="L3" s="460"/>
      <c r="M3" s="461"/>
      <c r="N3" s="460"/>
      <c r="O3" s="443"/>
      <c r="P3" s="443"/>
      <c r="Q3" s="443"/>
      <c r="R3" s="446"/>
    </row>
    <row r="4" spans="2:18" x14ac:dyDescent="0.3">
      <c r="B4" s="442" t="s">
        <v>421</v>
      </c>
      <c r="C4" s="443"/>
      <c r="D4" s="467">
        <v>0.8</v>
      </c>
      <c r="E4" s="443" t="s">
        <v>418</v>
      </c>
      <c r="F4" s="443"/>
      <c r="G4" s="447"/>
      <c r="H4" s="443"/>
      <c r="I4" s="446"/>
      <c r="K4" s="442" t="s">
        <v>421</v>
      </c>
      <c r="L4" s="443"/>
      <c r="M4" s="467">
        <v>0.8</v>
      </c>
      <c r="N4" s="489" t="s">
        <v>418</v>
      </c>
      <c r="O4" s="443"/>
      <c r="P4" s="447"/>
      <c r="Q4" s="443"/>
      <c r="R4" s="446"/>
    </row>
    <row r="5" spans="2:18" x14ac:dyDescent="0.3">
      <c r="B5" s="442" t="s">
        <v>422</v>
      </c>
      <c r="C5" s="443"/>
      <c r="D5" s="467">
        <v>0.82499999999999996</v>
      </c>
      <c r="E5" s="443" t="s">
        <v>419</v>
      </c>
      <c r="F5" s="443"/>
      <c r="G5" s="447"/>
      <c r="H5" s="443"/>
      <c r="I5" s="446"/>
      <c r="K5" s="442" t="s">
        <v>422</v>
      </c>
      <c r="L5" s="443"/>
      <c r="M5" s="467">
        <v>0.82499999999999996</v>
      </c>
      <c r="N5" s="489" t="s">
        <v>419</v>
      </c>
      <c r="O5" s="443"/>
      <c r="P5" s="447"/>
      <c r="Q5" s="443"/>
      <c r="R5" s="446"/>
    </row>
    <row r="6" spans="2:18" x14ac:dyDescent="0.3">
      <c r="B6" s="442" t="s">
        <v>423</v>
      </c>
      <c r="C6" s="443"/>
      <c r="D6" s="467">
        <v>0.8</v>
      </c>
      <c r="E6" s="443" t="s">
        <v>49</v>
      </c>
      <c r="F6" s="443"/>
      <c r="G6" s="447"/>
      <c r="H6" s="443"/>
      <c r="I6" s="446"/>
      <c r="K6" s="442" t="s">
        <v>423</v>
      </c>
      <c r="L6" s="443"/>
      <c r="M6" s="467">
        <v>0.8</v>
      </c>
      <c r="N6" s="489" t="s">
        <v>49</v>
      </c>
      <c r="O6" s="443"/>
      <c r="P6" s="447"/>
      <c r="Q6" s="443"/>
      <c r="R6" s="446"/>
    </row>
    <row r="7" spans="2:18" x14ac:dyDescent="0.3">
      <c r="B7" s="442" t="s">
        <v>420</v>
      </c>
      <c r="C7" s="443"/>
      <c r="D7" s="467">
        <v>0.66666666666666663</v>
      </c>
      <c r="E7" s="443" t="s">
        <v>80</v>
      </c>
      <c r="F7" s="443"/>
      <c r="G7" s="447"/>
      <c r="H7" s="443"/>
      <c r="I7" s="446"/>
      <c r="K7" s="442" t="s">
        <v>420</v>
      </c>
      <c r="L7" s="443"/>
      <c r="M7" s="467">
        <v>0.66666666666666663</v>
      </c>
      <c r="N7" s="489" t="s">
        <v>80</v>
      </c>
      <c r="O7" s="443"/>
      <c r="P7" s="447"/>
      <c r="Q7" s="443"/>
      <c r="R7" s="446"/>
    </row>
    <row r="8" spans="2:18" x14ac:dyDescent="0.3">
      <c r="B8" s="442"/>
      <c r="C8" s="443"/>
      <c r="D8" s="448"/>
      <c r="E8" s="443"/>
      <c r="F8" s="443"/>
      <c r="G8" s="443"/>
      <c r="H8" s="443"/>
      <c r="I8" s="446"/>
      <c r="K8" s="442"/>
      <c r="L8" s="443"/>
      <c r="M8" s="448"/>
      <c r="N8" s="443"/>
      <c r="O8" s="443"/>
      <c r="P8" s="443"/>
      <c r="Q8" s="443"/>
      <c r="R8" s="446"/>
    </row>
    <row r="9" spans="2:18" x14ac:dyDescent="0.3">
      <c r="B9" s="462" t="s">
        <v>77</v>
      </c>
      <c r="C9" s="460"/>
      <c r="D9" s="448"/>
      <c r="E9" s="443"/>
      <c r="F9" s="443"/>
      <c r="G9" s="460" t="s">
        <v>69</v>
      </c>
      <c r="H9" s="460"/>
      <c r="I9" s="446"/>
      <c r="K9" s="462" t="s">
        <v>77</v>
      </c>
      <c r="L9" s="460"/>
      <c r="M9" s="448"/>
      <c r="N9" s="443"/>
      <c r="O9" s="443"/>
      <c r="P9" s="460" t="s">
        <v>69</v>
      </c>
      <c r="Q9" s="460"/>
      <c r="R9" s="446"/>
    </row>
    <row r="10" spans="2:18" x14ac:dyDescent="0.3">
      <c r="B10" s="442" t="s">
        <v>10</v>
      </c>
      <c r="C10" s="443"/>
      <c r="D10" s="467">
        <v>30</v>
      </c>
      <c r="E10" s="443"/>
      <c r="F10" s="443" t="s">
        <v>11</v>
      </c>
      <c r="G10" s="443"/>
      <c r="H10" s="467">
        <v>360</v>
      </c>
      <c r="I10" s="446"/>
      <c r="K10" s="442" t="s">
        <v>10</v>
      </c>
      <c r="L10" s="443"/>
      <c r="M10" s="467">
        <v>30</v>
      </c>
      <c r="N10" s="443"/>
      <c r="O10" s="443" t="s">
        <v>11</v>
      </c>
      <c r="P10" s="443"/>
      <c r="Q10" s="467">
        <v>360</v>
      </c>
      <c r="R10" s="446"/>
    </row>
    <row r="11" spans="2:18" x14ac:dyDescent="0.3">
      <c r="B11" s="442" t="s">
        <v>34</v>
      </c>
      <c r="C11" s="443"/>
      <c r="D11" s="467">
        <v>3.0000000000000001E-3</v>
      </c>
      <c r="E11" s="443"/>
      <c r="F11" s="443" t="s">
        <v>1</v>
      </c>
      <c r="G11" s="443"/>
      <c r="H11" s="468">
        <v>200000</v>
      </c>
      <c r="I11" s="446"/>
      <c r="K11" s="442" t="s">
        <v>34</v>
      </c>
      <c r="L11" s="443"/>
      <c r="M11" s="467">
        <v>3.0000000000000001E-3</v>
      </c>
      <c r="N11" s="443"/>
      <c r="O11" s="443" t="s">
        <v>1</v>
      </c>
      <c r="P11" s="443"/>
      <c r="Q11" s="468">
        <v>200000</v>
      </c>
      <c r="R11" s="446"/>
    </row>
    <row r="12" spans="2:18" x14ac:dyDescent="0.3">
      <c r="B12" s="442" t="s">
        <v>68</v>
      </c>
      <c r="C12" s="443"/>
      <c r="D12" s="470">
        <v>1.5</v>
      </c>
      <c r="E12" s="443"/>
      <c r="F12" s="443" t="s">
        <v>70</v>
      </c>
      <c r="G12" s="443"/>
      <c r="H12" s="470">
        <v>1.1499999999999999</v>
      </c>
      <c r="I12" s="446"/>
      <c r="K12" s="442" t="s">
        <v>68</v>
      </c>
      <c r="L12" s="443"/>
      <c r="M12" s="470">
        <v>1.5</v>
      </c>
      <c r="N12" s="443"/>
      <c r="O12" s="443" t="s">
        <v>70</v>
      </c>
      <c r="P12" s="443"/>
      <c r="Q12" s="470">
        <v>1.1499999999999999</v>
      </c>
      <c r="R12" s="446"/>
    </row>
    <row r="13" spans="2:18" x14ac:dyDescent="0.3">
      <c r="B13" s="442" t="s">
        <v>75</v>
      </c>
      <c r="C13" s="443"/>
      <c r="D13" s="471">
        <f>D10*D4*D5/D12</f>
        <v>13.199999999999998</v>
      </c>
      <c r="E13" s="443"/>
      <c r="F13" s="443" t="s">
        <v>35</v>
      </c>
      <c r="G13" s="443"/>
      <c r="H13" s="471">
        <f>H10/H12</f>
        <v>313.04347826086956</v>
      </c>
      <c r="I13" s="446"/>
      <c r="K13" s="442" t="s">
        <v>75</v>
      </c>
      <c r="L13" s="443"/>
      <c r="M13" s="471">
        <f>M10*M4*M5/M12</f>
        <v>13.199999999999998</v>
      </c>
      <c r="N13" s="443"/>
      <c r="O13" s="443" t="s">
        <v>35</v>
      </c>
      <c r="P13" s="443"/>
      <c r="Q13" s="471">
        <f>Q10/Q12</f>
        <v>313.04347826086956</v>
      </c>
      <c r="R13" s="446"/>
    </row>
    <row r="14" spans="2:18" x14ac:dyDescent="0.3">
      <c r="B14" s="442" t="s">
        <v>96</v>
      </c>
      <c r="C14" s="443"/>
      <c r="D14" s="471">
        <f>D7*D11/(D11+H10/H11)</f>
        <v>0.41666666666666663</v>
      </c>
      <c r="E14" s="443" t="s">
        <v>98</v>
      </c>
      <c r="F14" s="443"/>
      <c r="G14" s="444"/>
      <c r="H14" s="443"/>
      <c r="I14" s="446"/>
      <c r="K14" s="442" t="s">
        <v>96</v>
      </c>
      <c r="L14" s="443"/>
      <c r="M14" s="471">
        <f>M7*M11/(M11+Q10/Q11)</f>
        <v>0.41666666666666663</v>
      </c>
      <c r="N14" s="489" t="s">
        <v>98</v>
      </c>
      <c r="O14" s="443"/>
      <c r="P14" s="444"/>
      <c r="Q14" s="443"/>
      <c r="R14" s="446"/>
    </row>
    <row r="15" spans="2:18" x14ac:dyDescent="0.3">
      <c r="B15" s="442" t="s">
        <v>437</v>
      </c>
      <c r="C15" s="443"/>
      <c r="D15" s="474">
        <f>MIN(0.225*SQRT(D10)/H10,1.1/H10)</f>
        <v>3.0555555555555557E-3</v>
      </c>
      <c r="E15" s="443"/>
      <c r="F15" s="443"/>
      <c r="G15" s="443"/>
      <c r="H15" s="443"/>
      <c r="I15" s="446"/>
      <c r="K15" s="442" t="s">
        <v>437</v>
      </c>
      <c r="L15" s="443"/>
      <c r="M15" s="474">
        <f>MIN(0.225*SQRT(M10)/Q10,1.1/Q10)</f>
        <v>3.0555555555555557E-3</v>
      </c>
      <c r="N15" s="443"/>
      <c r="O15" s="443"/>
      <c r="P15" s="443"/>
      <c r="Q15" s="443"/>
      <c r="R15" s="446"/>
    </row>
    <row r="16" spans="2:18" x14ac:dyDescent="0.3">
      <c r="B16" s="442"/>
      <c r="C16" s="443"/>
      <c r="D16" s="474"/>
      <c r="E16" s="443"/>
      <c r="F16" s="443"/>
      <c r="G16" s="443"/>
      <c r="H16" s="443"/>
      <c r="I16" s="446"/>
      <c r="K16" s="442"/>
      <c r="L16" s="443"/>
      <c r="M16" s="474"/>
      <c r="N16" s="443"/>
      <c r="O16" s="443"/>
      <c r="P16" s="443"/>
      <c r="Q16" s="443"/>
      <c r="R16" s="446"/>
    </row>
    <row r="17" spans="2:18" x14ac:dyDescent="0.3">
      <c r="B17" s="464" t="s">
        <v>284</v>
      </c>
      <c r="C17" s="443"/>
      <c r="D17" s="481">
        <v>-60000000</v>
      </c>
      <c r="E17" s="443"/>
      <c r="F17" s="443"/>
      <c r="G17" s="443"/>
      <c r="H17" s="443"/>
      <c r="I17" s="446"/>
      <c r="K17" s="464" t="s">
        <v>284</v>
      </c>
      <c r="L17" s="443"/>
      <c r="M17" s="481">
        <v>900000000</v>
      </c>
      <c r="N17" s="443"/>
      <c r="O17" s="443"/>
      <c r="P17" s="443"/>
      <c r="Q17" s="443"/>
      <c r="R17" s="446"/>
    </row>
    <row r="18" spans="2:18" x14ac:dyDescent="0.3">
      <c r="B18" s="442"/>
      <c r="C18" s="463" t="s">
        <v>410</v>
      </c>
      <c r="D18" s="451"/>
      <c r="E18" s="443"/>
      <c r="F18" s="450"/>
      <c r="G18" s="463" t="s">
        <v>411</v>
      </c>
      <c r="H18" s="452"/>
      <c r="I18" s="446"/>
      <c r="K18" s="442"/>
      <c r="L18" s="463" t="s">
        <v>410</v>
      </c>
      <c r="M18" s="451"/>
      <c r="N18" s="443"/>
      <c r="O18" s="450"/>
      <c r="P18" s="463" t="s">
        <v>411</v>
      </c>
      <c r="Q18" s="452"/>
      <c r="R18" s="446"/>
    </row>
    <row r="19" spans="2:18" x14ac:dyDescent="0.3">
      <c r="B19" s="453" t="s">
        <v>4</v>
      </c>
      <c r="C19" s="443"/>
      <c r="D19" s="467">
        <v>120</v>
      </c>
      <c r="E19" s="443"/>
      <c r="F19" s="450" t="s">
        <v>24</v>
      </c>
      <c r="G19" s="450"/>
      <c r="H19" s="469">
        <v>3000</v>
      </c>
      <c r="I19" s="446"/>
      <c r="K19" s="453" t="s">
        <v>4</v>
      </c>
      <c r="L19" s="443"/>
      <c r="M19" s="467">
        <v>120</v>
      </c>
      <c r="N19" s="443"/>
      <c r="O19" s="450" t="s">
        <v>24</v>
      </c>
      <c r="P19" s="450"/>
      <c r="Q19" s="469">
        <v>3000</v>
      </c>
      <c r="R19" s="446"/>
    </row>
    <row r="20" spans="2:18" x14ac:dyDescent="0.3">
      <c r="B20" s="453" t="s">
        <v>71</v>
      </c>
      <c r="C20" s="443"/>
      <c r="D20" s="467">
        <v>600</v>
      </c>
      <c r="E20" s="443"/>
      <c r="F20" s="450" t="s">
        <v>412</v>
      </c>
      <c r="G20" s="450"/>
      <c r="H20" s="469">
        <v>1200</v>
      </c>
      <c r="I20" s="446"/>
      <c r="K20" s="453" t="s">
        <v>71</v>
      </c>
      <c r="L20" s="443"/>
      <c r="M20" s="467">
        <v>600</v>
      </c>
      <c r="N20" s="443"/>
      <c r="O20" s="450" t="s">
        <v>412</v>
      </c>
      <c r="P20" s="450"/>
      <c r="Q20" s="469">
        <v>1200</v>
      </c>
      <c r="R20" s="446"/>
    </row>
    <row r="21" spans="2:18" x14ac:dyDescent="0.3">
      <c r="B21" s="453" t="s">
        <v>72</v>
      </c>
      <c r="C21" s="443"/>
      <c r="D21" s="467">
        <v>50</v>
      </c>
      <c r="E21" s="443"/>
      <c r="F21" s="450" t="s">
        <v>413</v>
      </c>
      <c r="G21" s="450"/>
      <c r="H21" s="469">
        <v>1400</v>
      </c>
      <c r="I21" s="446"/>
      <c r="K21" s="453" t="s">
        <v>72</v>
      </c>
      <c r="L21" s="443"/>
      <c r="M21" s="467">
        <v>50</v>
      </c>
      <c r="N21" s="443"/>
      <c r="O21" s="450" t="s">
        <v>17</v>
      </c>
      <c r="P21" s="450"/>
      <c r="Q21" s="469">
        <v>120</v>
      </c>
      <c r="R21" s="446"/>
    </row>
    <row r="22" spans="2:18" x14ac:dyDescent="0.3">
      <c r="B22" s="453" t="s">
        <v>5</v>
      </c>
      <c r="C22" s="443"/>
      <c r="D22" s="467">
        <f>D20-D21</f>
        <v>550</v>
      </c>
      <c r="E22" s="443"/>
      <c r="F22" s="450" t="s">
        <v>17</v>
      </c>
      <c r="G22" s="450"/>
      <c r="H22" s="469">
        <v>120</v>
      </c>
      <c r="I22" s="446"/>
      <c r="K22" s="453" t="s">
        <v>5</v>
      </c>
      <c r="L22" s="443"/>
      <c r="M22" s="467">
        <f>M20-M21</f>
        <v>550</v>
      </c>
      <c r="N22" s="443"/>
      <c r="O22" s="298"/>
      <c r="P22" s="298"/>
      <c r="Q22" s="298"/>
      <c r="R22" s="446"/>
    </row>
    <row r="23" spans="2:18" x14ac:dyDescent="0.3">
      <c r="B23" s="442"/>
      <c r="C23" s="443"/>
      <c r="D23" s="448"/>
      <c r="E23" s="450"/>
      <c r="F23" s="443"/>
      <c r="G23" s="443"/>
      <c r="H23" s="443"/>
      <c r="I23" s="446"/>
      <c r="K23" s="442"/>
      <c r="L23" s="443"/>
      <c r="M23" s="448"/>
      <c r="N23" s="450"/>
      <c r="O23" s="443"/>
      <c r="P23" s="443"/>
      <c r="Q23" s="443"/>
      <c r="R23" s="446"/>
    </row>
    <row r="24" spans="2:18" x14ac:dyDescent="0.3">
      <c r="B24" s="465" t="s">
        <v>78</v>
      </c>
      <c r="C24" s="443"/>
      <c r="D24" s="448"/>
      <c r="E24" s="443"/>
      <c r="F24" s="443"/>
      <c r="G24" s="443"/>
      <c r="H24" s="443"/>
      <c r="I24" s="446"/>
      <c r="K24" s="465" t="s">
        <v>78</v>
      </c>
      <c r="L24" s="443"/>
      <c r="M24" s="448"/>
      <c r="N24" s="443"/>
      <c r="O24" s="443"/>
      <c r="P24" s="443"/>
      <c r="Q24" s="443"/>
      <c r="R24" s="446"/>
    </row>
    <row r="25" spans="2:18" x14ac:dyDescent="0.3">
      <c r="B25" s="445" t="s">
        <v>13</v>
      </c>
      <c r="C25" s="443"/>
      <c r="D25" s="454">
        <f>D19+H19/5</f>
        <v>720</v>
      </c>
      <c r="E25"/>
      <c r="F25" s="443"/>
      <c r="G25" s="443"/>
      <c r="H25" s="443"/>
      <c r="I25" s="446"/>
      <c r="K25" s="445" t="s">
        <v>13</v>
      </c>
      <c r="L25" s="443"/>
      <c r="M25" s="454">
        <f>M19+Q19/10</f>
        <v>420</v>
      </c>
      <c r="N25" s="443"/>
      <c r="O25" s="443"/>
      <c r="P25" s="443"/>
      <c r="Q25" s="443"/>
      <c r="R25" s="446"/>
    </row>
    <row r="26" spans="2:18" x14ac:dyDescent="0.3">
      <c r="B26" s="445" t="s">
        <v>14</v>
      </c>
      <c r="C26" s="443"/>
      <c r="D26" s="454">
        <f>D19+(H20+H21)/2</f>
        <v>1420</v>
      </c>
      <c r="E26" s="443"/>
      <c r="F26" s="443"/>
      <c r="G26" s="443"/>
      <c r="H26" s="443"/>
      <c r="I26" s="446"/>
      <c r="J26" s="440"/>
      <c r="K26" s="445" t="s">
        <v>14</v>
      </c>
      <c r="L26" s="443"/>
      <c r="M26" s="454">
        <f>M19+(Q20)/2</f>
        <v>720</v>
      </c>
      <c r="N26" s="443"/>
      <c r="O26" s="443"/>
      <c r="P26" s="443"/>
      <c r="Q26" s="443"/>
      <c r="R26" s="446"/>
    </row>
    <row r="27" spans="2:18" x14ac:dyDescent="0.3">
      <c r="B27" s="445" t="s">
        <v>94</v>
      </c>
      <c r="C27" s="443"/>
      <c r="D27" s="454">
        <f>D19+16*H22</f>
        <v>2040</v>
      </c>
      <c r="E27" s="443"/>
      <c r="F27" s="443"/>
      <c r="G27" s="443"/>
      <c r="H27" s="443"/>
      <c r="I27" s="446"/>
      <c r="K27" s="445" t="s">
        <v>94</v>
      </c>
      <c r="L27" s="443"/>
      <c r="M27" s="454">
        <f>M19+6*Q21</f>
        <v>840</v>
      </c>
      <c r="N27" s="443"/>
      <c r="O27" s="443"/>
      <c r="P27" s="443"/>
      <c r="Q27" s="443"/>
      <c r="R27" s="446"/>
    </row>
    <row r="28" spans="2:18" x14ac:dyDescent="0.3">
      <c r="B28" s="445" t="s">
        <v>414</v>
      </c>
      <c r="C28" s="443"/>
      <c r="D28" s="454">
        <f>MIN(D25:D27)</f>
        <v>720</v>
      </c>
      <c r="E28" s="443"/>
      <c r="F28" s="443"/>
      <c r="G28" s="443"/>
      <c r="H28" s="443"/>
      <c r="I28" s="446"/>
      <c r="K28" s="445" t="s">
        <v>414</v>
      </c>
      <c r="L28" s="443"/>
      <c r="M28" s="454">
        <f>MIN(M25:M27)</f>
        <v>420</v>
      </c>
      <c r="N28" s="443"/>
      <c r="O28" s="443"/>
      <c r="P28" s="443"/>
      <c r="Q28" s="443"/>
      <c r="R28" s="446"/>
    </row>
    <row r="29" spans="2:18" x14ac:dyDescent="0.3">
      <c r="B29" s="442"/>
      <c r="C29" s="443"/>
      <c r="D29" s="448"/>
      <c r="E29" s="443"/>
      <c r="F29" s="443"/>
      <c r="G29" s="443"/>
      <c r="H29" s="443"/>
      <c r="I29" s="446"/>
      <c r="K29" s="442"/>
      <c r="L29" s="443"/>
      <c r="M29" s="448"/>
      <c r="N29" s="443"/>
      <c r="O29" s="443"/>
      <c r="P29" s="443"/>
      <c r="Q29" s="443"/>
      <c r="R29" s="446"/>
    </row>
    <row r="30" spans="2:18" x14ac:dyDescent="0.3">
      <c r="B30" s="475" t="s">
        <v>415</v>
      </c>
      <c r="C30" s="476"/>
      <c r="D30" s="477"/>
      <c r="E30" s="443"/>
      <c r="F30" s="443"/>
      <c r="G30" s="443"/>
      <c r="H30" s="443"/>
      <c r="I30" s="446"/>
      <c r="K30" s="475" t="s">
        <v>415</v>
      </c>
      <c r="L30" s="476"/>
      <c r="M30" s="477"/>
      <c r="N30" s="443"/>
      <c r="O30" s="443"/>
      <c r="P30" s="443"/>
      <c r="Q30" s="443"/>
      <c r="R30" s="446"/>
    </row>
    <row r="31" spans="2:18" x14ac:dyDescent="0.3">
      <c r="B31" s="445" t="s">
        <v>416</v>
      </c>
      <c r="C31" s="455"/>
      <c r="D31" s="454">
        <f>IF(D17&gt;0,D17/D13/D28/D22/D22,-D17/D19/D22/D22/D13)</f>
        <v>0.12521913348359631</v>
      </c>
      <c r="E31" s="535" t="s">
        <v>417</v>
      </c>
      <c r="F31" s="535"/>
      <c r="G31" s="443"/>
      <c r="H31" s="443"/>
      <c r="I31" s="446"/>
      <c r="K31" s="445" t="s">
        <v>416</v>
      </c>
      <c r="L31" s="455"/>
      <c r="M31" s="454">
        <f>IF(M17&gt;0,M17/M13/M28/M22/M22,-M17/M19/M22/M22/M13)</f>
        <v>0.53665342921541281</v>
      </c>
      <c r="N31" s="539" t="s">
        <v>417</v>
      </c>
      <c r="O31" s="539"/>
      <c r="P31" s="443"/>
      <c r="Q31" s="443"/>
      <c r="R31" s="446"/>
    </row>
    <row r="32" spans="2:18" x14ac:dyDescent="0.3">
      <c r="B32" s="442" t="s">
        <v>73</v>
      </c>
      <c r="C32" s="443" t="s">
        <v>425</v>
      </c>
      <c r="D32" s="454" cm="1">
        <f t="array" ref="D32:D33">TRANSPOSE([1]!PureBendingDesign(D31,D14/D6,D6))</f>
        <v>0.1342276667432338</v>
      </c>
      <c r="E32" s="535" t="s">
        <v>434</v>
      </c>
      <c r="F32" s="535"/>
      <c r="G32" s="443"/>
      <c r="H32" s="443"/>
      <c r="I32" s="446"/>
      <c r="K32" s="442" t="s">
        <v>73</v>
      </c>
      <c r="L32" s="443" t="s">
        <v>425</v>
      </c>
      <c r="M32" s="454" cm="1">
        <f t="array" ref="M32:M33">TRANSPOSE([1]!PureBendingDesign(M31,M14/M6,M6))</f>
        <v>0.71015055388037707</v>
      </c>
      <c r="N32" s="539" t="s">
        <v>434</v>
      </c>
      <c r="O32" s="539"/>
      <c r="P32" s="443"/>
      <c r="Q32" s="443"/>
      <c r="R32" s="446"/>
    </row>
    <row r="33" spans="2:18" x14ac:dyDescent="0.3">
      <c r="B33" s="442"/>
      <c r="C33" s="443" t="s">
        <v>426</v>
      </c>
      <c r="D33" s="454">
        <v>0</v>
      </c>
      <c r="E33" s="443"/>
      <c r="F33" s="443"/>
      <c r="G33" s="443"/>
      <c r="H33" s="443"/>
      <c r="I33" s="446"/>
      <c r="K33" s="442"/>
      <c r="L33" s="443" t="s">
        <v>426</v>
      </c>
      <c r="M33" s="454">
        <v>0.18931722054704384</v>
      </c>
      <c r="N33" s="443"/>
      <c r="O33" s="443"/>
      <c r="P33" s="443"/>
      <c r="Q33" s="443"/>
      <c r="R33" s="446"/>
    </row>
    <row r="34" spans="2:18" x14ac:dyDescent="0.3">
      <c r="B34" s="442" t="s">
        <v>92</v>
      </c>
      <c r="C34" s="443"/>
      <c r="D34" s="454">
        <f>D32/D6</f>
        <v>0.16778458342904223</v>
      </c>
      <c r="E34" s="443"/>
      <c r="F34" s="443" t="s">
        <v>431</v>
      </c>
      <c r="G34" s="454">
        <f>D34*D22</f>
        <v>92.281520885973222</v>
      </c>
      <c r="H34" s="443"/>
      <c r="I34" s="446"/>
      <c r="K34" s="442" t="s">
        <v>92</v>
      </c>
      <c r="L34" s="443"/>
      <c r="M34" s="454">
        <f>M32/M6</f>
        <v>0.88768819235047125</v>
      </c>
      <c r="N34" s="443"/>
      <c r="O34" s="443" t="s">
        <v>431</v>
      </c>
      <c r="P34" s="479">
        <f>M34*M22</f>
        <v>488.22850579275917</v>
      </c>
      <c r="Q34" s="443"/>
      <c r="R34" s="446"/>
    </row>
    <row r="35" spans="2:18" x14ac:dyDescent="0.3">
      <c r="B35" s="442" t="s">
        <v>26</v>
      </c>
      <c r="C35" s="443" t="s">
        <v>425</v>
      </c>
      <c r="D35" s="454">
        <f>MAX(D32*D28*D22*D13/H13,D15*D19*D20)</f>
        <v>2241.3335792785178</v>
      </c>
      <c r="E35" s="443"/>
      <c r="F35" s="443" t="s">
        <v>427</v>
      </c>
      <c r="G35" s="478" t="b">
        <f>IF(AND(D17&gt;0,G34&gt;H22),FALSE, TRUE)</f>
        <v>1</v>
      </c>
      <c r="H35" s="443"/>
      <c r="I35" s="446"/>
      <c r="K35" s="442" t="s">
        <v>26</v>
      </c>
      <c r="L35" s="443" t="s">
        <v>425</v>
      </c>
      <c r="M35" s="454">
        <f>MAX(M32*M28*M22*M13/Q13,M15*M19*M20)</f>
        <v>6917.2214700718114</v>
      </c>
      <c r="N35" s="443"/>
      <c r="O35" s="443" t="s">
        <v>427</v>
      </c>
      <c r="P35" s="478" t="b">
        <f>IF(P34&gt;Q21,FALSE, TRUE)</f>
        <v>0</v>
      </c>
      <c r="Q35" s="443"/>
      <c r="R35" s="446"/>
    </row>
    <row r="36" spans="2:18" x14ac:dyDescent="0.3">
      <c r="B36" s="442"/>
      <c r="C36" s="443" t="s">
        <v>426</v>
      </c>
      <c r="D36" s="454">
        <f>MAX(D33*D28*D22*D13/H13,0.1*D35)</f>
        <v>224.13335792785179</v>
      </c>
      <c r="E36" s="443"/>
      <c r="F36" s="443"/>
      <c r="G36" s="443"/>
      <c r="H36" s="443"/>
      <c r="I36" s="446"/>
      <c r="K36" s="442"/>
      <c r="L36" s="443" t="s">
        <v>426</v>
      </c>
      <c r="M36" s="454">
        <f>MAX(M33*M28*M22*M13/Q13,0.1*M35)</f>
        <v>1844.0443867384802</v>
      </c>
      <c r="N36" s="443"/>
      <c r="O36" s="443"/>
      <c r="P36" s="443"/>
      <c r="Q36" s="443"/>
      <c r="R36" s="446"/>
    </row>
    <row r="37" spans="2:18" x14ac:dyDescent="0.3">
      <c r="B37" s="464"/>
      <c r="C37" s="476"/>
      <c r="D37" s="477"/>
      <c r="E37" s="443"/>
      <c r="F37" s="298"/>
      <c r="G37" s="443"/>
      <c r="H37" s="443"/>
      <c r="I37" s="446"/>
      <c r="K37" s="464" t="s">
        <v>428</v>
      </c>
      <c r="L37" s="476"/>
      <c r="M37" s="477"/>
      <c r="N37" s="443"/>
      <c r="O37" s="443"/>
      <c r="P37" s="443"/>
      <c r="Q37" s="443"/>
      <c r="R37" s="446"/>
    </row>
    <row r="38" spans="2:18" x14ac:dyDescent="0.3">
      <c r="B38" s="464" t="s">
        <v>428</v>
      </c>
      <c r="C38" s="476"/>
      <c r="D38" s="477"/>
      <c r="E38" s="443"/>
      <c r="F38" s="298"/>
      <c r="G38" s="443"/>
      <c r="H38" s="443"/>
      <c r="I38" s="446"/>
      <c r="K38" s="442" t="s">
        <v>386</v>
      </c>
      <c r="L38" s="443"/>
      <c r="M38" s="448">
        <f>(M22-Q21/2)*(M28-M19)*Q21*M13</f>
        <v>232847999.99999997</v>
      </c>
      <c r="N38" s="443"/>
      <c r="O38" s="443"/>
      <c r="P38" s="443"/>
      <c r="Q38" s="443"/>
      <c r="R38" s="446"/>
    </row>
    <row r="39" spans="2:18" x14ac:dyDescent="0.3">
      <c r="B39" s="442" t="s">
        <v>386</v>
      </c>
      <c r="C39" s="443"/>
      <c r="D39" s="480">
        <f>(D22-H22/2)*(D28-D19)*H22*D13</f>
        <v>465695999.99999994</v>
      </c>
      <c r="E39" s="443"/>
      <c r="F39" s="443"/>
      <c r="G39" s="443"/>
      <c r="H39" s="443"/>
      <c r="I39" s="446"/>
      <c r="K39" s="442" t="s">
        <v>429</v>
      </c>
      <c r="L39" s="443"/>
      <c r="M39" s="454">
        <f>MAX(0,M17-M38)</f>
        <v>667152000</v>
      </c>
      <c r="N39" s="443"/>
      <c r="O39" s="443"/>
      <c r="P39" s="443"/>
      <c r="Q39" s="443"/>
      <c r="R39" s="446"/>
    </row>
    <row r="40" spans="2:18" x14ac:dyDescent="0.3">
      <c r="B40" s="442" t="s">
        <v>429</v>
      </c>
      <c r="C40" s="443"/>
      <c r="D40" s="454">
        <f>MAX(0,D17-D39)</f>
        <v>0</v>
      </c>
      <c r="E40" s="443"/>
      <c r="F40" s="443"/>
      <c r="G40" s="443"/>
      <c r="H40" s="443"/>
      <c r="I40" s="446"/>
      <c r="K40" s="442" t="s">
        <v>430</v>
      </c>
      <c r="L40" s="443"/>
      <c r="M40" s="454">
        <f>(M28-M19)*Q21*M13/Q13</f>
        <v>1517.9999999999995</v>
      </c>
      <c r="N40" s="443"/>
      <c r="O40" s="443"/>
      <c r="P40" s="443"/>
      <c r="Q40" s="443"/>
      <c r="R40" s="446"/>
    </row>
    <row r="41" spans="2:18" x14ac:dyDescent="0.3">
      <c r="B41" s="442" t="s">
        <v>430</v>
      </c>
      <c r="C41" s="443"/>
      <c r="D41" s="454">
        <f>(D28-D19)*H22*D13/H13</f>
        <v>3035.9999999999991</v>
      </c>
      <c r="E41" s="443"/>
      <c r="F41" s="443"/>
      <c r="G41" s="443"/>
      <c r="H41" s="443"/>
      <c r="I41" s="446"/>
      <c r="K41" s="445" t="s">
        <v>416</v>
      </c>
      <c r="L41" s="455"/>
      <c r="M41" s="454">
        <f>M39/M19/M13/M22/M22</f>
        <v>1.3923365890308042</v>
      </c>
      <c r="N41" s="489" t="s">
        <v>424</v>
      </c>
      <c r="O41" s="443"/>
      <c r="P41" s="488" t="s">
        <v>440</v>
      </c>
      <c r="Q41" s="476"/>
      <c r="R41" s="446"/>
    </row>
    <row r="42" spans="2:18" x14ac:dyDescent="0.3">
      <c r="B42" s="445" t="s">
        <v>416</v>
      </c>
      <c r="C42" s="455"/>
      <c r="D42" s="454">
        <f>D40/D19/D13/D22/D22</f>
        <v>0</v>
      </c>
      <c r="E42" s="443" t="s">
        <v>424</v>
      </c>
      <c r="F42" s="443"/>
      <c r="G42" s="488" t="s">
        <v>440</v>
      </c>
      <c r="H42" s="476"/>
      <c r="I42" s="446"/>
      <c r="K42" s="442" t="s">
        <v>73</v>
      </c>
      <c r="L42" s="443" t="s">
        <v>425</v>
      </c>
      <c r="M42" s="449" cm="1">
        <f t="array" ref="M42:M43">TRANSPOSE([1]!PureBendingDesign(M41,M14/M6,M6))</f>
        <v>1.7797545036496163</v>
      </c>
      <c r="N42" s="443"/>
      <c r="O42" s="298"/>
      <c r="P42" s="298" t="s">
        <v>442</v>
      </c>
      <c r="Q42" s="298" t="s">
        <v>443</v>
      </c>
      <c r="R42" s="446"/>
    </row>
    <row r="43" spans="2:18" x14ac:dyDescent="0.3">
      <c r="B43" s="442" t="s">
        <v>73</v>
      </c>
      <c r="C43" s="443" t="s">
        <v>425</v>
      </c>
      <c r="D43" s="449" cm="1">
        <f t="array" ref="D43:D44">TRANSPOSE([1]!PureBendingDesign(D42,D14/D6,D6))</f>
        <v>0</v>
      </c>
      <c r="E43" s="443"/>
      <c r="F43" s="298"/>
      <c r="G43" s="298" t="s">
        <v>442</v>
      </c>
      <c r="H43" s="298" t="s">
        <v>443</v>
      </c>
      <c r="I43" s="446"/>
      <c r="K43" s="442"/>
      <c r="L43" s="443" t="s">
        <v>426</v>
      </c>
      <c r="M43" s="454">
        <v>1.258921170316283</v>
      </c>
      <c r="N43" s="443"/>
      <c r="O43" s="316"/>
      <c r="P43" s="466">
        <f>IF(P35=TRUE,IF(M17&gt;0,M35,M36),M45)</f>
        <v>6471.0567836568807</v>
      </c>
      <c r="Q43" s="485">
        <f>IF(P35=TRUE,IF(M17&gt;0,M36,M35),M45)</f>
        <v>6471.0567836568807</v>
      </c>
      <c r="R43" s="446"/>
    </row>
    <row r="44" spans="2:18" x14ac:dyDescent="0.3">
      <c r="B44" s="442"/>
      <c r="C44" s="443" t="s">
        <v>426</v>
      </c>
      <c r="D44" s="454">
        <v>0</v>
      </c>
      <c r="E44" s="443"/>
      <c r="F44" s="316"/>
      <c r="G44" s="466">
        <f>IF(G35=TRUE,IF(D17&gt;0,D35,D36),D46)</f>
        <v>224.13335792785179</v>
      </c>
      <c r="H44" s="485">
        <f>IF(G35=TRUE,IF(D17&gt;0,D36,D35),D46)</f>
        <v>2241.3335792785178</v>
      </c>
      <c r="I44" s="446"/>
      <c r="K44" s="442" t="s">
        <v>432</v>
      </c>
      <c r="L44" s="443"/>
      <c r="M44" s="454">
        <f>M42*M19*M22*M13/Q13</f>
        <v>4953.0567836568816</v>
      </c>
      <c r="N44" s="443"/>
      <c r="O44" s="482" t="s">
        <v>25</v>
      </c>
      <c r="P44" s="483">
        <v>12</v>
      </c>
      <c r="Q44" s="484">
        <v>20</v>
      </c>
      <c r="R44" s="446"/>
    </row>
    <row r="45" spans="2:18" x14ac:dyDescent="0.3">
      <c r="B45" s="442" t="s">
        <v>432</v>
      </c>
      <c r="C45" s="443"/>
      <c r="D45" s="454">
        <f>D43*D19*D22*D13/H13</f>
        <v>0</v>
      </c>
      <c r="E45" s="443"/>
      <c r="F45" s="482" t="s">
        <v>25</v>
      </c>
      <c r="G45" s="483">
        <v>12</v>
      </c>
      <c r="H45" s="484">
        <v>20</v>
      </c>
      <c r="I45" s="446"/>
      <c r="K45" s="442" t="s">
        <v>433</v>
      </c>
      <c r="L45" s="443"/>
      <c r="M45" s="454">
        <f>M44+M40</f>
        <v>6471.0567836568807</v>
      </c>
      <c r="N45" s="443"/>
      <c r="O45" s="482" t="s">
        <v>441</v>
      </c>
      <c r="P45" s="443">
        <f>3.14*P44*P44/4</f>
        <v>113.03999999999999</v>
      </c>
      <c r="Q45" s="443">
        <f>3.14*Q44*Q44/4</f>
        <v>314</v>
      </c>
      <c r="R45" s="446"/>
    </row>
    <row r="46" spans="2:18" x14ac:dyDescent="0.3">
      <c r="B46" s="442" t="s">
        <v>433</v>
      </c>
      <c r="C46" s="443"/>
      <c r="D46" s="454">
        <f>D45+D41</f>
        <v>3035.9999999999991</v>
      </c>
      <c r="E46" s="443"/>
      <c r="F46" s="482" t="s">
        <v>441</v>
      </c>
      <c r="G46" s="443">
        <f>3.14*G45*G45/4</f>
        <v>113.03999999999999</v>
      </c>
      <c r="H46" s="443">
        <f>3.14*H45*H45/4</f>
        <v>314</v>
      </c>
      <c r="I46" s="446"/>
      <c r="K46" s="442"/>
      <c r="L46" s="443"/>
      <c r="M46" s="454"/>
      <c r="N46" s="443"/>
      <c r="O46" s="316" t="s">
        <v>165</v>
      </c>
      <c r="P46" s="486">
        <f>ROUNDUP(P43/P45,0)</f>
        <v>58</v>
      </c>
      <c r="Q46" s="487">
        <f>ROUNDUP(Q43/Q45,0)</f>
        <v>21</v>
      </c>
      <c r="R46" s="446"/>
    </row>
    <row r="47" spans="2:18" x14ac:dyDescent="0.3">
      <c r="B47" s="442"/>
      <c r="C47" s="443"/>
      <c r="D47" s="321"/>
      <c r="E47" s="298"/>
      <c r="F47" s="316" t="s">
        <v>165</v>
      </c>
      <c r="G47" s="486">
        <f>ROUNDUP(G44/G46,0)</f>
        <v>2</v>
      </c>
      <c r="H47" s="487">
        <f>ROUNDUP(H44/H46,0)</f>
        <v>8</v>
      </c>
      <c r="I47" s="446"/>
      <c r="K47" s="442"/>
      <c r="L47" s="443"/>
      <c r="M47" s="454"/>
      <c r="N47" s="443"/>
      <c r="O47" s="443"/>
      <c r="P47" s="443"/>
      <c r="Q47" s="443"/>
      <c r="R47" s="446"/>
    </row>
    <row r="48" spans="2:18" x14ac:dyDescent="0.3">
      <c r="B48" s="442"/>
      <c r="C48" s="443"/>
      <c r="D48" s="443"/>
      <c r="E48" s="443"/>
      <c r="F48" s="443"/>
      <c r="G48" s="443"/>
      <c r="H48" s="443"/>
      <c r="I48" s="446"/>
      <c r="K48" s="442"/>
      <c r="L48" s="443"/>
      <c r="M48" s="454"/>
      <c r="N48" s="443"/>
      <c r="O48" s="443"/>
      <c r="P48" s="443"/>
      <c r="Q48" s="443"/>
      <c r="R48" s="446"/>
    </row>
    <row r="49" spans="2:18" ht="15" thickBot="1" x14ac:dyDescent="0.35">
      <c r="B49" s="456"/>
      <c r="C49" s="457"/>
      <c r="D49" s="458"/>
      <c r="E49" s="457"/>
      <c r="F49" s="457"/>
      <c r="G49" s="457"/>
      <c r="H49" s="457"/>
      <c r="I49" s="459"/>
      <c r="K49" s="456"/>
      <c r="L49" s="457"/>
      <c r="M49" s="458"/>
      <c r="N49" s="457"/>
      <c r="O49" s="457"/>
      <c r="P49" s="457"/>
      <c r="Q49" s="457"/>
      <c r="R49" s="459"/>
    </row>
  </sheetData>
  <mergeCells count="6">
    <mergeCell ref="E31:F31"/>
    <mergeCell ref="E32:F32"/>
    <mergeCell ref="B2:I2"/>
    <mergeCell ref="K2:R2"/>
    <mergeCell ref="N31:O31"/>
    <mergeCell ref="N32:O32"/>
  </mergeCells>
  <phoneticPr fontId="3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FC38F-3ED0-461E-83E9-00E41F822C11}">
  <sheetPr codeName="Sheet6"/>
  <dimension ref="B1:BU104"/>
  <sheetViews>
    <sheetView tabSelected="1" topLeftCell="A8" zoomScale="88" zoomScaleNormal="89" workbookViewId="0">
      <selection activeCell="N30" sqref="N30"/>
    </sheetView>
  </sheetViews>
  <sheetFormatPr defaultRowHeight="14.4" x14ac:dyDescent="0.3"/>
  <cols>
    <col min="1" max="1" width="10.109375" customWidth="1"/>
    <col min="2" max="10" width="10.77734375" customWidth="1"/>
    <col min="11" max="13" width="10.77734375" style="27" customWidth="1"/>
    <col min="14" max="16" width="10.77734375" customWidth="1"/>
    <col min="17" max="17" width="10.5546875" customWidth="1"/>
    <col min="18" max="18" width="9.21875" bestFit="1" customWidth="1"/>
    <col min="19" max="19" width="15.6640625" customWidth="1"/>
    <col min="20" max="20" width="11.33203125" customWidth="1"/>
    <col min="21" max="21" width="15" customWidth="1"/>
    <col min="22" max="22" width="14.5546875" customWidth="1"/>
    <col min="23" max="23" width="13.6640625" customWidth="1"/>
    <col min="24" max="24" width="14.109375" bestFit="1" customWidth="1"/>
    <col min="25" max="25" width="9" bestFit="1" customWidth="1"/>
    <col min="26" max="26" width="13.44140625" bestFit="1" customWidth="1"/>
    <col min="27" max="27" width="10.6640625" bestFit="1" customWidth="1"/>
    <col min="28" max="28" width="11.77734375" bestFit="1" customWidth="1"/>
    <col min="29" max="29" width="10.77734375" customWidth="1"/>
    <col min="30" max="30" width="12.77734375" bestFit="1" customWidth="1"/>
    <col min="31" max="31" width="13" customWidth="1"/>
    <col min="32" max="32" width="13.33203125" style="1" customWidth="1"/>
    <col min="33" max="33" width="9.21875" bestFit="1" customWidth="1"/>
    <col min="34" max="35" width="8.88671875" customWidth="1"/>
    <col min="36" max="36" width="9.33203125" customWidth="1"/>
    <col min="37" max="37" width="10.44140625" customWidth="1"/>
    <col min="38" max="38" width="15.33203125" customWidth="1"/>
    <col min="39" max="39" width="11.77734375" bestFit="1" customWidth="1"/>
    <col min="40" max="41" width="13.77734375" customWidth="1"/>
    <col min="44" max="45" width="13.77734375" customWidth="1"/>
    <col min="46" max="46" width="12.109375" customWidth="1"/>
    <col min="47" max="47" width="12.33203125" customWidth="1"/>
    <col min="48" max="51" width="10.88671875" customWidth="1"/>
    <col min="52" max="52" width="17.109375" customWidth="1"/>
    <col min="73" max="73" width="9.21875" bestFit="1" customWidth="1"/>
  </cols>
  <sheetData>
    <row r="1" spans="2:72" ht="20.399999999999999" customHeight="1" thickBot="1" x14ac:dyDescent="0.35"/>
    <row r="2" spans="2:72" ht="21.6" thickBot="1" x14ac:dyDescent="0.45">
      <c r="R2" s="582" t="s">
        <v>127</v>
      </c>
      <c r="S2" s="583"/>
      <c r="T2" s="583"/>
      <c r="U2" s="583"/>
      <c r="V2" s="583"/>
      <c r="W2" s="583"/>
      <c r="X2" s="584"/>
      <c r="Z2" s="544" t="s">
        <v>374</v>
      </c>
      <c r="AA2" s="545"/>
      <c r="AB2" s="545"/>
      <c r="AC2" s="545"/>
      <c r="AD2" s="545"/>
      <c r="AE2" s="545"/>
      <c r="AF2" s="545"/>
      <c r="AG2" s="545"/>
      <c r="AH2" s="545"/>
      <c r="AI2" s="545"/>
      <c r="AJ2" s="545"/>
      <c r="AK2" s="545"/>
      <c r="AL2" s="545"/>
      <c r="AM2" s="545"/>
      <c r="AN2" s="545"/>
      <c r="AO2" s="546"/>
      <c r="AR2" s="585" t="s">
        <v>156</v>
      </c>
      <c r="AS2" s="586"/>
      <c r="AT2" s="545"/>
      <c r="AU2" s="545"/>
      <c r="AV2" s="545"/>
      <c r="AW2" s="545"/>
      <c r="AX2" s="545"/>
      <c r="AY2" s="545"/>
      <c r="AZ2" s="545"/>
      <c r="BA2" s="545"/>
      <c r="BB2" s="545"/>
      <c r="BC2" s="545"/>
      <c r="BD2" s="545"/>
      <c r="BE2" s="545"/>
      <c r="BF2" s="546"/>
      <c r="BI2" s="530" t="s">
        <v>384</v>
      </c>
      <c r="BJ2" s="531"/>
      <c r="BK2" s="531"/>
      <c r="BL2" s="531"/>
      <c r="BM2" s="531"/>
      <c r="BN2" s="531"/>
      <c r="BO2" s="531"/>
      <c r="BP2" s="531"/>
      <c r="BQ2" s="531"/>
      <c r="BR2" s="531"/>
      <c r="BS2" s="531"/>
      <c r="BT2" s="532"/>
    </row>
    <row r="3" spans="2:72" ht="20.399999999999999" thickBot="1" x14ac:dyDescent="0.45">
      <c r="B3" s="571" t="s">
        <v>67</v>
      </c>
      <c r="C3" s="572"/>
      <c r="D3" s="572"/>
      <c r="E3" s="572"/>
      <c r="F3" s="572"/>
      <c r="G3" s="572"/>
      <c r="H3" s="572"/>
      <c r="I3" s="572"/>
      <c r="J3" s="572"/>
      <c r="K3" s="572"/>
      <c r="L3" s="572"/>
      <c r="M3" s="572"/>
      <c r="N3" s="572"/>
      <c r="O3" s="572"/>
      <c r="P3" s="573"/>
      <c r="R3" s="568" t="s">
        <v>58</v>
      </c>
      <c r="S3" s="569"/>
      <c r="X3" s="36"/>
      <c r="Z3" s="511" t="s">
        <v>126</v>
      </c>
      <c r="AA3" s="512"/>
      <c r="AF3"/>
      <c r="AO3" s="36"/>
      <c r="AR3" s="509" t="s">
        <v>126</v>
      </c>
      <c r="AS3" s="507"/>
      <c r="BF3" s="36"/>
      <c r="BI3" s="551" t="s">
        <v>76</v>
      </c>
      <c r="BJ3" s="552"/>
      <c r="BK3" s="552"/>
      <c r="BL3" s="552"/>
      <c r="BN3" s="552" t="s">
        <v>77</v>
      </c>
      <c r="BO3" s="552"/>
      <c r="BQ3" s="552" t="s">
        <v>69</v>
      </c>
      <c r="BR3" s="552"/>
      <c r="BS3" s="27"/>
      <c r="BT3" s="383"/>
    </row>
    <row r="4" spans="2:72" ht="15" thickBot="1" x14ac:dyDescent="0.35">
      <c r="B4" s="551" t="s">
        <v>76</v>
      </c>
      <c r="C4" s="552"/>
      <c r="D4" s="552"/>
      <c r="E4" s="591"/>
      <c r="G4" s="574" t="s">
        <v>77</v>
      </c>
      <c r="H4" s="575"/>
      <c r="J4" s="574" t="s">
        <v>69</v>
      </c>
      <c r="K4" s="575"/>
      <c r="N4" s="27"/>
      <c r="P4" s="36"/>
      <c r="R4" s="588" t="s">
        <v>27</v>
      </c>
      <c r="S4" s="589"/>
      <c r="T4" s="589"/>
      <c r="U4" s="589" t="s">
        <v>37</v>
      </c>
      <c r="V4" s="589"/>
      <c r="W4" s="589" t="s">
        <v>38</v>
      </c>
      <c r="X4" s="590"/>
      <c r="Z4" s="37" t="s">
        <v>10</v>
      </c>
      <c r="AA4" s="92">
        <v>40</v>
      </c>
      <c r="AF4"/>
      <c r="AO4" s="36"/>
      <c r="AR4" s="62" t="s">
        <v>10</v>
      </c>
      <c r="AS4" s="92">
        <v>40</v>
      </c>
      <c r="BF4" s="36"/>
      <c r="BI4" s="519" t="s">
        <v>81</v>
      </c>
      <c r="BJ4" s="520"/>
      <c r="BK4" s="520"/>
      <c r="BL4" s="31">
        <v>0.8</v>
      </c>
      <c r="BN4" t="s">
        <v>10</v>
      </c>
      <c r="BO4" s="31">
        <v>300</v>
      </c>
      <c r="BQ4" t="s">
        <v>11</v>
      </c>
      <c r="BR4" s="31">
        <v>3600</v>
      </c>
      <c r="BS4" s="27"/>
      <c r="BT4" s="383"/>
    </row>
    <row r="5" spans="2:72" x14ac:dyDescent="0.3">
      <c r="B5" s="519" t="s">
        <v>81</v>
      </c>
      <c r="C5" s="520"/>
      <c r="D5" s="576"/>
      <c r="E5" s="9">
        <v>0.8</v>
      </c>
      <c r="G5" s="3" t="s">
        <v>10</v>
      </c>
      <c r="H5" s="9">
        <v>30</v>
      </c>
      <c r="J5" s="3" t="s">
        <v>11</v>
      </c>
      <c r="K5" s="31">
        <v>360</v>
      </c>
      <c r="N5" s="27"/>
      <c r="P5" s="36"/>
      <c r="R5" s="62"/>
      <c r="S5" s="60" t="s">
        <v>41</v>
      </c>
      <c r="T5" s="9">
        <v>300</v>
      </c>
      <c r="U5" s="60" t="s">
        <v>10</v>
      </c>
      <c r="V5" s="9">
        <v>40</v>
      </c>
      <c r="W5" s="60" t="s">
        <v>11</v>
      </c>
      <c r="X5" s="59">
        <v>420</v>
      </c>
      <c r="Z5" s="37" t="s">
        <v>34</v>
      </c>
      <c r="AA5" s="92">
        <v>3.0000000000000001E-3</v>
      </c>
      <c r="AF5"/>
      <c r="AO5" s="36"/>
      <c r="AR5" s="62" t="s">
        <v>34</v>
      </c>
      <c r="AS5" s="92">
        <v>3.0000000000000001E-3</v>
      </c>
      <c r="BF5" s="36"/>
      <c r="BI5" s="519" t="s">
        <v>82</v>
      </c>
      <c r="BJ5" s="520"/>
      <c r="BK5" s="520"/>
      <c r="BL5" s="31">
        <v>0.82499999999999996</v>
      </c>
      <c r="BN5" t="s">
        <v>34</v>
      </c>
      <c r="BO5" s="31">
        <v>3.0000000000000001E-3</v>
      </c>
      <c r="BQ5" t="s">
        <v>1</v>
      </c>
      <c r="BR5" s="32">
        <v>2000000</v>
      </c>
      <c r="BS5" s="27"/>
      <c r="BT5" s="383"/>
    </row>
    <row r="6" spans="2:72" x14ac:dyDescent="0.3">
      <c r="B6" s="519" t="s">
        <v>82</v>
      </c>
      <c r="C6" s="520"/>
      <c r="D6" s="576"/>
      <c r="E6" s="9">
        <v>0.82499999999999996</v>
      </c>
      <c r="G6" s="3" t="s">
        <v>34</v>
      </c>
      <c r="H6" s="9">
        <v>3.0000000000000001E-3</v>
      </c>
      <c r="J6" s="3" t="s">
        <v>1</v>
      </c>
      <c r="K6" s="32">
        <v>200000</v>
      </c>
      <c r="N6" s="27"/>
      <c r="P6" s="36"/>
      <c r="R6" s="62"/>
      <c r="S6" s="60" t="s">
        <v>42</v>
      </c>
      <c r="T6" s="9">
        <v>1800</v>
      </c>
      <c r="U6" s="60" t="s">
        <v>34</v>
      </c>
      <c r="V6" s="9">
        <v>3.0000000000000001E-3</v>
      </c>
      <c r="W6" s="60" t="s">
        <v>1</v>
      </c>
      <c r="X6" s="59">
        <v>200000</v>
      </c>
      <c r="Z6" s="37" t="s">
        <v>68</v>
      </c>
      <c r="AA6" s="92">
        <v>1.5</v>
      </c>
      <c r="AF6"/>
      <c r="AO6" s="36"/>
      <c r="AR6" s="62" t="s">
        <v>68</v>
      </c>
      <c r="AS6" s="92">
        <v>1.5</v>
      </c>
      <c r="BF6" s="36"/>
      <c r="BI6" s="519" t="s">
        <v>83</v>
      </c>
      <c r="BJ6" s="520"/>
      <c r="BK6" s="520"/>
      <c r="BL6" s="31">
        <v>0.8</v>
      </c>
      <c r="BN6" t="s">
        <v>68</v>
      </c>
      <c r="BO6" s="31">
        <v>1.5</v>
      </c>
      <c r="BQ6" t="s">
        <v>70</v>
      </c>
      <c r="BR6" s="31">
        <v>1.1499999999999999</v>
      </c>
      <c r="BS6" s="27"/>
      <c r="BT6" s="383"/>
    </row>
    <row r="7" spans="2:72" x14ac:dyDescent="0.3">
      <c r="B7" s="519" t="s">
        <v>83</v>
      </c>
      <c r="C7" s="520"/>
      <c r="D7" s="576"/>
      <c r="E7" s="9">
        <v>0.8</v>
      </c>
      <c r="G7" s="3" t="s">
        <v>68</v>
      </c>
      <c r="H7" s="9">
        <v>1.5</v>
      </c>
      <c r="J7" s="3" t="s">
        <v>70</v>
      </c>
      <c r="K7" s="31">
        <v>1.1499999999999999</v>
      </c>
      <c r="N7" s="27"/>
      <c r="P7" s="36"/>
      <c r="R7" s="62"/>
      <c r="S7" s="60" t="s">
        <v>43</v>
      </c>
      <c r="T7" s="9">
        <f>0.05*T6</f>
        <v>90</v>
      </c>
      <c r="V7" s="60"/>
      <c r="W7" s="60" t="s">
        <v>55</v>
      </c>
      <c r="X7" s="63">
        <f>X5/X6</f>
        <v>2.0999999999999999E-3</v>
      </c>
      <c r="Z7" s="37" t="s">
        <v>132</v>
      </c>
      <c r="AA7" s="92">
        <v>0.8</v>
      </c>
      <c r="AF7"/>
      <c r="AO7" s="36"/>
      <c r="AR7" s="62" t="s">
        <v>132</v>
      </c>
      <c r="AS7" s="92">
        <v>0.8</v>
      </c>
      <c r="BF7" s="36"/>
      <c r="BI7" s="519" t="s">
        <v>80</v>
      </c>
      <c r="BJ7" s="520"/>
      <c r="BK7" s="520"/>
      <c r="BL7" s="33">
        <v>0.66666666666666663</v>
      </c>
      <c r="BS7" s="27"/>
      <c r="BT7" s="383"/>
    </row>
    <row r="8" spans="2:72" ht="14.4" customHeight="1" x14ac:dyDescent="0.3">
      <c r="B8" s="519" t="s">
        <v>80</v>
      </c>
      <c r="C8" s="520"/>
      <c r="D8" s="576"/>
      <c r="E8" s="276">
        <v>0.66666666666666663</v>
      </c>
      <c r="G8" s="3"/>
      <c r="H8" s="4"/>
      <c r="J8" s="3"/>
      <c r="K8"/>
      <c r="N8" s="27"/>
      <c r="P8" s="36"/>
      <c r="R8" s="556" t="s">
        <v>60</v>
      </c>
      <c r="S8" s="557"/>
      <c r="X8" s="36"/>
      <c r="Z8" s="37" t="s">
        <v>133</v>
      </c>
      <c r="AA8" s="92">
        <v>0.85</v>
      </c>
      <c r="AF8"/>
      <c r="AO8" s="36"/>
      <c r="AR8" s="62" t="s">
        <v>133</v>
      </c>
      <c r="AS8" s="92">
        <v>0.85</v>
      </c>
      <c r="BF8" s="36"/>
      <c r="BI8" s="37"/>
      <c r="BN8" t="s">
        <v>75</v>
      </c>
      <c r="BO8" s="34">
        <f>BO4*BL4*BL5/BO6</f>
        <v>132</v>
      </c>
      <c r="BQ8" t="s">
        <v>35</v>
      </c>
      <c r="BR8" s="34">
        <f>BR4/BR6</f>
        <v>3130.434782608696</v>
      </c>
      <c r="BS8" s="27"/>
      <c r="BT8" s="383"/>
    </row>
    <row r="9" spans="2:72" x14ac:dyDescent="0.3">
      <c r="B9" s="37"/>
      <c r="G9" s="6" t="s">
        <v>75</v>
      </c>
      <c r="H9" s="8">
        <f>H5*E5*E6/H7</f>
        <v>13.199999999999998</v>
      </c>
      <c r="J9" s="6" t="s">
        <v>35</v>
      </c>
      <c r="K9" s="34">
        <f>K5/K7</f>
        <v>313.04347826086956</v>
      </c>
      <c r="N9" s="27"/>
      <c r="P9" s="36"/>
      <c r="R9" s="566" t="s">
        <v>40</v>
      </c>
      <c r="S9" s="567"/>
      <c r="T9" s="135" t="s">
        <v>0</v>
      </c>
      <c r="U9" s="135" t="s">
        <v>30</v>
      </c>
      <c r="V9" s="60" t="s">
        <v>23</v>
      </c>
      <c r="X9" s="36"/>
      <c r="Z9" s="37" t="s">
        <v>134</v>
      </c>
      <c r="AA9" s="92">
        <v>0.8</v>
      </c>
      <c r="AF9"/>
      <c r="AO9" s="36"/>
      <c r="AR9" s="62" t="s">
        <v>134</v>
      </c>
      <c r="AS9" s="92">
        <v>0.8</v>
      </c>
      <c r="BF9" s="36"/>
      <c r="BI9" s="528" t="s">
        <v>114</v>
      </c>
      <c r="BJ9" s="529"/>
      <c r="BK9" s="529"/>
      <c r="BM9" s="529" t="s">
        <v>115</v>
      </c>
      <c r="BN9" s="529"/>
      <c r="BO9" s="529"/>
      <c r="BS9" s="27"/>
      <c r="BT9" s="383"/>
    </row>
    <row r="10" spans="2:72" x14ac:dyDescent="0.3">
      <c r="B10" s="37"/>
      <c r="K10"/>
      <c r="N10" s="27"/>
      <c r="P10" s="36"/>
      <c r="R10" s="64">
        <v>0</v>
      </c>
      <c r="S10" s="60" t="s">
        <v>44</v>
      </c>
      <c r="T10" s="61">
        <f>T7</f>
        <v>90</v>
      </c>
      <c r="U10" s="136">
        <v>0.33</v>
      </c>
      <c r="V10" s="60">
        <f>U10*V$14</f>
        <v>396</v>
      </c>
      <c r="W10" s="1"/>
      <c r="X10" s="36"/>
      <c r="Z10" s="37" t="s">
        <v>111</v>
      </c>
      <c r="AA10" s="147">
        <f>AA4*AA8*AA9/AA6</f>
        <v>18.133333333333336</v>
      </c>
      <c r="AF10"/>
      <c r="AO10" s="36"/>
      <c r="AR10" s="62" t="s">
        <v>111</v>
      </c>
      <c r="AS10" s="147">
        <f>AS4*AS8*AS9/AS6</f>
        <v>18.133333333333336</v>
      </c>
      <c r="BF10" s="36"/>
      <c r="BI10" s="533" t="s">
        <v>78</v>
      </c>
      <c r="BJ10" s="516"/>
      <c r="BK10" s="44" t="s">
        <v>13</v>
      </c>
      <c r="BL10" s="41"/>
      <c r="BM10" s="516" t="s">
        <v>78</v>
      </c>
      <c r="BN10" s="516"/>
      <c r="BO10" s="44" t="s">
        <v>18</v>
      </c>
      <c r="BQ10" s="11" t="s">
        <v>15</v>
      </c>
      <c r="BR10" s="13"/>
      <c r="BT10" s="383"/>
    </row>
    <row r="11" spans="2:72" x14ac:dyDescent="0.3">
      <c r="B11" s="37"/>
      <c r="C11" s="555" t="s">
        <v>78</v>
      </c>
      <c r="D11" s="555"/>
      <c r="E11" s="587" t="s">
        <v>13</v>
      </c>
      <c r="F11" s="587"/>
      <c r="G11" s="12"/>
      <c r="H11" s="11" t="s">
        <v>15</v>
      </c>
      <c r="I11" s="13"/>
      <c r="K11"/>
      <c r="N11" s="27"/>
      <c r="P11" s="36"/>
      <c r="R11" s="64">
        <v>1</v>
      </c>
      <c r="S11" s="60" t="s">
        <v>45</v>
      </c>
      <c r="T11" s="61">
        <f>T6/3+T7/3</f>
        <v>630</v>
      </c>
      <c r="U11" s="136">
        <v>0.16700000000000001</v>
      </c>
      <c r="V11" s="60">
        <f>U11*V$14</f>
        <v>200.4</v>
      </c>
      <c r="W11" s="1"/>
      <c r="X11" s="36"/>
      <c r="Z11" s="37"/>
      <c r="AF11"/>
      <c r="AO11" s="36"/>
      <c r="AR11" s="62"/>
      <c r="AS11" s="60"/>
      <c r="BF11" s="36"/>
      <c r="BI11" s="45"/>
      <c r="BJ11" s="46"/>
      <c r="BK11" s="44" t="s">
        <v>14</v>
      </c>
      <c r="BL11" s="41"/>
      <c r="BM11" s="46"/>
      <c r="BN11" s="46"/>
      <c r="BO11" s="44" t="s">
        <v>14</v>
      </c>
      <c r="BQ11" s="11" t="s">
        <v>16</v>
      </c>
      <c r="BR11" s="11"/>
      <c r="BT11" s="383"/>
    </row>
    <row r="12" spans="2:72" x14ac:dyDescent="0.3">
      <c r="B12" s="37"/>
      <c r="C12" s="15"/>
      <c r="D12" s="15"/>
      <c r="E12" s="587" t="s">
        <v>14</v>
      </c>
      <c r="F12" s="587"/>
      <c r="G12" s="12"/>
      <c r="H12" s="11" t="s">
        <v>16</v>
      </c>
      <c r="I12" s="11"/>
      <c r="K12"/>
      <c r="N12" s="27"/>
      <c r="P12" s="36"/>
      <c r="R12" s="62">
        <v>2</v>
      </c>
      <c r="S12" s="60" t="s">
        <v>46</v>
      </c>
      <c r="T12" s="61">
        <f>2*T6/3-T7/3</f>
        <v>1170</v>
      </c>
      <c r="U12" s="136">
        <v>0.16700000000000001</v>
      </c>
      <c r="V12" s="60">
        <f>U12*V$14</f>
        <v>200.4</v>
      </c>
      <c r="W12" s="1"/>
      <c r="X12" s="36"/>
      <c r="Z12" s="511" t="s">
        <v>135</v>
      </c>
      <c r="AA12" s="512"/>
      <c r="AF12"/>
      <c r="AO12" s="36"/>
      <c r="AR12" s="509" t="s">
        <v>135</v>
      </c>
      <c r="AS12" s="507"/>
      <c r="BF12" s="36"/>
      <c r="BI12" s="45"/>
      <c r="BJ12" s="46"/>
      <c r="BK12" s="44" t="s">
        <v>94</v>
      </c>
      <c r="BL12" s="41"/>
      <c r="BM12" s="46"/>
      <c r="BN12" s="46"/>
      <c r="BO12" s="44" t="s">
        <v>116</v>
      </c>
      <c r="BQ12" s="11" t="s">
        <v>17</v>
      </c>
      <c r="BR12" s="11"/>
      <c r="BT12" s="383"/>
    </row>
    <row r="13" spans="2:72" x14ac:dyDescent="0.3">
      <c r="B13" s="37"/>
      <c r="C13" s="15"/>
      <c r="D13" s="15"/>
      <c r="E13" s="587" t="s">
        <v>94</v>
      </c>
      <c r="F13" s="587"/>
      <c r="G13" s="12"/>
      <c r="H13" s="11" t="s">
        <v>17</v>
      </c>
      <c r="I13" s="11"/>
      <c r="K13"/>
      <c r="N13" s="27"/>
      <c r="P13" s="36"/>
      <c r="R13" s="62">
        <v>3</v>
      </c>
      <c r="S13" s="60" t="s">
        <v>47</v>
      </c>
      <c r="T13" s="61">
        <f>T6-T7</f>
        <v>1710</v>
      </c>
      <c r="U13" s="136">
        <v>0.33329999999999999</v>
      </c>
      <c r="V13" s="60">
        <f>U13*V$14</f>
        <v>399.96</v>
      </c>
      <c r="W13" s="1"/>
      <c r="X13" s="36"/>
      <c r="Z13" s="37" t="s">
        <v>11</v>
      </c>
      <c r="AA13" s="92">
        <v>420</v>
      </c>
      <c r="AF13"/>
      <c r="AO13" s="36"/>
      <c r="AR13" s="62" t="s">
        <v>11</v>
      </c>
      <c r="AS13" s="92">
        <v>420</v>
      </c>
      <c r="BF13" s="36"/>
      <c r="BI13" s="53" t="s">
        <v>87</v>
      </c>
      <c r="BJ13" s="518" t="s">
        <v>79</v>
      </c>
      <c r="BK13" s="518"/>
      <c r="BM13" s="49" t="s">
        <v>95</v>
      </c>
      <c r="BQ13" s="27"/>
      <c r="BS13" s="27"/>
      <c r="BT13" s="383"/>
    </row>
    <row r="14" spans="2:72" x14ac:dyDescent="0.3">
      <c r="B14" s="37"/>
      <c r="C14" s="16"/>
      <c r="D14" s="18" t="s">
        <v>87</v>
      </c>
      <c r="E14" s="518" t="s">
        <v>79</v>
      </c>
      <c r="F14" s="518"/>
      <c r="K14"/>
      <c r="N14" s="27"/>
      <c r="P14" s="36"/>
      <c r="R14" s="37"/>
      <c r="U14">
        <f>SUM(U10:U13)</f>
        <v>0.99730000000000008</v>
      </c>
      <c r="V14" s="146">
        <v>1200</v>
      </c>
      <c r="X14" s="36"/>
      <c r="Z14" s="37" t="s">
        <v>1</v>
      </c>
      <c r="AA14" s="104">
        <v>200000</v>
      </c>
      <c r="AF14"/>
      <c r="AO14" s="36"/>
      <c r="AR14" s="62" t="s">
        <v>1</v>
      </c>
      <c r="AS14" s="104">
        <v>200000</v>
      </c>
      <c r="BF14" s="36"/>
      <c r="BI14" s="53" t="s">
        <v>88</v>
      </c>
      <c r="BJ14" s="518" t="s">
        <v>84</v>
      </c>
      <c r="BK14" s="518"/>
      <c r="BM14" s="50" t="s">
        <v>100</v>
      </c>
      <c r="BN14" s="50" t="s">
        <v>19</v>
      </c>
      <c r="BO14" s="50" t="s">
        <v>97</v>
      </c>
      <c r="BP14" s="51"/>
      <c r="BT14" s="383"/>
    </row>
    <row r="15" spans="2:72" x14ac:dyDescent="0.3">
      <c r="B15" s="37"/>
      <c r="C15" s="17"/>
      <c r="D15" s="18" t="s">
        <v>88</v>
      </c>
      <c r="E15" s="518" t="s">
        <v>84</v>
      </c>
      <c r="F15" s="518"/>
      <c r="H15" s="35" t="s">
        <v>95</v>
      </c>
      <c r="K15"/>
      <c r="N15" s="27"/>
      <c r="P15" s="36"/>
      <c r="R15" s="37"/>
      <c r="X15" s="36"/>
      <c r="Z15" s="37" t="s">
        <v>70</v>
      </c>
      <c r="AA15" s="92">
        <v>1.1499999999999999</v>
      </c>
      <c r="AC15" s="548" t="s">
        <v>375</v>
      </c>
      <c r="AD15" s="548"/>
      <c r="AE15" s="548"/>
      <c r="AF15" s="548"/>
      <c r="AG15" s="548"/>
      <c r="AH15" s="548"/>
      <c r="AI15" s="548"/>
      <c r="AJ15" s="548"/>
      <c r="AO15" s="36"/>
      <c r="AR15" s="62" t="s">
        <v>70</v>
      </c>
      <c r="AS15" s="92">
        <v>1.1499999999999999</v>
      </c>
      <c r="BF15" s="36"/>
      <c r="BI15" s="53" t="s">
        <v>85</v>
      </c>
      <c r="BJ15" s="518" t="s">
        <v>86</v>
      </c>
      <c r="BK15" s="518"/>
      <c r="BM15" s="50" t="s">
        <v>96</v>
      </c>
      <c r="BN15" s="50" t="s">
        <v>98</v>
      </c>
      <c r="BO15" s="50"/>
      <c r="BP15" s="51"/>
      <c r="BT15" s="384"/>
    </row>
    <row r="16" spans="2:72" x14ac:dyDescent="0.3">
      <c r="B16" s="37"/>
      <c r="C16" s="17"/>
      <c r="D16" s="18" t="s">
        <v>85</v>
      </c>
      <c r="E16" s="518" t="s">
        <v>86</v>
      </c>
      <c r="F16" s="518"/>
      <c r="I16" s="43" t="s">
        <v>96</v>
      </c>
      <c r="J16" s="43" t="s">
        <v>19</v>
      </c>
      <c r="K16" s="43" t="s">
        <v>97</v>
      </c>
      <c r="L16" s="28"/>
      <c r="M16" s="28"/>
      <c r="N16" s="28"/>
      <c r="O16" s="43"/>
      <c r="P16" s="36"/>
      <c r="R16" s="37"/>
      <c r="X16" s="36"/>
      <c r="Z16" s="37" t="s">
        <v>35</v>
      </c>
      <c r="AA16" s="147">
        <f>AA13/AA15</f>
        <v>365.21739130434787</v>
      </c>
      <c r="AC16" s="548" t="s">
        <v>376</v>
      </c>
      <c r="AD16" s="548"/>
      <c r="AE16" s="548"/>
      <c r="AF16" s="548"/>
      <c r="AG16" s="548"/>
      <c r="AH16" s="548"/>
      <c r="AI16" s="548"/>
      <c r="AJ16" s="548"/>
      <c r="AO16" s="36"/>
      <c r="AR16" s="62" t="s">
        <v>35</v>
      </c>
      <c r="AS16" s="147">
        <f>AS13/AS15</f>
        <v>365.21739130434787</v>
      </c>
      <c r="AY16">
        <v>50</v>
      </c>
      <c r="BF16" s="36"/>
      <c r="BI16" s="53" t="s">
        <v>89</v>
      </c>
      <c r="BJ16" s="518" t="s">
        <v>90</v>
      </c>
      <c r="BK16" s="518"/>
      <c r="BT16" s="384"/>
    </row>
    <row r="17" spans="2:73" x14ac:dyDescent="0.3">
      <c r="B17" s="37"/>
      <c r="C17" s="16"/>
      <c r="D17" s="18" t="s">
        <v>89</v>
      </c>
      <c r="E17" s="518" t="s">
        <v>90</v>
      </c>
      <c r="F17" s="518"/>
      <c r="I17" s="43" t="s">
        <v>96</v>
      </c>
      <c r="J17" s="43" t="s">
        <v>98</v>
      </c>
      <c r="K17" s="43"/>
      <c r="L17" s="28"/>
      <c r="M17" s="28"/>
      <c r="N17" s="28"/>
      <c r="O17" s="43"/>
      <c r="P17" s="36"/>
      <c r="R17" s="568" t="s">
        <v>110</v>
      </c>
      <c r="S17" s="569"/>
      <c r="X17" s="36"/>
      <c r="Z17" s="37" t="s">
        <v>334</v>
      </c>
      <c r="AA17" s="105">
        <f>AA13/AA14</f>
        <v>2.0999999999999999E-3</v>
      </c>
      <c r="AO17" s="36"/>
      <c r="AR17" s="547" t="s">
        <v>157</v>
      </c>
      <c r="AS17" s="548"/>
      <c r="AT17" s="548"/>
      <c r="AU17" s="548"/>
      <c r="AV17" s="548"/>
      <c r="AW17" s="548"/>
      <c r="AX17" s="548"/>
      <c r="AY17" s="548"/>
      <c r="AZ17" s="548"/>
      <c r="BA17" s="548"/>
      <c r="BF17" s="36"/>
      <c r="BI17" s="54" t="s">
        <v>101</v>
      </c>
      <c r="BJ17" s="515" t="s">
        <v>102</v>
      </c>
      <c r="BK17" s="515"/>
      <c r="BS17" s="27"/>
      <c r="BT17" s="383"/>
    </row>
    <row r="18" spans="2:73" ht="15" thickBot="1" x14ac:dyDescent="0.35">
      <c r="B18" s="37"/>
      <c r="C18" s="16"/>
      <c r="K18"/>
      <c r="N18" s="27"/>
      <c r="P18" s="36"/>
      <c r="R18" s="37"/>
      <c r="S18" s="570" t="s">
        <v>49</v>
      </c>
      <c r="T18" s="570"/>
      <c r="U18" s="154">
        <v>0.8</v>
      </c>
      <c r="X18" s="36"/>
      <c r="Z18" s="38"/>
      <c r="AA18" s="39"/>
      <c r="AB18" s="39"/>
      <c r="AC18" s="39"/>
      <c r="AD18" s="39"/>
      <c r="AE18" s="39"/>
      <c r="AF18" s="344"/>
      <c r="AG18" s="39"/>
      <c r="AH18" s="39"/>
      <c r="AI18" s="39"/>
      <c r="AJ18" s="39"/>
      <c r="AK18" s="39"/>
      <c r="AL18" s="39"/>
      <c r="AM18" s="39"/>
      <c r="AN18" s="39"/>
      <c r="AO18" s="40"/>
      <c r="AR18" s="549" t="s">
        <v>158</v>
      </c>
      <c r="AS18" s="550"/>
      <c r="AT18" s="550"/>
      <c r="AU18" s="550"/>
      <c r="AV18" s="550"/>
      <c r="AW18" s="550"/>
      <c r="AX18" s="550"/>
      <c r="AY18" s="550"/>
      <c r="AZ18" s="550"/>
      <c r="BA18" s="550"/>
      <c r="BB18" s="39"/>
      <c r="BC18" s="39"/>
      <c r="BD18" s="39"/>
      <c r="BE18" s="39"/>
      <c r="BF18" s="40"/>
      <c r="BI18" s="37"/>
      <c r="BJ18" s="2"/>
      <c r="BK18" s="14"/>
      <c r="BQ18" t="s">
        <v>382</v>
      </c>
      <c r="BS18" s="27">
        <v>0</v>
      </c>
      <c r="BT18" s="383"/>
    </row>
    <row r="19" spans="2:73" ht="15" thickBot="1" x14ac:dyDescent="0.35">
      <c r="B19" s="37"/>
      <c r="K19"/>
      <c r="N19" s="27"/>
      <c r="P19" s="36"/>
      <c r="R19" s="37"/>
      <c r="S19" s="496" t="s">
        <v>50</v>
      </c>
      <c r="T19" s="496"/>
      <c r="U19" s="154">
        <v>0.85</v>
      </c>
      <c r="X19" s="36"/>
      <c r="Z19" s="148" t="s">
        <v>4</v>
      </c>
      <c r="AA19" s="20" t="s">
        <v>71</v>
      </c>
      <c r="AB19" s="20" t="s">
        <v>165</v>
      </c>
      <c r="AC19" s="20" t="s">
        <v>25</v>
      </c>
      <c r="AD19" s="20" t="s">
        <v>26</v>
      </c>
      <c r="AE19" s="151" t="s">
        <v>130</v>
      </c>
      <c r="AF19" s="151" t="s">
        <v>166</v>
      </c>
      <c r="AG19" s="20" t="s">
        <v>57</v>
      </c>
      <c r="AH19" s="20" t="s">
        <v>12</v>
      </c>
      <c r="AI19" s="151" t="s">
        <v>139</v>
      </c>
      <c r="AJ19" s="151" t="s">
        <v>109</v>
      </c>
      <c r="AK19" s="151" t="s">
        <v>9</v>
      </c>
      <c r="AL19" s="151" t="s">
        <v>108</v>
      </c>
      <c r="AM19" s="151" t="s">
        <v>74</v>
      </c>
      <c r="AN19" s="151" t="s">
        <v>155</v>
      </c>
      <c r="AO19" s="152" t="s">
        <v>120</v>
      </c>
      <c r="AR19" s="148" t="s">
        <v>4</v>
      </c>
      <c r="AS19" s="20" t="s">
        <v>71</v>
      </c>
      <c r="AT19" s="20" t="s">
        <v>165</v>
      </c>
      <c r="AU19" s="20" t="s">
        <v>25</v>
      </c>
      <c r="AV19" s="20" t="s">
        <v>26</v>
      </c>
      <c r="AW19" s="151" t="s">
        <v>130</v>
      </c>
      <c r="AX19" s="20" t="s">
        <v>57</v>
      </c>
      <c r="AY19" s="20" t="s">
        <v>12</v>
      </c>
      <c r="AZ19" s="151" t="s">
        <v>139</v>
      </c>
      <c r="BA19" s="151" t="s">
        <v>109</v>
      </c>
      <c r="BB19" s="151" t="s">
        <v>9</v>
      </c>
      <c r="BC19" s="151" t="s">
        <v>108</v>
      </c>
      <c r="BD19" s="151" t="s">
        <v>74</v>
      </c>
      <c r="BE19" s="151" t="s">
        <v>155</v>
      </c>
      <c r="BF19" s="152" t="s">
        <v>120</v>
      </c>
      <c r="BI19" s="37"/>
      <c r="BK19" s="514" t="s">
        <v>105</v>
      </c>
      <c r="BL19" s="514"/>
      <c r="BM19" s="514"/>
      <c r="BN19" s="514"/>
      <c r="BO19" s="514"/>
      <c r="BQ19" s="47" t="s">
        <v>383</v>
      </c>
      <c r="BS19" s="48">
        <f>BL7*BO5/(BO5+BR4/BR5)*BL6</f>
        <v>0.33333333333333331</v>
      </c>
      <c r="BT19" s="383"/>
    </row>
    <row r="20" spans="2:73" ht="15" thickTop="1" x14ac:dyDescent="0.3">
      <c r="B20" s="37"/>
      <c r="K20"/>
      <c r="N20" s="27"/>
      <c r="P20" s="36"/>
      <c r="R20" s="37"/>
      <c r="S20" s="496" t="s">
        <v>51</v>
      </c>
      <c r="T20" s="496"/>
      <c r="U20" s="154">
        <v>0.8</v>
      </c>
      <c r="X20" s="36"/>
      <c r="Z20" s="146">
        <v>300</v>
      </c>
      <c r="AA20" s="9">
        <v>900</v>
      </c>
      <c r="AB20" s="9">
        <v>4</v>
      </c>
      <c r="AC20" s="9">
        <v>14</v>
      </c>
      <c r="AD20" s="9">
        <v>1200</v>
      </c>
      <c r="AE20" s="149">
        <f>AD20*AA$16/(Z20*AA20*AA$10)</f>
        <v>8.9514066496163683E-2</v>
      </c>
      <c r="AF20" s="149">
        <v>0.5</v>
      </c>
      <c r="AG20" s="10">
        <v>1000000</v>
      </c>
      <c r="AH20" s="10">
        <v>1000000000</v>
      </c>
      <c r="AI20" s="149">
        <f>AG20/(Z20*AA20*AA$10)</f>
        <v>0.20424836601307186</v>
      </c>
      <c r="AJ20" s="149">
        <f>AG20*AA20/AH20</f>
        <v>0.9</v>
      </c>
      <c r="AK20" s="150">
        <f t="shared" ref="AK20:AK22" si="0">IFERROR(MAX(1,7/6-1/AJ20/3),1)</f>
        <v>1</v>
      </c>
      <c r="AL20" s="150" cm="1">
        <f t="array" ref="AL20">[1]!AxialForceAndBendingSectionAnalysis_2F_eccentricity(AE20,AF20,AA$17,AJ20)</f>
        <v>-4.0596491065293512E-2</v>
      </c>
      <c r="AM20" s="150" cm="1">
        <f t="array" ref="AM20:AN20">[1]!AxialForceAndBendingSectionAnalysis_2F(AE20,AF20,AA$17,AL20,AA$5,AA$7)</f>
        <v>4.2506591651840259E-2</v>
      </c>
      <c r="AN20" s="150">
        <v>4.7229546279822503E-2</v>
      </c>
      <c r="AO20" s="153">
        <f>AM20/AI20</f>
        <v>0.20811227272740995</v>
      </c>
      <c r="AR20" s="146">
        <v>300</v>
      </c>
      <c r="AS20" s="9">
        <v>900</v>
      </c>
      <c r="AT20" s="9">
        <v>12</v>
      </c>
      <c r="AU20" s="9">
        <v>12</v>
      </c>
      <c r="AV20" s="9">
        <f>AT20*AU20*AU20*3.14/4</f>
        <v>1356.48</v>
      </c>
      <c r="AW20" s="149">
        <f>AV20*AS$16/(AR20*AS20*AS$10)</f>
        <v>0.10118670076726342</v>
      </c>
      <c r="AX20" s="10">
        <v>600000</v>
      </c>
      <c r="AY20" s="10">
        <v>400000000</v>
      </c>
      <c r="AZ20" s="149">
        <f>AX20/(AR20*AS20*AS$10)</f>
        <v>0.12254901960784312</v>
      </c>
      <c r="BA20" s="149">
        <f>AX20*AS20/AY20</f>
        <v>1.35</v>
      </c>
      <c r="BB20" s="150">
        <f>MAX(1,7/6-1/BA20/3)</f>
        <v>1</v>
      </c>
      <c r="BC20" s="150" cm="1">
        <f t="array" ref="BC20">[1]!AxialForceAndBendingSectionAnalysis_UF_eccentricity(AW20,AS$13/AS$14,BA20,AS20/AR20,AS$5,AS$7,AY16)</f>
        <v>-1.0199494049622627E-2</v>
      </c>
      <c r="BD20" s="150" cm="1">
        <f t="array" ref="BD20:BE20">[1]!AxialForceAndBendingSectionAnalysis_UF(AW20,AS$13/AS$14,BC20,AS20/AR20,AS$5,AS$7,AY16)</f>
        <v>0.1248283162610809</v>
      </c>
      <c r="BE20" s="150">
        <v>9.2465419452652506E-2</v>
      </c>
      <c r="BF20" s="153">
        <f>BD20/AZ20</f>
        <v>1.0185990606904203</v>
      </c>
      <c r="BI20" s="37"/>
      <c r="BS20" s="27"/>
      <c r="BT20" s="383"/>
    </row>
    <row r="21" spans="2:73" ht="15" thickBot="1" x14ac:dyDescent="0.35">
      <c r="B21" s="38"/>
      <c r="C21" s="39"/>
      <c r="D21" s="39"/>
      <c r="E21" s="39"/>
      <c r="F21" s="39"/>
      <c r="G21" s="39"/>
      <c r="H21" s="39"/>
      <c r="I21" s="39"/>
      <c r="J21" s="39"/>
      <c r="K21" s="39"/>
      <c r="L21" s="274"/>
      <c r="M21" s="274"/>
      <c r="N21" s="274"/>
      <c r="O21" s="39"/>
      <c r="P21" s="40"/>
      <c r="R21" s="37"/>
      <c r="S21" s="496" t="s">
        <v>53</v>
      </c>
      <c r="T21" s="496"/>
      <c r="U21" s="154">
        <v>1.5</v>
      </c>
      <c r="X21" s="36"/>
      <c r="Z21" s="146">
        <v>300</v>
      </c>
      <c r="AA21" s="9">
        <v>1200</v>
      </c>
      <c r="AB21" s="9">
        <v>5</v>
      </c>
      <c r="AC21" s="9">
        <v>12</v>
      </c>
      <c r="AD21" s="9">
        <v>1200</v>
      </c>
      <c r="AE21" s="149">
        <f>AD21*AA$16/(Z21*AA21*AA$10)</f>
        <v>6.7135549872122766E-2</v>
      </c>
      <c r="AF21" s="149">
        <v>0.5</v>
      </c>
      <c r="AG21" s="10">
        <v>1000000</v>
      </c>
      <c r="AH21" s="10">
        <v>1000000000</v>
      </c>
      <c r="AI21" s="149">
        <f>AG21/(Z21*AA21*AA$10)</f>
        <v>0.1531862745098039</v>
      </c>
      <c r="AJ21" s="149">
        <f>AG21*AA21/AH21</f>
        <v>1.2</v>
      </c>
      <c r="AK21" s="150">
        <f t="shared" si="0"/>
        <v>1</v>
      </c>
      <c r="AL21" s="150" cm="1">
        <f t="array" ref="AL21">[1]!AxialForceAndBendingSectionAnalysis_2F_eccentricity(AE21,AF21,AA$17,AJ21)</f>
        <v>-3.6213931731417147E-2</v>
      </c>
      <c r="AM21" s="150" cm="1">
        <f t="array" ref="AM21:AN21">[1]!AxialForceAndBendingSectionAnalysis_2F(AE21,AF21,AA$17,AL21,AA$5,AA$7)</f>
        <v>5.5715253869399198E-2</v>
      </c>
      <c r="AN21" s="150">
        <v>4.6429378224499336E-2</v>
      </c>
      <c r="AO21" s="153">
        <f>AM21/AI21</f>
        <v>0.36370917725943802</v>
      </c>
      <c r="AR21" s="146">
        <v>300</v>
      </c>
      <c r="AS21" s="9">
        <v>1000</v>
      </c>
      <c r="AT21" s="9">
        <v>4</v>
      </c>
      <c r="AU21" s="9">
        <v>18</v>
      </c>
      <c r="AV21" s="9">
        <f>AT21*AU21*AU21*3.14/4</f>
        <v>1017.36</v>
      </c>
      <c r="AW21" s="149">
        <f>AV21*AS$16/(AR21*AS21*AS$10)</f>
        <v>6.8301023017902807E-2</v>
      </c>
      <c r="AX21" s="10">
        <v>700000</v>
      </c>
      <c r="AY21" s="10">
        <v>450000000</v>
      </c>
      <c r="AZ21" s="149">
        <f>AX21/(AR21*AS21*AS$10)</f>
        <v>0.12867647058823528</v>
      </c>
      <c r="BA21" s="149">
        <f>AX21*AS21/AY21</f>
        <v>1.5555555555555556</v>
      </c>
      <c r="BB21" s="150">
        <f>MAX(1,7/6-1/BA21/3)</f>
        <v>1</v>
      </c>
      <c r="BC21" s="150" cm="1">
        <f t="array" ref="BC21">[1]!AxialForceAndBendingSectionAnalysis_UF_eccentricity(AW21,AS$13/AS$14,BA21,AS21/AR21,AS$5,AS$7)</f>
        <v>-1.0766488362271663E-2</v>
      </c>
      <c r="BD21" s="150" cm="1">
        <f t="array" ref="BD21:BE21">[1]!AxialForceAndBendingSectionAnalysis_UF(AW21,AS$13/AS$14,BC21,AS21/AR21,AS$5,AS$7)</f>
        <v>0.13082805368944728</v>
      </c>
      <c r="BE21" s="150">
        <v>8.4103748800358966E-2</v>
      </c>
      <c r="BF21" s="153">
        <f>BD21/AZ21</f>
        <v>1.0167208743865619</v>
      </c>
      <c r="BI21" s="385" t="s">
        <v>4</v>
      </c>
      <c r="BJ21" s="386" t="s">
        <v>71</v>
      </c>
      <c r="BK21" s="386" t="s">
        <v>72</v>
      </c>
      <c r="BL21" s="388" t="s">
        <v>25</v>
      </c>
      <c r="BM21" s="388" t="s">
        <v>107</v>
      </c>
      <c r="BN21" t="s">
        <v>26</v>
      </c>
      <c r="BO21" s="164" t="s">
        <v>5</v>
      </c>
      <c r="BP21" s="277" t="s">
        <v>73</v>
      </c>
      <c r="BQ21" s="277" t="s">
        <v>74</v>
      </c>
      <c r="BR21" s="540" t="s">
        <v>12</v>
      </c>
      <c r="BS21" s="541"/>
      <c r="BT21" s="403" t="s">
        <v>93</v>
      </c>
    </row>
    <row r="22" spans="2:73" x14ac:dyDescent="0.3">
      <c r="B22" s="19" t="s">
        <v>4</v>
      </c>
      <c r="C22" s="19" t="s">
        <v>24</v>
      </c>
      <c r="D22" s="19" t="s">
        <v>6</v>
      </c>
      <c r="E22" s="19" t="s">
        <v>7</v>
      </c>
      <c r="F22" s="19" t="s">
        <v>8</v>
      </c>
      <c r="G22" s="30" t="s">
        <v>9</v>
      </c>
      <c r="H22" s="20" t="s">
        <v>71</v>
      </c>
      <c r="I22" s="20" t="s">
        <v>72</v>
      </c>
      <c r="J22" s="20" t="s">
        <v>91</v>
      </c>
      <c r="K22" s="164" t="s">
        <v>5</v>
      </c>
      <c r="L22" s="277" t="s">
        <v>73</v>
      </c>
      <c r="M22" s="277" t="s">
        <v>92</v>
      </c>
      <c r="N22" s="277" t="s">
        <v>74</v>
      </c>
      <c r="O22" s="164" t="s">
        <v>12</v>
      </c>
      <c r="P22" s="164" t="s">
        <v>93</v>
      </c>
      <c r="R22" s="37"/>
      <c r="S22" s="496" t="s">
        <v>52</v>
      </c>
      <c r="T22" s="496"/>
      <c r="U22" s="154">
        <v>1.1499999999999999</v>
      </c>
      <c r="X22" s="36"/>
      <c r="Z22" s="146">
        <v>300</v>
      </c>
      <c r="AA22" s="9">
        <v>1500</v>
      </c>
      <c r="AB22" s="9">
        <v>3</v>
      </c>
      <c r="AC22" s="9">
        <v>20</v>
      </c>
      <c r="AD22" s="9">
        <v>1200</v>
      </c>
      <c r="AE22" s="149">
        <f>AD22*AA$16/(Z22*AA22*AA$10)</f>
        <v>5.3708439897698211E-2</v>
      </c>
      <c r="AF22" s="149">
        <v>1</v>
      </c>
      <c r="AG22" s="10">
        <v>1000000</v>
      </c>
      <c r="AH22" s="10">
        <v>1000000000</v>
      </c>
      <c r="AI22" s="149">
        <f>AG22/(Z22*AA22*AA$10)</f>
        <v>0.12254901960784312</v>
      </c>
      <c r="AJ22" s="149">
        <f>AG22*AA22/AH22</f>
        <v>1.5</v>
      </c>
      <c r="AK22" s="150">
        <f t="shared" si="0"/>
        <v>1</v>
      </c>
      <c r="AL22" s="150" cm="1">
        <f t="array" ref="AL22">[1]!AxialForceAndBendingSectionAnalysis_2F_eccentricity(AE22,AF22,AA$17,AJ22)</f>
        <v>-1.7534459550204013E-2</v>
      </c>
      <c r="AM22" s="150" cm="1">
        <f t="array" ref="AM22:AN22">[1]!AxialForceAndBendingSectionAnalysis_2F(AE22,AF22,AA$17,AL22,AA$5,AA$7)</f>
        <v>0.10872134897371323</v>
      </c>
      <c r="AN22" s="150">
        <v>7.2480899315808825E-2</v>
      </c>
      <c r="AO22" s="153">
        <f>AM22/AI22</f>
        <v>0.88716620762550014</v>
      </c>
      <c r="AR22" s="146">
        <v>300</v>
      </c>
      <c r="AS22" s="9">
        <v>1000</v>
      </c>
      <c r="AT22" s="9">
        <v>8</v>
      </c>
      <c r="AU22" s="9">
        <v>14</v>
      </c>
      <c r="AV22" s="9">
        <f>AT22*AU22*AU22*3.14/4</f>
        <v>1230.8800000000001</v>
      </c>
      <c r="AW22" s="149">
        <f>AV22*AS$16/(AR22*AS22*AS$10)</f>
        <v>8.263580562659846E-2</v>
      </c>
      <c r="AX22" s="10">
        <v>800000</v>
      </c>
      <c r="AY22" s="10">
        <v>500000000</v>
      </c>
      <c r="AZ22" s="149">
        <f>AX22/(AR22*AS22*AS$10)</f>
        <v>0.14705882352941174</v>
      </c>
      <c r="BA22" s="149">
        <f>AX22*AS22/AY22</f>
        <v>1.6</v>
      </c>
      <c r="BB22" s="150">
        <f>MAX(1,7/6-1/BA22/3)</f>
        <v>1</v>
      </c>
      <c r="BC22" s="150" cm="1">
        <f t="array" ref="BC22">[1]!AxialForceAndBendingSectionAnalysis_UF_eccentricity(AW22,AS$13/AS$14,BA22,AS22/AR22,AS$5,AS$7)</f>
        <v>-9.0672654557131666E-3</v>
      </c>
      <c r="BD22" s="150" cm="1">
        <f t="array" ref="BD22:BE22">[1]!AxialForceAndBendingSectionAnalysis_UF(AW22,AS$13/AS$14,BC22,AS22/AR22,AS$5,AS$7)</f>
        <v>0.15316398921425883</v>
      </c>
      <c r="BE22" s="150">
        <v>9.5727493258911778E-2</v>
      </c>
      <c r="BF22" s="153">
        <f>BD22/AZ22</f>
        <v>1.0415151266569602</v>
      </c>
      <c r="BI22" s="9">
        <v>100</v>
      </c>
      <c r="BJ22" s="9">
        <v>12</v>
      </c>
      <c r="BK22" s="9">
        <v>2.5</v>
      </c>
      <c r="BL22" s="401">
        <v>1.2</v>
      </c>
      <c r="BM22" s="402">
        <v>8</v>
      </c>
      <c r="BN22">
        <f>BM22*3.14*BL22*BL22/4</f>
        <v>9.0431999999999988</v>
      </c>
      <c r="BO22" s="56">
        <f>BJ22-BK22</f>
        <v>9.5</v>
      </c>
      <c r="BP22" s="275">
        <f>BN22/BI22/BO22*BR$8/BO$8</f>
        <v>0.22575078011233615</v>
      </c>
      <c r="BQ22" s="275">
        <f>BP22*(1-BP22/2)</f>
        <v>0.20026907275167197</v>
      </c>
      <c r="BR22" s="542">
        <f>BQ22*BI22*BO22*BO22*BO8</f>
        <v>238580.54636906684</v>
      </c>
      <c r="BS22" s="543"/>
      <c r="BT22" s="404" t="str">
        <f>IF(BP22&lt;BS19,"","UNSAFE")</f>
        <v/>
      </c>
      <c r="BU22" s="7"/>
    </row>
    <row r="23" spans="2:73" x14ac:dyDescent="0.3">
      <c r="B23" s="21">
        <v>250</v>
      </c>
      <c r="C23" s="21">
        <v>5000</v>
      </c>
      <c r="D23" s="21">
        <v>150</v>
      </c>
      <c r="E23" s="21">
        <v>2500</v>
      </c>
      <c r="F23" s="21">
        <v>2500</v>
      </c>
      <c r="G23" s="22">
        <f>MIN(C23/5,16*D23,(E23+F23)/2)+B23</f>
        <v>1250</v>
      </c>
      <c r="H23" s="23">
        <v>750</v>
      </c>
      <c r="I23" s="23">
        <v>50</v>
      </c>
      <c r="J23" s="24">
        <v>2500</v>
      </c>
      <c r="K23" s="56">
        <f>H23-I23</f>
        <v>700</v>
      </c>
      <c r="L23" s="275">
        <f>J23*K$9/(G23*K23*H$9)</f>
        <v>6.7758328627893855E-2</v>
      </c>
      <c r="M23" s="275">
        <f>L23/E$7</f>
        <v>8.4697910784867311E-2</v>
      </c>
      <c r="N23" s="275">
        <f>L23*(1-L23/2)</f>
        <v>6.5462733078671023E-2</v>
      </c>
      <c r="O23" s="25">
        <f>IF(P23=0,N23*H$9*G23*K23*K23,0)</f>
        <v>529266196.94105512</v>
      </c>
      <c r="P23" s="26">
        <f>IF(M23&gt;D23,-1,IF(M23&gt;(E$8*H$6*K$6/(H$6*K$6+K$5)),-2,0))</f>
        <v>0</v>
      </c>
      <c r="R23" s="37"/>
      <c r="S23" s="496" t="s">
        <v>112</v>
      </c>
      <c r="T23" s="496"/>
      <c r="U23" s="154">
        <v>1</v>
      </c>
      <c r="X23" s="36"/>
      <c r="Z23" s="146">
        <v>300</v>
      </c>
      <c r="AA23" s="9">
        <v>1800</v>
      </c>
      <c r="AB23" s="9">
        <v>6</v>
      </c>
      <c r="AC23" s="9">
        <v>12</v>
      </c>
      <c r="AD23" s="9">
        <v>1200</v>
      </c>
      <c r="AE23" s="149">
        <f>AD23*AA$16/(Z23*AA23*AA$10)</f>
        <v>4.4757033248081841E-2</v>
      </c>
      <c r="AF23" s="149">
        <v>0.5</v>
      </c>
      <c r="AG23" s="10">
        <v>1000000</v>
      </c>
      <c r="AH23" s="10">
        <v>1000000000</v>
      </c>
      <c r="AI23" s="149">
        <f>AG23/(Z23*AA23*AA$10)</f>
        <v>0.10212418300653593</v>
      </c>
      <c r="AJ23" s="149">
        <f>AG23*AA23/AH23</f>
        <v>1.8</v>
      </c>
      <c r="AK23" s="150">
        <f>IFERROR(MAX(1,7/6-1/AJ23/3),1)</f>
        <v>1</v>
      </c>
      <c r="AL23" s="150" cm="1">
        <f t="array" ref="AL23">[1]!AxialForceAndBendingSectionAnalysis_2F_eccentricity(AE23,AF23,AA$17,AJ23)</f>
        <v>-1.7750762329156639E-2</v>
      </c>
      <c r="AM23" s="150" cm="1">
        <f t="array" ref="AM23:AN23">[1]!AxialForceAndBendingSectionAnalysis_2F(AE23,AF23,AA$17,AL23,AA$5,AA$7)</f>
        <v>0.12206437900052917</v>
      </c>
      <c r="AN23" s="150">
        <v>6.781354388918287E-2</v>
      </c>
      <c r="AO23" s="153">
        <f>AM23/AI23</f>
        <v>1.1952543991731819</v>
      </c>
      <c r="AR23" s="146">
        <v>300</v>
      </c>
      <c r="AS23" s="9">
        <v>1000</v>
      </c>
      <c r="AT23" s="9">
        <v>8</v>
      </c>
      <c r="AU23" s="9">
        <v>16</v>
      </c>
      <c r="AV23" s="9">
        <f>AT23*AU23*AU23*3.14/4</f>
        <v>1607.68</v>
      </c>
      <c r="AW23" s="149">
        <f>AV23*AS$16/(AR23*AS23*AS$10)</f>
        <v>0.10793248081841433</v>
      </c>
      <c r="AX23" s="10">
        <v>900000</v>
      </c>
      <c r="AY23" s="10">
        <v>550000000</v>
      </c>
      <c r="AZ23" s="149">
        <f>AX23/(AR23*AS23*AS$10)</f>
        <v>0.1654411764705882</v>
      </c>
      <c r="BA23" s="149">
        <f>AX23*AS23/AY23</f>
        <v>1.6363636363636365</v>
      </c>
      <c r="BB23" s="150">
        <f>MAX(1,7/6-1/BA23/3)</f>
        <v>1</v>
      </c>
      <c r="BC23" s="150" cm="1">
        <f t="array" ref="BC23">[1]!AxialForceAndBendingSectionAnalysis_UF_eccentricity(AW23,AS$13/AS$14,BA23,AS23/AR23,AS$5,AS$7)</f>
        <v>-7.2512279273404682E-3</v>
      </c>
      <c r="BD23" s="150" cm="1">
        <f t="array" ref="BD23:BE23">[1]!AxialForceAndBendingSectionAnalysis_UF(AW23,AS$13/AS$14,BC23,AS23/AR23,AS$5,AS$7)</f>
        <v>0.18450069162333871</v>
      </c>
      <c r="BE23" s="150">
        <v>0.11275042265870697</v>
      </c>
      <c r="BF23" s="153">
        <f>BD23/AZ23</f>
        <v>1.1152041804788475</v>
      </c>
    </row>
    <row r="24" spans="2:73" x14ac:dyDescent="0.3">
      <c r="B24" s="21">
        <v>250</v>
      </c>
      <c r="C24" s="21">
        <v>0</v>
      </c>
      <c r="D24" s="21">
        <v>0</v>
      </c>
      <c r="E24" s="21">
        <v>0</v>
      </c>
      <c r="F24" s="21">
        <v>0</v>
      </c>
      <c r="G24" s="22">
        <f>MIN(C24/5,16*D24,(E24+F24)/2)+B24</f>
        <v>250</v>
      </c>
      <c r="H24" s="23">
        <v>750</v>
      </c>
      <c r="I24" s="23">
        <v>50</v>
      </c>
      <c r="J24" s="23">
        <v>1000</v>
      </c>
      <c r="K24" s="56">
        <f>H24-I24</f>
        <v>700</v>
      </c>
      <c r="L24" s="275">
        <f>J24*K$9/(G24*K24*H$9)</f>
        <v>0.13551665725578771</v>
      </c>
      <c r="M24" s="275">
        <f>L24/E$7</f>
        <v>0.16939582156973462</v>
      </c>
      <c r="N24" s="275">
        <f>L24*(1-L24/2)</f>
        <v>0.12633427505889638</v>
      </c>
      <c r="O24" s="25">
        <f>IF(P24=0,N24*H$9*G24*K24*K24,0)</f>
        <v>204282522.77023542</v>
      </c>
      <c r="P24" s="26">
        <f>IF( AND( D24 &lt;&gt; 0,M24&gt;D24),-1,IF(M24&gt;(E$8*H$6*K$6/(H$6*K$6+K$5)),-2,0))</f>
        <v>0</v>
      </c>
      <c r="R24" s="37"/>
      <c r="U24" s="5"/>
      <c r="X24" s="36"/>
      <c r="Z24" s="1"/>
      <c r="AF24"/>
    </row>
    <row r="25" spans="2:73" x14ac:dyDescent="0.3">
      <c r="B25" s="21">
        <v>500</v>
      </c>
      <c r="C25" s="21">
        <v>0</v>
      </c>
      <c r="D25" s="21">
        <v>0</v>
      </c>
      <c r="E25" s="21">
        <v>0</v>
      </c>
      <c r="F25" s="21">
        <v>0</v>
      </c>
      <c r="G25" s="22">
        <f>MIN(C25/5,16*D25,(E25+F25)/2)+B25</f>
        <v>500</v>
      </c>
      <c r="H25" s="23">
        <v>750</v>
      </c>
      <c r="I25" s="23">
        <v>50</v>
      </c>
      <c r="J25" s="24">
        <v>-500</v>
      </c>
      <c r="K25" s="56">
        <f>H25-I25</f>
        <v>700</v>
      </c>
      <c r="L25" s="275">
        <f>J25*K$9/(G25*K25*H$9)</f>
        <v>-3.3879164313946927E-2</v>
      </c>
      <c r="M25" s="275">
        <f>L25/E$7</f>
        <v>-4.2348955392433656E-2</v>
      </c>
      <c r="N25" s="275">
        <f>L25*(1-L25/2)</f>
        <v>-3.4453063201252639E-2</v>
      </c>
      <c r="O25" s="25">
        <f>IF(P25=0,N25*H$9*G25*K25*K25,0)</f>
        <v>-111421206.39285102</v>
      </c>
      <c r="P25" s="26">
        <f>IF(M25&gt;D25,-1,IF(M25&gt;(E$8*H$6*K$6/(H$6*K$6+K$5)),-2,0))</f>
        <v>0</v>
      </c>
      <c r="R25" s="37"/>
      <c r="T25" t="s">
        <v>111</v>
      </c>
      <c r="U25" s="137">
        <f>V5*U19*U20/U21</f>
        <v>18.133333333333336</v>
      </c>
      <c r="X25" s="36"/>
      <c r="Z25" s="1"/>
      <c r="AF25"/>
    </row>
    <row r="26" spans="2:73" x14ac:dyDescent="0.3">
      <c r="R26" s="37"/>
      <c r="T26" t="s">
        <v>35</v>
      </c>
      <c r="U26" s="138">
        <f>X5/U22</f>
        <v>365.21739130434787</v>
      </c>
      <c r="X26" s="36"/>
      <c r="Z26" s="1"/>
      <c r="AE26" s="58"/>
      <c r="AF26"/>
    </row>
    <row r="27" spans="2:73" x14ac:dyDescent="0.3">
      <c r="R27" s="37"/>
      <c r="X27" s="36"/>
      <c r="Y27" s="7"/>
      <c r="Z27" s="1"/>
      <c r="AF27"/>
    </row>
    <row r="28" spans="2:73" x14ac:dyDescent="0.3">
      <c r="R28" s="37"/>
      <c r="S28" s="579" t="s">
        <v>117</v>
      </c>
      <c r="T28" s="579"/>
      <c r="U28" s="579"/>
      <c r="V28" s="579"/>
      <c r="W28" s="579"/>
      <c r="X28" s="580"/>
      <c r="Z28" s="1"/>
      <c r="AF28"/>
    </row>
    <row r="29" spans="2:73" x14ac:dyDescent="0.3">
      <c r="N29">
        <f>16*12</f>
        <v>192</v>
      </c>
      <c r="R29" s="37"/>
      <c r="S29" s="577" t="s">
        <v>122</v>
      </c>
      <c r="T29" s="577"/>
      <c r="U29" s="577"/>
      <c r="V29" s="577"/>
      <c r="W29" s="577"/>
      <c r="X29" s="578"/>
      <c r="Z29" s="1"/>
      <c r="AF29"/>
    </row>
    <row r="30" spans="2:73" x14ac:dyDescent="0.3">
      <c r="R30" s="37"/>
      <c r="S30" s="1"/>
      <c r="X30" s="36"/>
      <c r="Z30" s="1"/>
      <c r="AF30"/>
    </row>
    <row r="31" spans="2:73" x14ac:dyDescent="0.3">
      <c r="R31" s="84"/>
      <c r="S31" s="85" t="s">
        <v>118</v>
      </c>
      <c r="T31" s="85"/>
      <c r="U31" s="139" cm="1">
        <f t="array" ref="U31">[1]!AxialForceAndBendingSectionAnalysis_EcentricityRatio(T5,T6,T7,V10:V13,V33,U26,X7,V6,U25,U18)</f>
        <v>-1.9382970819377271E-3</v>
      </c>
      <c r="V31" s="91"/>
      <c r="W31" s="91"/>
      <c r="X31" s="83"/>
      <c r="Z31" s="1"/>
      <c r="AF31"/>
    </row>
    <row r="32" spans="2:73" x14ac:dyDescent="0.3">
      <c r="R32" s="84"/>
      <c r="S32" s="86"/>
      <c r="T32" s="94" t="s">
        <v>57</v>
      </c>
      <c r="U32" s="94" t="s">
        <v>12</v>
      </c>
      <c r="V32" s="94" t="s">
        <v>109</v>
      </c>
      <c r="W32" s="94" t="s">
        <v>9</v>
      </c>
      <c r="X32" s="83"/>
      <c r="Z32" s="1"/>
      <c r="AF32"/>
    </row>
    <row r="33" spans="18:32" ht="15" thickBot="1" x14ac:dyDescent="0.35">
      <c r="R33" s="84"/>
      <c r="S33" s="139" t="s">
        <v>121</v>
      </c>
      <c r="T33" s="98">
        <v>600000</v>
      </c>
      <c r="U33" s="98">
        <v>320000000</v>
      </c>
      <c r="V33" s="140">
        <f>IFERROR(MIN(20,(T33*$T$6)/U33),0)</f>
        <v>3.375</v>
      </c>
      <c r="W33" s="141">
        <f>IFERROR(1,MAX(1,7/6-1/V33/3))</f>
        <v>1</v>
      </c>
      <c r="X33" s="83"/>
      <c r="Z33" s="1"/>
      <c r="AF33"/>
    </row>
    <row r="34" spans="18:32" ht="15" thickBot="1" x14ac:dyDescent="0.35">
      <c r="R34" s="84"/>
      <c r="S34" s="97" t="s">
        <v>119</v>
      </c>
      <c r="T34" s="99" cm="1">
        <f t="array" ref="T34:U34">[1]!AxialForceAndBendingSectionAnalysis(T5,T6,T7,V10:V13,U31,U26/W33,X7,V6,U25/W33,U18)</f>
        <v>4558688.8021573415</v>
      </c>
      <c r="U34" s="100">
        <v>2431300694.4839153</v>
      </c>
      <c r="V34" s="140">
        <f>IFERROR(MIN(20,(T34*$T$6)/U34),0)</f>
        <v>3.3750000000000004</v>
      </c>
      <c r="W34" s="141">
        <f>IFERROR(1,MAX(1,7/6-1/V34/3))</f>
        <v>1</v>
      </c>
      <c r="X34" s="83"/>
      <c r="Z34" s="1"/>
      <c r="AF34"/>
    </row>
    <row r="35" spans="18:32" ht="15" thickBot="1" x14ac:dyDescent="0.35">
      <c r="R35" s="87"/>
      <c r="S35" s="88"/>
      <c r="T35" s="89" t="s">
        <v>120</v>
      </c>
      <c r="U35" s="93">
        <f>IFERROR(T34/T33,U34/U33)</f>
        <v>7.5978146702622356</v>
      </c>
      <c r="V35" s="88"/>
      <c r="W35" s="88"/>
      <c r="X35" s="90"/>
      <c r="Z35" s="1"/>
      <c r="AF35"/>
    </row>
    <row r="36" spans="18:32" ht="15" thickBot="1" x14ac:dyDescent="0.35">
      <c r="R36" s="560" t="s">
        <v>124</v>
      </c>
      <c r="S36" s="561"/>
      <c r="T36" s="561"/>
      <c r="U36" s="561"/>
      <c r="V36" s="561"/>
      <c r="W36" s="561"/>
      <c r="X36" s="562"/>
      <c r="Z36" s="1"/>
      <c r="AF36"/>
    </row>
    <row r="37" spans="18:32" ht="15" thickBot="1" x14ac:dyDescent="0.35">
      <c r="R37" s="73" t="s">
        <v>21</v>
      </c>
      <c r="S37" s="74" t="s">
        <v>66</v>
      </c>
      <c r="T37" s="75" t="s">
        <v>9</v>
      </c>
      <c r="U37" s="75" t="s">
        <v>108</v>
      </c>
      <c r="V37" s="75" t="s">
        <v>57</v>
      </c>
      <c r="W37" s="76" t="s">
        <v>12</v>
      </c>
      <c r="X37" s="77" t="s">
        <v>109</v>
      </c>
      <c r="Z37" s="1" t="s">
        <v>145</v>
      </c>
      <c r="AF37"/>
    </row>
    <row r="38" spans="18:32" x14ac:dyDescent="0.3">
      <c r="R38" s="78">
        <v>1</v>
      </c>
      <c r="S38" s="69"/>
      <c r="T38" s="66">
        <v>1.1666700000000001</v>
      </c>
      <c r="U38" s="70">
        <v>3.0000000000000001E-3</v>
      </c>
      <c r="V38" s="71">
        <f>V39</f>
        <v>8005365.0510396985</v>
      </c>
      <c r="W38" s="72">
        <v>0</v>
      </c>
      <c r="X38" s="79">
        <v>1000</v>
      </c>
      <c r="Z38" s="7">
        <f>1/X38</f>
        <v>1E-3</v>
      </c>
      <c r="AF38"/>
    </row>
    <row r="39" spans="18:32" x14ac:dyDescent="0.3">
      <c r="R39" s="80">
        <v>2</v>
      </c>
      <c r="S39" s="67"/>
      <c r="T39" s="66">
        <f>IFERROR(MAX(1,7/6-1/X39/3),1)</f>
        <v>1.1500000000000001</v>
      </c>
      <c r="U39" s="67" cm="1">
        <f t="array" ref="U39">[1]!AxialForceAndBendingSectionAnalysis_EcentricityRatio(T$5,T$6,T$7,V$10:V$13,X39,U$26,X$7,V$6,U$25,U$18)</f>
        <v>3.0000000000000001E-3</v>
      </c>
      <c r="V39" s="71" cm="1">
        <f t="array" ref="V39:W39">[1]!AxialForceAndBendingSectionAnalysis(T$5,T$6,T$7,V$10:V$13,U39,U$26/T39,X$7,V$6,U$25/T39,U$18)</f>
        <v>8005365.0510396985</v>
      </c>
      <c r="W39" s="68">
        <v>720482854.59357285</v>
      </c>
      <c r="X39" s="81">
        <f>40/(11*R39-20)</f>
        <v>20</v>
      </c>
      <c r="Z39" s="7">
        <f t="shared" ref="Z39:Z56" si="1">1/X39</f>
        <v>0.05</v>
      </c>
      <c r="AF39"/>
    </row>
    <row r="40" spans="18:32" x14ac:dyDescent="0.3">
      <c r="R40" s="80">
        <v>3</v>
      </c>
      <c r="S40" s="65"/>
      <c r="T40" s="66">
        <f t="shared" ref="T40:T55" si="2">IFERROR(MAX(1,7/6-1/X40/3),1)</f>
        <v>1.1458333333333335</v>
      </c>
      <c r="U40" s="67" cm="1">
        <f t="array" ref="U40">[1]!AxialForceAndBendingSectionAnalysis_EcentricityRatio(T$5,T$6,T$7,V$10:V$13,X40,U$26,X$7,V$6,U$25,U$18)</f>
        <v>4.2028823810137667E-4</v>
      </c>
      <c r="V40" s="71" cm="1">
        <f t="array" ref="V40:W40">[1]!AxialForceAndBendingSectionAnalysis(T$5,T$6,T$7,V$10:V$13,U40,U$26/T40,X$7,V$6,U$25/T40,U$18)</f>
        <v>7804534.0560921226</v>
      </c>
      <c r="W40" s="68">
        <v>878009929.9502703</v>
      </c>
      <c r="X40" s="82">
        <v>16</v>
      </c>
      <c r="Z40" s="7">
        <f t="shared" si="1"/>
        <v>6.25E-2</v>
      </c>
      <c r="AF40"/>
    </row>
    <row r="41" spans="18:32" x14ac:dyDescent="0.3">
      <c r="R41" s="80">
        <v>4</v>
      </c>
      <c r="S41" s="65"/>
      <c r="T41" s="66">
        <f t="shared" si="2"/>
        <v>1.1388888888888891</v>
      </c>
      <c r="U41" s="67" cm="1">
        <f t="array" ref="U41">[1]!AxialForceAndBendingSectionAnalysis_EcentricityRatio(T$5,T$6,T$7,V$10:V$13,X41,U$26,X$7,V$6,U$25,U$18)</f>
        <v>2.9349619491002819E-4</v>
      </c>
      <c r="V41" s="71" cm="1">
        <f t="array" ref="V41:W41">[1]!AxialForceAndBendingSectionAnalysis(T$5,T$6,T$7,V$10:V$13,U41,U$26/T41,X$7,V$6,U$25/T41,U$18)</f>
        <v>7484305.0887395749</v>
      </c>
      <c r="W41" s="68">
        <v>1122645763.31093</v>
      </c>
      <c r="X41" s="82">
        <v>12</v>
      </c>
      <c r="Z41" s="7">
        <f t="shared" si="1"/>
        <v>8.3333333333333329E-2</v>
      </c>
      <c r="AF41"/>
    </row>
    <row r="42" spans="18:32" x14ac:dyDescent="0.3">
      <c r="R42" s="80">
        <v>5</v>
      </c>
      <c r="S42" s="67"/>
      <c r="T42" s="66">
        <f t="shared" si="2"/>
        <v>1.1296296296296298</v>
      </c>
      <c r="U42" s="67" cm="1">
        <f t="array" ref="U42">[1]!AxialForceAndBendingSectionAnalysis_EcentricityRatio(T$5,T$6,T$7,V$10:V$13,X42,U$26,X$7,V$6,U$25,U$18)</f>
        <v>1.0547112620691187E-4</v>
      </c>
      <c r="V42" s="71" cm="1">
        <f t="array" ref="V42:W42">[1]!AxialForceAndBendingSectionAnalysis(T$5,T$6,T$7,V$10:V$13,U42,U$26/T42,X$7,V$6,U$25/T42,U$18)</f>
        <v>7053617.0335488124</v>
      </c>
      <c r="W42" s="68">
        <v>1410723406.7097626</v>
      </c>
      <c r="X42" s="82">
        <v>9</v>
      </c>
      <c r="Z42" s="7">
        <f t="shared" si="1"/>
        <v>0.1111111111111111</v>
      </c>
      <c r="AF42"/>
    </row>
    <row r="43" spans="18:32" x14ac:dyDescent="0.3">
      <c r="R43" s="80">
        <v>6</v>
      </c>
      <c r="S43" s="65"/>
      <c r="T43" s="66">
        <f t="shared" si="2"/>
        <v>1.1111111111111112</v>
      </c>
      <c r="U43" s="67" cm="1">
        <f t="array" ref="U43">[1]!AxialForceAndBendingSectionAnalysis_EcentricityRatio(T$5,T$6,T$7,V$10:V$13,X43,U$26,X$7,V$6,U$25,U$18)</f>
        <v>-3.4901166652265476E-4</v>
      </c>
      <c r="V43" s="71" cm="1">
        <f t="array" ref="V43:W43">[1]!AxialForceAndBendingSectionAnalysis(T$5,T$6,T$7,V$10:V$13,U43,U$26/T43,X$7,V$6,U$25/T43,U$18)</f>
        <v>6185674.52049015</v>
      </c>
      <c r="W43" s="68">
        <v>1855702356.1470449</v>
      </c>
      <c r="X43" s="82">
        <v>6</v>
      </c>
      <c r="Z43" s="7">
        <f t="shared" si="1"/>
        <v>0.16666666666666666</v>
      </c>
      <c r="AF43"/>
    </row>
    <row r="44" spans="18:32" x14ac:dyDescent="0.3">
      <c r="R44" s="80">
        <v>7</v>
      </c>
      <c r="S44" s="67"/>
      <c r="T44" s="66">
        <f t="shared" si="2"/>
        <v>1.0833333333333335</v>
      </c>
      <c r="U44" s="67" cm="1">
        <f t="array" ref="U44">[1]!AxialForceAndBendingSectionAnalysis_EcentricityRatio(T$5,T$6,T$7,V$10:V$13,X44,U$26,X$7,V$6,U$25,U$18)</f>
        <v>-1.2800538798374138E-3</v>
      </c>
      <c r="V44" s="71" cm="1">
        <f t="array" ref="V44:W44">[1]!AxialForceAndBendingSectionAnalysis(T$5,T$6,T$7,V$10:V$13,U44,U$26/T44,X$7,V$6,U$25/T44,U$18)</f>
        <v>4914382.1691194549</v>
      </c>
      <c r="W44" s="68">
        <v>2211471976.1037545</v>
      </c>
      <c r="X44" s="82">
        <v>4</v>
      </c>
      <c r="Z44" s="7">
        <f t="shared" si="1"/>
        <v>0.25</v>
      </c>
      <c r="AB44" s="1"/>
      <c r="AF44"/>
    </row>
    <row r="45" spans="18:32" x14ac:dyDescent="0.3">
      <c r="R45" s="80">
        <v>8</v>
      </c>
      <c r="S45" s="65"/>
      <c r="T45" s="66">
        <f t="shared" si="2"/>
        <v>1.0666716664166793</v>
      </c>
      <c r="U45" s="67" cm="1">
        <f t="array" ref="U45">[1]!AxialForceAndBendingSectionAnalysis_EcentricityRatio(T$5,T$6,T$7,V$10:V$13,X45,U$26,X$7,V$6,U$25,U$18)</f>
        <v>-1.9944717250435849E-3</v>
      </c>
      <c r="V45" s="71" cm="1">
        <f t="array" ref="V45:W45">[1]!AxialForceAndBendingSectionAnalysis(T$5,T$6,T$7,V$10:V$13,U45,U$26/T45,X$7,V$6,U$25/T45,U$18)</f>
        <v>4220485.0738647776</v>
      </c>
      <c r="W45" s="68">
        <v>2278947992.4873552</v>
      </c>
      <c r="X45" s="82">
        <f t="shared" ref="X45:X56" si="3">-2.222+44.444/R45</f>
        <v>3.3335000000000004</v>
      </c>
      <c r="Z45" s="7">
        <f t="shared" si="1"/>
        <v>0.29998500074996248</v>
      </c>
      <c r="AF45"/>
    </row>
    <row r="46" spans="18:32" x14ac:dyDescent="0.3">
      <c r="R46" s="80">
        <v>9</v>
      </c>
      <c r="S46" s="67"/>
      <c r="T46" s="66">
        <f t="shared" si="2"/>
        <v>1.0439472033597863</v>
      </c>
      <c r="U46" s="67" cm="1">
        <f t="array" ref="U46">[1]!AxialForceAndBendingSectionAnalysis_EcentricityRatio(T$5,T$6,T$7,V$10:V$13,X46,U$26,X$7,V$6,U$25,U$18)</f>
        <v>-3.4747515539843431E-3</v>
      </c>
      <c r="V46" s="71" cm="1">
        <f t="array" ref="V46:W46">[1]!AxialForceAndBendingSectionAnalysis(T$5,T$6,T$7,V$10:V$13,U46,U$26/T46,X$7,V$6,U$25/T46,U$18)</f>
        <v>3274358.0645316923</v>
      </c>
      <c r="W46" s="68">
        <v>2169868307.5109797</v>
      </c>
      <c r="X46" s="82">
        <f t="shared" si="3"/>
        <v>2.7162222222222225</v>
      </c>
      <c r="Z46" s="7">
        <f t="shared" si="1"/>
        <v>0.36815838992064137</v>
      </c>
      <c r="AF46"/>
    </row>
    <row r="47" spans="18:32" x14ac:dyDescent="0.3">
      <c r="R47" s="80">
        <v>10</v>
      </c>
      <c r="S47" s="65"/>
      <c r="T47" s="66">
        <f t="shared" si="2"/>
        <v>1.0166786657067435</v>
      </c>
      <c r="U47" s="67" cm="1">
        <f t="array" ref="U47">[1]!AxialForceAndBendingSectionAnalysis_EcentricityRatio(T$5,T$6,T$7,V$10:V$13,X47,U$26,X$7,V$6,U$25,U$18)</f>
        <v>-6.1969762267739372E-3</v>
      </c>
      <c r="V47" s="71" cm="1">
        <f t="array" ref="V47:W47">[1]!AxialForceAndBendingSectionAnalysis(T$5,T$6,T$7,V$10:V$13,U47,U$26/T47,X$7,V$6,U$25/T47,U$18)</f>
        <v>2300962.9003157588</v>
      </c>
      <c r="W47" s="68">
        <v>1863630858.7870619</v>
      </c>
      <c r="X47" s="82">
        <f t="shared" si="3"/>
        <v>2.2223999999999999</v>
      </c>
      <c r="Z47" s="7">
        <f t="shared" si="1"/>
        <v>0.44996400287976962</v>
      </c>
      <c r="AF47"/>
    </row>
    <row r="48" spans="18:32" x14ac:dyDescent="0.3">
      <c r="R48" s="80">
        <v>11</v>
      </c>
      <c r="S48" s="67"/>
      <c r="T48" s="66">
        <f t="shared" si="2"/>
        <v>1</v>
      </c>
      <c r="U48" s="67" cm="1">
        <f t="array" ref="U48">[1]!AxialForceAndBendingSectionAnalysis_EcentricityRatio(T$5,T$6,T$7,V$10:V$13,X48,U$26,X$7,V$6,U$25,U$18)</f>
        <v>-1.0893495029147542E-2</v>
      </c>
      <c r="V48" s="71" cm="1">
        <f t="array" ref="V48:W48">[1]!AxialForceAndBendingSectionAnalysis(T$5,T$6,T$7,V$10:V$13,U48,U$26/T48,X$7,V$6,U$25/T48,U$18)</f>
        <v>1459096.4057785447</v>
      </c>
      <c r="W48" s="68">
        <v>1444361005.6201973</v>
      </c>
      <c r="X48" s="82">
        <f t="shared" si="3"/>
        <v>1.8183636363636366</v>
      </c>
      <c r="Z48" s="7">
        <f t="shared" si="1"/>
        <v>0.54994500549945002</v>
      </c>
      <c r="AF48"/>
    </row>
    <row r="49" spans="18:32" x14ac:dyDescent="0.3">
      <c r="R49" s="80">
        <v>12</v>
      </c>
      <c r="S49" s="67"/>
      <c r="T49" s="66">
        <f t="shared" si="2"/>
        <v>1</v>
      </c>
      <c r="U49" s="67" cm="1">
        <f t="array" ref="U49">[1]!AxialForceAndBendingSectionAnalysis_EcentricityRatio(T$5,T$6,T$7,V$10:V$13,X49,U$26,X$7,V$6,U$25,U$18)</f>
        <v>-1.8676962057919647E-2</v>
      </c>
      <c r="V49" s="71" cm="1">
        <f t="array" ref="V49:W49">[1]!AxialForceAndBendingSectionAnalysis(T$5,T$6,T$7,V$10:V$13,U49,U$26/T49,X$7,V$6,U$25/T49,U$18)</f>
        <v>865514.72880221391</v>
      </c>
      <c r="W49" s="68">
        <v>1051468961.8744555</v>
      </c>
      <c r="X49" s="82">
        <f t="shared" si="3"/>
        <v>1.4816666666666669</v>
      </c>
      <c r="Z49" s="7">
        <f t="shared" si="1"/>
        <v>0.67491563554555667</v>
      </c>
      <c r="AF49"/>
    </row>
    <row r="50" spans="18:32" x14ac:dyDescent="0.3">
      <c r="R50" s="80">
        <v>13</v>
      </c>
      <c r="S50" s="67"/>
      <c r="T50" s="66">
        <f t="shared" si="2"/>
        <v>1</v>
      </c>
      <c r="U50" s="67" cm="1">
        <f t="array" ref="U50">[1]!AxialForceAndBendingSectionAnalysis_EcentricityRatio(T$5,T$6,T$7,V$10:V$13,X50,U$26,X$7,V$6,U$25,U$18)</f>
        <v>-2.7494746773089055E-2</v>
      </c>
      <c r="V50" s="71" cm="1">
        <f t="array" ref="V50:W50">[1]!AxialForceAndBendingSectionAnalysis(T$5,T$6,T$7,V$10:V$13,U50,U$26/T50,X$7,V$6,U$25/T50,U$18)</f>
        <v>535740.71204930858</v>
      </c>
      <c r="W50" s="68">
        <v>805780477.05063748</v>
      </c>
      <c r="X50" s="82">
        <f t="shared" si="3"/>
        <v>1.196769230769231</v>
      </c>
      <c r="Z50" s="7">
        <f t="shared" si="1"/>
        <v>0.83558297981745711</v>
      </c>
      <c r="AF50"/>
    </row>
    <row r="51" spans="18:32" x14ac:dyDescent="0.3">
      <c r="R51" s="80">
        <v>14</v>
      </c>
      <c r="S51" s="67"/>
      <c r="T51" s="66">
        <f t="shared" si="2"/>
        <v>1</v>
      </c>
      <c r="U51" s="67" cm="1">
        <f t="array" ref="U51">[1]!AxialForceAndBendingSectionAnalysis_EcentricityRatio(T$5,T$6,T$7,V$10:V$13,X51,U$26,X$7,V$6,U$25,U$18)</f>
        <v>-3.5807294215114048E-2</v>
      </c>
      <c r="V51" s="71" cm="1">
        <f t="array" ref="V51:W51">[1]!AxialForceAndBendingSectionAnalysis(T$5,T$6,T$7,V$10:V$13,U51,U$26/T51,X$7,V$6,U$25/T51,U$18)</f>
        <v>348789.90862442704</v>
      </c>
      <c r="W51" s="68">
        <v>659081111.07795131</v>
      </c>
      <c r="X51" s="82">
        <f t="shared" si="3"/>
        <v>0.95257142857142885</v>
      </c>
      <c r="Z51" s="7">
        <f t="shared" si="1"/>
        <v>1.0497900419916013</v>
      </c>
      <c r="AF51"/>
    </row>
    <row r="52" spans="18:32" x14ac:dyDescent="0.3">
      <c r="R52" s="80">
        <v>15</v>
      </c>
      <c r="S52" s="67"/>
      <c r="T52" s="66">
        <f t="shared" si="2"/>
        <v>1</v>
      </c>
      <c r="U52" s="67" cm="1">
        <f t="array" ref="U52">[1]!AxialForceAndBendingSectionAnalysis_EcentricityRatio(T$5,T$6,T$7,V$10:V$13,X52,U$26,X$7,V$6,U$25,U$18)</f>
        <v>-4.29866845961175E-2</v>
      </c>
      <c r="V52" s="71" cm="1">
        <f t="array" ref="V52:W52">[1]!AxialForceAndBendingSectionAnalysis(T$5,T$6,T$7,V$10:V$13,U52,U$26/T52,X$7,V$6,U$25/T52,U$18)</f>
        <v>232951.77903542324</v>
      </c>
      <c r="W52" s="68">
        <v>565925682.37865984</v>
      </c>
      <c r="X52" s="82">
        <f t="shared" si="3"/>
        <v>0.74093333333333344</v>
      </c>
      <c r="Z52" s="7">
        <f t="shared" si="1"/>
        <v>1.3496490912362784</v>
      </c>
      <c r="AF52"/>
    </row>
    <row r="53" spans="18:32" x14ac:dyDescent="0.3">
      <c r="R53" s="80">
        <v>16</v>
      </c>
      <c r="S53" s="67"/>
      <c r="T53" s="66">
        <f t="shared" si="2"/>
        <v>1</v>
      </c>
      <c r="U53" s="67" cm="1">
        <f t="array" ref="U53">[1]!AxialForceAndBendingSectionAnalysis_EcentricityRatio(T$5,T$6,T$7,V$10:V$13,X53,U$26,X$7,V$6,U$25,U$18)</f>
        <v>-4.8986265684658609E-2</v>
      </c>
      <c r="V53" s="71" cm="1">
        <f t="array" ref="V53:W53">[1]!AxialForceAndBendingSectionAnalysis(T$5,T$6,T$7,V$10:V$13,U53,U$26/T53,X$7,V$6,U$25/T53,U$18)</f>
        <v>155176.84122729022</v>
      </c>
      <c r="W53" s="68">
        <v>502597056.60660785</v>
      </c>
      <c r="X53" s="82">
        <f t="shared" si="3"/>
        <v>0.55575000000000019</v>
      </c>
      <c r="Z53" s="7">
        <f t="shared" si="1"/>
        <v>1.7993702204228514</v>
      </c>
      <c r="AF53"/>
    </row>
    <row r="54" spans="18:32" x14ac:dyDescent="0.3">
      <c r="R54" s="80">
        <v>17</v>
      </c>
      <c r="S54" s="67"/>
      <c r="T54" s="66">
        <f t="shared" si="2"/>
        <v>1</v>
      </c>
      <c r="U54" s="67" cm="1">
        <f t="array" ref="U54">[1]!AxialForceAndBendingSectionAnalysis_EcentricityRatio(T$5,T$6,T$7,V$10:V$13,X54,U$26,X$7,V$6,U$25,U$18)</f>
        <v>-5.3962098855632266E-2</v>
      </c>
      <c r="V54" s="71" cm="1">
        <f t="array" ref="V54:W54">[1]!AxialForceAndBendingSectionAnalysis(T$5,T$6,T$7,V$10:V$13,U54,U$26/T54,X$7,V$6,U$25/T54,U$18)</f>
        <v>99626.516542572586</v>
      </c>
      <c r="W54" s="68">
        <v>457057182.33923846</v>
      </c>
      <c r="X54" s="82">
        <f t="shared" si="3"/>
        <v>0.39235294117647079</v>
      </c>
      <c r="Z54" s="7">
        <f t="shared" si="1"/>
        <v>2.5487256371814078</v>
      </c>
      <c r="AF54"/>
    </row>
    <row r="55" spans="18:32" x14ac:dyDescent="0.3">
      <c r="R55" s="80">
        <v>18</v>
      </c>
      <c r="S55" s="67"/>
      <c r="T55" s="66">
        <f t="shared" si="2"/>
        <v>1</v>
      </c>
      <c r="U55" s="67" cm="1">
        <f t="array" ref="U55">[1]!AxialForceAndBendingSectionAnalysis_EcentricityRatio(T$5,T$6,T$7,V$10:V$13,X55,U$26,X$7,V$6,U$25,U$18)</f>
        <v>-5.8103691145603049E-2</v>
      </c>
      <c r="V55" s="71" cm="1">
        <f t="array" ref="V55:W55">[1]!AxialForceAndBendingSectionAnalysis(T$5,T$6,T$7,V$10:V$13,U55,U$26/T55,X$7,V$6,U$25/T55,U$18)</f>
        <v>58048.796302505478</v>
      </c>
      <c r="W55" s="68">
        <v>422837455.08119977</v>
      </c>
      <c r="X55" s="82">
        <f t="shared" si="3"/>
        <v>0.24711111111111128</v>
      </c>
      <c r="Z55" s="7">
        <f t="shared" si="1"/>
        <v>4.046762589928055</v>
      </c>
      <c r="AF55"/>
    </row>
    <row r="56" spans="18:32" x14ac:dyDescent="0.3">
      <c r="R56" s="80">
        <v>19</v>
      </c>
      <c r="S56" s="67"/>
      <c r="T56" s="66">
        <f>IFERROR(MAX(1,7/6-1/X56/3),1)</f>
        <v>1</v>
      </c>
      <c r="U56" s="67" cm="1">
        <f t="array" ref="U56">[1]!AxialForceAndBendingSectionAnalysis_EcentricityRatio(T$5,T$6,T$7,V$10:V$13,X56,U$26,X$7,V$6,U$25,U$18)</f>
        <v>-6.1578996457470052E-2</v>
      </c>
      <c r="V56" s="71" cm="1">
        <f t="array" ref="V56:W56">[1]!AxialForceAndBendingSectionAnalysis(T$5,T$6,T$7,V$10:V$13,U56,U$26/T56,X$7,V$6,U$25/T56,U$18)</f>
        <v>25789.229732773558</v>
      </c>
      <c r="W56" s="68">
        <v>396222667.05339456</v>
      </c>
      <c r="X56" s="82">
        <f t="shared" si="3"/>
        <v>0.11715789473684213</v>
      </c>
      <c r="Z56" s="7">
        <f t="shared" si="1"/>
        <v>8.5354896675651375</v>
      </c>
      <c r="AF56"/>
    </row>
    <row r="57" spans="18:32" x14ac:dyDescent="0.3">
      <c r="R57" s="80">
        <v>20</v>
      </c>
      <c r="S57" s="67" t="s">
        <v>123</v>
      </c>
      <c r="T57" s="66">
        <f>IFERROR(MAX(1,7/6-1/X57/3),1)</f>
        <v>1</v>
      </c>
      <c r="U57" s="67" cm="1">
        <f t="array" ref="U57">[1]!AxialForceAndBendingSectionAnalysis_EcentricityRatio(T$5,T$6,T$7,V$10:V$13,X57,U$26,X$7,V$6,U$25,U$18)</f>
        <v>-6.4528280405546631E-2</v>
      </c>
      <c r="V57" s="71" cm="1">
        <f t="array" ref="V57:W57">[1]!AxialForceAndBendingSectionAnalysis(T$5,T$6,T$7,V$10:V$13,U57,U$26/T57,X$7,V$6,U$25/T57,U$18)</f>
        <v>0</v>
      </c>
      <c r="W57" s="68">
        <v>374913071.87663919</v>
      </c>
      <c r="X57" s="82">
        <v>0</v>
      </c>
      <c r="Z57" s="1"/>
      <c r="AF57"/>
    </row>
    <row r="58" spans="18:32" x14ac:dyDescent="0.3">
      <c r="R58" s="37"/>
      <c r="X58" s="36"/>
      <c r="Z58" s="1"/>
      <c r="AF58"/>
    </row>
    <row r="59" spans="18:32" x14ac:dyDescent="0.3">
      <c r="R59" s="37"/>
      <c r="X59" s="36"/>
      <c r="Z59" s="1"/>
      <c r="AF59"/>
    </row>
    <row r="60" spans="18:32" x14ac:dyDescent="0.3">
      <c r="R60" s="37"/>
      <c r="X60" s="36"/>
      <c r="Z60" s="1"/>
      <c r="AF60"/>
    </row>
    <row r="61" spans="18:32" x14ac:dyDescent="0.3">
      <c r="R61" s="37"/>
      <c r="X61" s="36"/>
      <c r="Z61" s="1"/>
      <c r="AF61"/>
    </row>
    <row r="62" spans="18:32" x14ac:dyDescent="0.3">
      <c r="R62" s="37"/>
      <c r="X62" s="36"/>
      <c r="Z62" s="1"/>
      <c r="AF62"/>
    </row>
    <row r="63" spans="18:32" x14ac:dyDescent="0.3">
      <c r="R63" s="37"/>
      <c r="X63" s="36"/>
      <c r="Z63" s="1"/>
      <c r="AF63"/>
    </row>
    <row r="64" spans="18:32" x14ac:dyDescent="0.3">
      <c r="R64" s="37"/>
      <c r="X64" s="36"/>
      <c r="Z64" s="1"/>
      <c r="AF64"/>
    </row>
    <row r="65" spans="18:32" x14ac:dyDescent="0.3">
      <c r="R65" s="37"/>
      <c r="X65" s="36"/>
      <c r="Z65" s="1"/>
      <c r="AF65"/>
    </row>
    <row r="66" spans="18:32" x14ac:dyDescent="0.3">
      <c r="R66" s="37"/>
      <c r="X66" s="36"/>
      <c r="Z66" s="1"/>
      <c r="AF66"/>
    </row>
    <row r="67" spans="18:32" x14ac:dyDescent="0.3">
      <c r="R67" s="37"/>
      <c r="X67" s="36"/>
      <c r="Z67" s="1"/>
      <c r="AF67"/>
    </row>
    <row r="68" spans="18:32" x14ac:dyDescent="0.3">
      <c r="R68" s="37"/>
      <c r="X68" s="36"/>
      <c r="Z68" s="1"/>
      <c r="AF68"/>
    </row>
    <row r="69" spans="18:32" x14ac:dyDescent="0.3">
      <c r="R69" s="37"/>
      <c r="X69" s="36"/>
      <c r="Z69" s="1"/>
      <c r="AF69"/>
    </row>
    <row r="70" spans="18:32" x14ac:dyDescent="0.3">
      <c r="R70" s="37"/>
      <c r="X70" s="36"/>
      <c r="Z70" s="1"/>
      <c r="AF70"/>
    </row>
    <row r="71" spans="18:32" x14ac:dyDescent="0.3">
      <c r="R71" s="37"/>
      <c r="X71" s="36"/>
      <c r="Z71" s="1"/>
      <c r="AF71"/>
    </row>
    <row r="72" spans="18:32" x14ac:dyDescent="0.3">
      <c r="R72" s="37"/>
      <c r="X72" s="36"/>
      <c r="Z72" s="1"/>
      <c r="AF72"/>
    </row>
    <row r="73" spans="18:32" x14ac:dyDescent="0.3">
      <c r="R73" s="37"/>
      <c r="X73" s="36"/>
      <c r="Z73" s="1"/>
      <c r="AF73"/>
    </row>
    <row r="74" spans="18:32" ht="15" thickBot="1" x14ac:dyDescent="0.35">
      <c r="R74" s="38"/>
      <c r="S74" s="39"/>
      <c r="T74" s="39"/>
      <c r="U74" s="39"/>
      <c r="V74" s="39"/>
      <c r="W74" s="39"/>
      <c r="X74" s="40"/>
      <c r="Z74" s="1"/>
      <c r="AF74"/>
    </row>
    <row r="75" spans="18:32" x14ac:dyDescent="0.3">
      <c r="R75" s="563" t="s">
        <v>36</v>
      </c>
      <c r="S75" s="564"/>
      <c r="T75" s="564"/>
      <c r="U75" s="564"/>
      <c r="V75" s="564"/>
      <c r="W75" s="564"/>
      <c r="X75" s="565"/>
      <c r="Z75" s="1"/>
      <c r="AF75"/>
    </row>
    <row r="76" spans="18:32" x14ac:dyDescent="0.3">
      <c r="R76" s="553" t="s">
        <v>59</v>
      </c>
      <c r="S76" s="554"/>
      <c r="X76" s="36"/>
      <c r="Z76" s="1"/>
      <c r="AF76"/>
    </row>
    <row r="77" spans="18:32" x14ac:dyDescent="0.3">
      <c r="R77" s="37"/>
      <c r="S77" t="s">
        <v>39</v>
      </c>
      <c r="T77" s="142">
        <f>U31</f>
        <v>-1.9382970819377271E-3</v>
      </c>
      <c r="X77" s="36"/>
      <c r="Z77" s="1"/>
      <c r="AF77"/>
    </row>
    <row r="78" spans="18:32" x14ac:dyDescent="0.3">
      <c r="R78" s="553" t="s">
        <v>61</v>
      </c>
      <c r="S78" s="554"/>
      <c r="X78" s="36"/>
      <c r="Z78" s="1"/>
      <c r="AF78"/>
    </row>
    <row r="79" spans="18:32" x14ac:dyDescent="0.3">
      <c r="R79" s="37"/>
      <c r="X79" s="36"/>
      <c r="Z79" s="1"/>
      <c r="AF79"/>
    </row>
    <row r="80" spans="18:32" x14ac:dyDescent="0.3">
      <c r="R80" s="37"/>
      <c r="X80" s="36"/>
      <c r="Z80" s="1"/>
      <c r="AF80"/>
    </row>
    <row r="81" spans="18:32" x14ac:dyDescent="0.3">
      <c r="R81" s="37"/>
      <c r="X81" s="36"/>
      <c r="Z81" s="1"/>
      <c r="AF81"/>
    </row>
    <row r="82" spans="18:32" x14ac:dyDescent="0.3">
      <c r="R82" s="553" t="s">
        <v>62</v>
      </c>
      <c r="S82" s="554"/>
      <c r="X82" s="36"/>
      <c r="Z82" s="1"/>
      <c r="AF82"/>
    </row>
    <row r="83" spans="18:32" x14ac:dyDescent="0.3">
      <c r="R83" s="37"/>
      <c r="S83" t="s">
        <v>48</v>
      </c>
      <c r="T83" s="143">
        <f>V6*T13/(V6-T77)</f>
        <v>1038.8196406334978</v>
      </c>
      <c r="X83" s="36"/>
      <c r="Z83" s="1"/>
      <c r="AF83"/>
    </row>
    <row r="84" spans="18:32" x14ac:dyDescent="0.3">
      <c r="R84" s="37"/>
      <c r="S84" t="s">
        <v>54</v>
      </c>
      <c r="X84" s="36"/>
      <c r="Z84" s="1"/>
      <c r="AF84"/>
    </row>
    <row r="85" spans="18:32" x14ac:dyDescent="0.3">
      <c r="R85" s="37"/>
      <c r="X85" s="36"/>
      <c r="Z85" s="1"/>
      <c r="AF85"/>
    </row>
    <row r="86" spans="18:32" ht="15" thickBot="1" x14ac:dyDescent="0.35">
      <c r="R86" s="553" t="s">
        <v>63</v>
      </c>
      <c r="S86" s="554"/>
      <c r="X86" s="36"/>
      <c r="Z86" s="1"/>
      <c r="AF86"/>
    </row>
    <row r="87" spans="18:32" ht="15" thickBot="1" x14ac:dyDescent="0.35">
      <c r="R87" s="121" t="s">
        <v>28</v>
      </c>
      <c r="S87" s="122" t="s">
        <v>30</v>
      </c>
      <c r="T87" s="122" t="s">
        <v>0</v>
      </c>
      <c r="U87" s="122" t="s">
        <v>29</v>
      </c>
      <c r="V87" s="122" t="s">
        <v>31</v>
      </c>
      <c r="W87" s="122" t="s">
        <v>32</v>
      </c>
      <c r="X87" s="123" t="s">
        <v>33</v>
      </c>
      <c r="Z87" s="1"/>
      <c r="AF87"/>
    </row>
    <row r="88" spans="18:32" x14ac:dyDescent="0.3">
      <c r="R88" s="132">
        <v>1</v>
      </c>
      <c r="S88" s="124">
        <f>U10</f>
        <v>0.33</v>
      </c>
      <c r="T88" s="125">
        <f>T10</f>
        <v>90</v>
      </c>
      <c r="U88" s="126">
        <f>(V$6/T$83)*(T$83-T88)</f>
        <v>2.7400896272664352E-3</v>
      </c>
      <c r="V88" s="125">
        <f>IF(U88&gt;X$7,U$26,IF(U88&lt;-X$7,-U$26,U$26*U88/X$7))</f>
        <v>365.21739130434787</v>
      </c>
      <c r="W88" s="125">
        <f t="shared" ref="W88:X91" si="4">V88*S88</f>
        <v>120.52173913043481</v>
      </c>
      <c r="X88" s="127">
        <f t="shared" si="4"/>
        <v>10846.956521739134</v>
      </c>
      <c r="Z88" s="1"/>
      <c r="AF88"/>
    </row>
    <row r="89" spans="18:32" x14ac:dyDescent="0.3">
      <c r="R89" s="133">
        <v>2</v>
      </c>
      <c r="S89" s="128">
        <f>U11</f>
        <v>0.16700000000000001</v>
      </c>
      <c r="T89" s="129">
        <f>T11</f>
        <v>630</v>
      </c>
      <c r="U89" s="130">
        <f>(V$6/T$83)*(T$83-T89)</f>
        <v>1.1806273908650481E-3</v>
      </c>
      <c r="V89" s="125">
        <f>IF(U89&gt;X$7,U$26,IF(U89&lt;-X$7,-U$26,U$26*U89/X$7))</f>
        <v>205.32650275913883</v>
      </c>
      <c r="W89" s="129">
        <f t="shared" si="4"/>
        <v>34.289525960776189</v>
      </c>
      <c r="X89" s="131">
        <f t="shared" si="4"/>
        <v>21602.401355288999</v>
      </c>
      <c r="Z89" s="1"/>
      <c r="AF89"/>
    </row>
    <row r="90" spans="18:32" x14ac:dyDescent="0.3">
      <c r="R90" s="133">
        <v>3</v>
      </c>
      <c r="S90" s="128">
        <f>U12</f>
        <v>0.16700000000000001</v>
      </c>
      <c r="T90" s="129">
        <f>T12</f>
        <v>1170</v>
      </c>
      <c r="U90" s="130">
        <f>(V$6/T$83)*(T$83-T90)</f>
        <v>-3.7883484553633933E-4</v>
      </c>
      <c r="V90" s="125">
        <f>IF(U90&gt;X$7,U$26,IF(U90&lt;-X$7,-U$26,U$26*U90/X$7))</f>
        <v>-65.884320962841642</v>
      </c>
      <c r="W90" s="129">
        <f t="shared" si="4"/>
        <v>-11.002681600794554</v>
      </c>
      <c r="X90" s="131">
        <f t="shared" si="4"/>
        <v>-12873.137472929629</v>
      </c>
      <c r="Z90" s="1"/>
      <c r="AF90"/>
    </row>
    <row r="91" spans="18:32" x14ac:dyDescent="0.3">
      <c r="R91" s="133">
        <v>4</v>
      </c>
      <c r="S91" s="128">
        <f>U13</f>
        <v>0.33329999999999999</v>
      </c>
      <c r="T91" s="129">
        <f>T13</f>
        <v>1710</v>
      </c>
      <c r="U91" s="130">
        <f>(V$6/T$83)*(T$83-T91)</f>
        <v>-1.9382970819377266E-3</v>
      </c>
      <c r="V91" s="125">
        <f>IF(U91&gt;X$7,U$26,IF(U91&lt;-X$7,-U$26,U$26*U91/X$7))</f>
        <v>-337.09514468482206</v>
      </c>
      <c r="W91" s="129">
        <f t="shared" si="4"/>
        <v>-112.35381172345119</v>
      </c>
      <c r="X91" s="131">
        <f t="shared" si="4"/>
        <v>-192125.01804710153</v>
      </c>
      <c r="Z91" s="1"/>
      <c r="AF91"/>
    </row>
    <row r="92" spans="18:32" x14ac:dyDescent="0.3">
      <c r="R92" s="37"/>
      <c r="T92" s="5"/>
      <c r="U92" s="5"/>
      <c r="V92" s="5"/>
      <c r="W92" s="144">
        <f>SUM(W88:W91)</f>
        <v>31.454771766965266</v>
      </c>
      <c r="X92" s="134">
        <f>SUM(X88:X91)</f>
        <v>-172548.79764300302</v>
      </c>
      <c r="Z92" s="1"/>
      <c r="AF92"/>
    </row>
    <row r="93" spans="18:32" x14ac:dyDescent="0.3">
      <c r="R93" s="37"/>
      <c r="X93" s="36"/>
      <c r="Z93" s="1"/>
      <c r="AF93"/>
    </row>
    <row r="94" spans="18:32" x14ac:dyDescent="0.3">
      <c r="R94" s="553" t="s">
        <v>64</v>
      </c>
      <c r="S94" s="554"/>
      <c r="X94" s="36"/>
    </row>
    <row r="95" spans="18:32" x14ac:dyDescent="0.3">
      <c r="R95" s="37"/>
      <c r="S95" s="60" t="s">
        <v>56</v>
      </c>
      <c r="T95" s="61">
        <f>MIN(U18*T83,T5)</f>
        <v>300</v>
      </c>
      <c r="X95" s="36"/>
    </row>
    <row r="96" spans="18:32" x14ac:dyDescent="0.3">
      <c r="R96" s="37"/>
      <c r="S96" s="60" t="s">
        <v>125</v>
      </c>
      <c r="T96" s="61">
        <f>T95*T5*U25</f>
        <v>1632000.0000000002</v>
      </c>
      <c r="X96" s="36"/>
    </row>
    <row r="97" spans="18:25" x14ac:dyDescent="0.3">
      <c r="R97" s="37"/>
      <c r="S97" s="60"/>
      <c r="T97" s="61"/>
      <c r="X97" s="36"/>
    </row>
    <row r="98" spans="18:25" x14ac:dyDescent="0.3">
      <c r="R98" s="96" t="s">
        <v>65</v>
      </c>
      <c r="S98" s="581"/>
      <c r="T98" s="581"/>
      <c r="U98" s="558" t="s">
        <v>113</v>
      </c>
      <c r="V98" s="558"/>
      <c r="W98" s="558"/>
      <c r="X98" s="559"/>
    </row>
    <row r="99" spans="18:25" x14ac:dyDescent="0.3">
      <c r="R99" s="37"/>
      <c r="S99" s="145" t="s">
        <v>57</v>
      </c>
      <c r="T99" s="343">
        <f>W92+T96</f>
        <v>1632031.4547717671</v>
      </c>
      <c r="U99" s="558"/>
      <c r="V99" s="558"/>
      <c r="W99" s="558"/>
      <c r="X99" s="559"/>
    </row>
    <row r="100" spans="18:25" ht="15" thickBot="1" x14ac:dyDescent="0.35">
      <c r="R100" s="38"/>
      <c r="S100" s="101" t="s">
        <v>12</v>
      </c>
      <c r="T100" s="102">
        <f>0.5*T99*T6-0.5*T96*T95-X92</f>
        <v>1224200858.0922334</v>
      </c>
      <c r="U100" s="39"/>
      <c r="V100" s="95"/>
      <c r="W100" s="39"/>
      <c r="X100" s="40"/>
    </row>
    <row r="102" spans="18:25" x14ac:dyDescent="0.3">
      <c r="Y102" s="1"/>
    </row>
    <row r="103" spans="18:25" x14ac:dyDescent="0.3">
      <c r="S103" s="520" t="s">
        <v>129</v>
      </c>
      <c r="T103" s="520"/>
      <c r="U103" s="520"/>
      <c r="V103" s="520"/>
      <c r="W103" s="520"/>
      <c r="X103" s="520"/>
      <c r="Y103" s="520"/>
    </row>
    <row r="104" spans="18:25" x14ac:dyDescent="0.3">
      <c r="S104" s="520" t="s">
        <v>128</v>
      </c>
      <c r="T104" s="520"/>
      <c r="U104" s="520"/>
      <c r="V104" s="520"/>
      <c r="W104" s="520"/>
      <c r="X104" s="520"/>
      <c r="Y104" s="520"/>
    </row>
  </sheetData>
  <mergeCells count="73">
    <mergeCell ref="BK19:BO19"/>
    <mergeCell ref="BJ13:BK13"/>
    <mergeCell ref="BJ14:BK14"/>
    <mergeCell ref="BJ15:BK15"/>
    <mergeCell ref="BJ16:BK16"/>
    <mergeCell ref="BJ17:BK17"/>
    <mergeCell ref="BI7:BK7"/>
    <mergeCell ref="BI9:BK9"/>
    <mergeCell ref="BM9:BO9"/>
    <mergeCell ref="BI10:BJ10"/>
    <mergeCell ref="BM10:BN10"/>
    <mergeCell ref="R2:X2"/>
    <mergeCell ref="Z3:AA3"/>
    <mergeCell ref="AR3:AS3"/>
    <mergeCell ref="AR2:BF2"/>
    <mergeCell ref="E14:F14"/>
    <mergeCell ref="E11:F11"/>
    <mergeCell ref="E12:F12"/>
    <mergeCell ref="E13:F13"/>
    <mergeCell ref="R3:S3"/>
    <mergeCell ref="R4:T4"/>
    <mergeCell ref="U4:V4"/>
    <mergeCell ref="W4:X4"/>
    <mergeCell ref="B4:E4"/>
    <mergeCell ref="B5:D5"/>
    <mergeCell ref="B6:D6"/>
    <mergeCell ref="B7:D7"/>
    <mergeCell ref="B3:P3"/>
    <mergeCell ref="J4:K4"/>
    <mergeCell ref="G4:H4"/>
    <mergeCell ref="B8:D8"/>
    <mergeCell ref="S104:Y104"/>
    <mergeCell ref="S29:X29"/>
    <mergeCell ref="S20:T20"/>
    <mergeCell ref="S21:T21"/>
    <mergeCell ref="S22:T22"/>
    <mergeCell ref="S23:T23"/>
    <mergeCell ref="S28:X28"/>
    <mergeCell ref="S103:Y103"/>
    <mergeCell ref="S98:T98"/>
    <mergeCell ref="R94:S94"/>
    <mergeCell ref="R78:S78"/>
    <mergeCell ref="R82:S82"/>
    <mergeCell ref="R86:S86"/>
    <mergeCell ref="C11:D11"/>
    <mergeCell ref="R8:S8"/>
    <mergeCell ref="U98:X99"/>
    <mergeCell ref="R36:X36"/>
    <mergeCell ref="R75:X75"/>
    <mergeCell ref="R76:S76"/>
    <mergeCell ref="R9:S9"/>
    <mergeCell ref="R17:S17"/>
    <mergeCell ref="S18:T18"/>
    <mergeCell ref="S19:T19"/>
    <mergeCell ref="E15:F15"/>
    <mergeCell ref="E16:F16"/>
    <mergeCell ref="E17:F17"/>
    <mergeCell ref="BR21:BS21"/>
    <mergeCell ref="BR22:BS22"/>
    <mergeCell ref="Z2:AO2"/>
    <mergeCell ref="AR17:BA17"/>
    <mergeCell ref="AR18:BA18"/>
    <mergeCell ref="Z12:AA12"/>
    <mergeCell ref="AC15:AJ15"/>
    <mergeCell ref="AC16:AJ16"/>
    <mergeCell ref="AR12:AS12"/>
    <mergeCell ref="BI2:BT2"/>
    <mergeCell ref="BI3:BL3"/>
    <mergeCell ref="BN3:BO3"/>
    <mergeCell ref="BQ3:BR3"/>
    <mergeCell ref="BI4:BK4"/>
    <mergeCell ref="BI5:BK5"/>
    <mergeCell ref="BI6:BK6"/>
  </mergeCells>
  <conditionalFormatting sqref="I11">
    <cfRule type="cellIs" dxfId="14" priority="22" operator="equal">
      <formula>-1</formula>
    </cfRule>
  </conditionalFormatting>
  <conditionalFormatting sqref="U35">
    <cfRule type="cellIs" dxfId="13" priority="8" operator="lessThan">
      <formula>1</formula>
    </cfRule>
    <cfRule type="cellIs" dxfId="12" priority="9" operator="greaterThan">
      <formula>1</formula>
    </cfRule>
    <cfRule type="cellIs" dxfId="11" priority="10" operator="greaterThan">
      <formula>1.25</formula>
    </cfRule>
  </conditionalFormatting>
  <conditionalFormatting sqref="AO20:AO23">
    <cfRule type="cellIs" dxfId="10" priority="5" operator="greaterThan">
      <formula>1.2</formula>
    </cfRule>
    <cfRule type="cellIs" dxfId="9" priority="6" operator="between">
      <formula>1</formula>
      <formula>1.2</formula>
    </cfRule>
    <cfRule type="cellIs" dxfId="8" priority="7" operator="lessThan">
      <formula>1</formula>
    </cfRule>
  </conditionalFormatting>
  <conditionalFormatting sqref="BF20:BF23">
    <cfRule type="cellIs" dxfId="7" priority="2" operator="greaterThan">
      <formula>1.2</formula>
    </cfRule>
    <cfRule type="cellIs" dxfId="6" priority="3" operator="between">
      <formula>1</formula>
      <formula>1.2</formula>
    </cfRule>
    <cfRule type="cellIs" dxfId="5" priority="4" operator="lessThan">
      <formula>1</formula>
    </cfRule>
  </conditionalFormatting>
  <conditionalFormatting sqref="BR10">
    <cfRule type="cellIs" dxfId="4" priority="1" operator="equal">
      <formula>-1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0521F9-33C2-43C1-A95A-F59CB8B065A7}">
  <sheetPr codeName="Sheet2"/>
  <dimension ref="A2:BO185"/>
  <sheetViews>
    <sheetView topLeftCell="F15" zoomScale="108" zoomScaleNormal="70" workbookViewId="0">
      <selection activeCell="C48" sqref="C48"/>
    </sheetView>
  </sheetViews>
  <sheetFormatPr defaultColWidth="10.77734375" defaultRowHeight="14.4" x14ac:dyDescent="0.3"/>
  <cols>
    <col min="1" max="1" width="4.5546875" style="269" customWidth="1"/>
    <col min="2" max="2" width="5.33203125" style="269" customWidth="1"/>
    <col min="3" max="6" width="7.77734375" style="269" customWidth="1"/>
    <col min="7" max="9" width="7.77734375" style="267" customWidth="1"/>
    <col min="10" max="10" width="5.88671875" style="267" customWidth="1"/>
    <col min="11" max="11" width="7.77734375" style="267" customWidth="1"/>
    <col min="12" max="12" width="5.44140625" style="267" customWidth="1"/>
    <col min="13" max="14" width="7.77734375" style="267" customWidth="1"/>
    <col min="15" max="18" width="7.77734375" style="267" hidden="1" customWidth="1"/>
    <col min="19" max="20" width="7.77734375" style="267" customWidth="1"/>
    <col min="21" max="21" width="8.33203125" style="267" customWidth="1"/>
    <col min="22" max="23" width="10.77734375" style="267" customWidth="1"/>
    <col min="24" max="24" width="10.77734375" style="269" customWidth="1"/>
    <col min="25" max="25" width="10.77734375" style="271" customWidth="1"/>
    <col min="26" max="26" width="10.77734375" style="269" customWidth="1"/>
    <col min="27" max="27" width="8" style="269" customWidth="1"/>
    <col min="28" max="28" width="5.5546875" style="340" hidden="1" customWidth="1"/>
    <col min="29" max="29" width="8.109375" style="269" hidden="1" customWidth="1"/>
    <col min="30" max="31" width="7" style="269" hidden="1" customWidth="1"/>
    <col min="32" max="32" width="11" style="269" hidden="1" customWidth="1"/>
    <col min="33" max="33" width="7" style="269" hidden="1" customWidth="1"/>
    <col min="34" max="35" width="10.77734375" style="269" customWidth="1"/>
    <col min="36" max="36" width="7.21875" style="269" bestFit="1" customWidth="1"/>
    <col min="37" max="38" width="10.77734375" style="269" customWidth="1"/>
    <col min="39" max="40" width="10.77734375" style="270" customWidth="1"/>
    <col min="41" max="44" width="10.77734375" style="269" customWidth="1"/>
    <col min="45" max="45" width="9.77734375" style="269" customWidth="1"/>
    <col min="46" max="48" width="9.77734375" style="269" hidden="1" customWidth="1"/>
    <col min="49" max="52" width="9.77734375" style="269" customWidth="1"/>
    <col min="53" max="53" width="9.77734375" style="269" hidden="1" customWidth="1"/>
    <col min="54" max="54" width="9.77734375" style="269" customWidth="1"/>
    <col min="55" max="58" width="9.77734375" style="269" hidden="1" customWidth="1"/>
    <col min="59" max="62" width="9.77734375" style="269" customWidth="1"/>
    <col min="63" max="16384" width="10.77734375" style="269"/>
  </cols>
  <sheetData>
    <row r="2" spans="2:67" ht="15" thickBot="1" x14ac:dyDescent="0.35"/>
    <row r="3" spans="2:67" ht="15" thickBot="1" x14ac:dyDescent="0.35">
      <c r="B3" s="610" t="s">
        <v>289</v>
      </c>
      <c r="C3" s="611"/>
      <c r="D3" s="611"/>
      <c r="E3" s="611"/>
      <c r="F3" s="611"/>
      <c r="G3" s="611"/>
      <c r="H3" s="611"/>
      <c r="I3" s="611"/>
      <c r="J3" s="611"/>
      <c r="K3" s="611"/>
      <c r="L3" s="611"/>
      <c r="M3" s="611"/>
      <c r="N3" s="611"/>
      <c r="O3" s="611"/>
      <c r="P3" s="611"/>
      <c r="Q3" s="611"/>
      <c r="R3" s="611"/>
      <c r="S3" s="611"/>
      <c r="T3" s="612"/>
      <c r="V3" s="606" t="s">
        <v>197</v>
      </c>
      <c r="W3" s="607"/>
      <c r="X3" s="607"/>
      <c r="Y3" s="607"/>
      <c r="Z3" s="607"/>
      <c r="AA3" s="607"/>
      <c r="AB3" s="607"/>
      <c r="AC3" s="607"/>
      <c r="AD3" s="607"/>
      <c r="AE3" s="607"/>
      <c r="AF3" s="607"/>
      <c r="AG3" s="607"/>
      <c r="AH3" s="607"/>
      <c r="AI3" s="608"/>
      <c r="AK3" s="603" t="s">
        <v>339</v>
      </c>
      <c r="AL3" s="604"/>
      <c r="AM3" s="604"/>
      <c r="AN3" s="604"/>
      <c r="AO3" s="604"/>
      <c r="AP3" s="604"/>
      <c r="AQ3" s="605"/>
      <c r="AS3" s="603" t="s">
        <v>354</v>
      </c>
      <c r="AT3" s="604"/>
      <c r="AU3" s="604"/>
      <c r="AV3" s="604"/>
      <c r="AW3" s="604"/>
      <c r="AX3" s="604"/>
      <c r="AY3" s="604"/>
      <c r="AZ3" s="604"/>
      <c r="BA3" s="604"/>
      <c r="BB3" s="604"/>
      <c r="BC3" s="604"/>
      <c r="BD3" s="604"/>
      <c r="BE3" s="604"/>
      <c r="BF3" s="604"/>
      <c r="BG3" s="604"/>
      <c r="BH3" s="604"/>
      <c r="BI3" s="604"/>
      <c r="BJ3" s="605"/>
      <c r="BL3" s="269" t="s">
        <v>409</v>
      </c>
      <c r="BM3" s="269" t="s">
        <v>166</v>
      </c>
      <c r="BN3" s="269" t="s">
        <v>303</v>
      </c>
      <c r="BO3" s="269" t="s">
        <v>408</v>
      </c>
    </row>
    <row r="4" spans="2:67" ht="15" thickBot="1" x14ac:dyDescent="0.35">
      <c r="B4" s="613" t="s">
        <v>76</v>
      </c>
      <c r="C4" s="602"/>
      <c r="D4" s="602"/>
      <c r="E4" s="299"/>
      <c r="F4" s="602" t="s">
        <v>77</v>
      </c>
      <c r="G4" s="602"/>
      <c r="H4" s="416"/>
      <c r="I4" s="416"/>
      <c r="J4" s="416"/>
      <c r="K4" s="416"/>
      <c r="L4" s="416"/>
      <c r="M4" s="416"/>
      <c r="N4" s="416"/>
      <c r="O4" s="416"/>
      <c r="P4" s="416"/>
      <c r="Q4" s="416"/>
      <c r="R4" s="299"/>
      <c r="S4" s="298"/>
      <c r="T4" s="258"/>
      <c r="V4" s="324" t="s">
        <v>203</v>
      </c>
      <c r="W4" s="325" t="s">
        <v>286</v>
      </c>
      <c r="X4" s="325" t="s">
        <v>287</v>
      </c>
      <c r="Y4" s="437" t="s">
        <v>284</v>
      </c>
      <c r="Z4" s="325" t="s">
        <v>9</v>
      </c>
      <c r="AA4" s="325" t="s">
        <v>5</v>
      </c>
      <c r="AB4" s="341" t="s">
        <v>74</v>
      </c>
      <c r="AC4" s="325" t="s">
        <v>347</v>
      </c>
      <c r="AD4" s="325" t="s">
        <v>348</v>
      </c>
      <c r="AE4" s="325" t="s">
        <v>4</v>
      </c>
      <c r="AF4" s="326" t="s">
        <v>435</v>
      </c>
      <c r="AG4" s="325" t="s">
        <v>436</v>
      </c>
      <c r="AH4" s="325" t="s">
        <v>194</v>
      </c>
      <c r="AI4" s="327" t="s">
        <v>195</v>
      </c>
      <c r="AK4" s="261"/>
      <c r="AL4" s="299"/>
      <c r="AM4" s="302"/>
      <c r="AN4" s="302"/>
      <c r="AO4" s="299"/>
      <c r="AP4" s="299"/>
      <c r="AQ4" s="290"/>
      <c r="AS4" s="260"/>
      <c r="AT4" s="298"/>
      <c r="AU4" s="298"/>
      <c r="AV4" s="298"/>
      <c r="AW4" s="298"/>
      <c r="AX4" s="298"/>
      <c r="AY4" s="298"/>
      <c r="AZ4" s="298"/>
      <c r="BA4" s="298"/>
      <c r="BB4" s="298"/>
      <c r="BC4" s="298"/>
      <c r="BD4" s="298"/>
      <c r="BE4" s="298"/>
      <c r="BF4" s="298"/>
      <c r="BG4" s="298"/>
      <c r="BH4" s="298"/>
      <c r="BI4" s="298"/>
      <c r="BJ4" s="258"/>
      <c r="BL4" s="269">
        <v>0</v>
      </c>
      <c r="BM4" s="269">
        <f>IFERROR(ROUNDDOWN(BL4/3,0)+1,"")</f>
        <v>1</v>
      </c>
      <c r="BN4" s="269">
        <f>0</f>
        <v>0</v>
      </c>
      <c r="BO4" s="271">
        <f>IFERROR(Y6,"")</f>
        <v>0</v>
      </c>
    </row>
    <row r="5" spans="2:67" x14ac:dyDescent="0.3">
      <c r="B5" s="600" t="s">
        <v>81</v>
      </c>
      <c r="C5" s="601"/>
      <c r="D5" s="320">
        <v>0.8</v>
      </c>
      <c r="E5" s="299"/>
      <c r="F5" s="413" t="s">
        <v>10</v>
      </c>
      <c r="G5" s="319">
        <v>30</v>
      </c>
      <c r="H5" s="305"/>
      <c r="I5" s="609" t="s">
        <v>373</v>
      </c>
      <c r="J5" s="609"/>
      <c r="K5" s="609"/>
      <c r="L5" s="305"/>
      <c r="M5" s="305"/>
      <c r="N5" s="305"/>
      <c r="O5" s="305"/>
      <c r="P5" s="305"/>
      <c r="Q5" s="305"/>
      <c r="R5" s="299"/>
      <c r="S5" s="298"/>
      <c r="T5" s="258"/>
      <c r="V5" s="328" t="s">
        <v>285</v>
      </c>
      <c r="W5" s="329">
        <v>0</v>
      </c>
      <c r="X5" s="329" t="str" cm="1">
        <f t="array" ref="X5">IF(W5&gt; C$63*3+1, ,IF(OR(W5=0, W5=C$63*3+1),"cantiliver",_xlfn.SWITCH(MOD(W5-1,3),0,"start",1,"middel",2,"end","")))</f>
        <v>cantiliver</v>
      </c>
      <c r="Y5" s="330" cm="1">
        <f t="array" ref="Y5:Y33">ROUND(TRANSPOSE([1]!ContinousBeamAnalysis(R43:INDEX(R43:R62,C63),S43:INDEX(S43:S62,C63),T43:INDEX(T43:T62,C63),C43:INDEX(C43:C62,C63),J38,J39,K38,K39)),2)</f>
        <v>0</v>
      </c>
      <c r="Z5" s="329">
        <f>D38</f>
        <v>120</v>
      </c>
      <c r="AA5" s="329">
        <f>E38-D$17</f>
        <v>450</v>
      </c>
      <c r="AB5" s="339">
        <f>IFERROR(ABS(Y5)/Z5/AA5/AA5/G$8,0)</f>
        <v>0</v>
      </c>
      <c r="AC5" s="331" cm="1">
        <f t="array" ref="AC5:AD5">[1]!PureBendingDesign(AB5)*G$8/G$18</f>
        <v>0</v>
      </c>
      <c r="AD5" s="331">
        <v>0</v>
      </c>
      <c r="AE5" s="473">
        <f>D38</f>
        <v>120</v>
      </c>
      <c r="AF5" s="472">
        <f>MAX(AC5*Z5*AA5,D$16*AE5*AA5)</f>
        <v>165.00000000000003</v>
      </c>
      <c r="AG5" s="472">
        <f>AD5*Z5*AA5</f>
        <v>0</v>
      </c>
      <c r="AH5" s="329">
        <f>IFERROR(IF(ROUND(Y5,1)&gt;0,AF5,AG5),"")</f>
        <v>0</v>
      </c>
      <c r="AI5" s="332">
        <f>IFERROR(IF(ROUNDDOWN(Y5,0)&gt;0,AG5,AF5),"")</f>
        <v>165.00000000000003</v>
      </c>
      <c r="AK5" s="593" t="s">
        <v>340</v>
      </c>
      <c r="AL5" s="594"/>
      <c r="AM5" s="318">
        <v>2</v>
      </c>
      <c r="AN5" s="302"/>
      <c r="AO5" s="299"/>
      <c r="AP5" s="299"/>
      <c r="AQ5" s="290"/>
      <c r="AS5" s="278" t="s">
        <v>366</v>
      </c>
      <c r="AT5" s="316"/>
      <c r="AU5" s="316"/>
      <c r="AV5" s="316"/>
      <c r="AW5" s="316"/>
      <c r="AX5" s="298"/>
      <c r="AY5" s="318">
        <v>200</v>
      </c>
      <c r="AZ5" s="298"/>
      <c r="BA5" s="298"/>
      <c r="BB5" s="298"/>
      <c r="BC5" s="298"/>
      <c r="BD5" s="298"/>
      <c r="BE5" s="298"/>
      <c r="BF5" s="298"/>
      <c r="BG5" s="298"/>
      <c r="BH5" s="298"/>
      <c r="BI5" s="298"/>
      <c r="BJ5" s="258"/>
      <c r="BL5" s="269">
        <f t="shared" ref="BL5:BL21" si="0">IF(BL4&lt;3*C$63-1,BL4+1,"")</f>
        <v>1</v>
      </c>
      <c r="BM5" s="269">
        <f t="shared" ref="BM5:BM34" si="1">IFERROR(ROUNDDOWN(BL5/3,0)+1,"")</f>
        <v>1</v>
      </c>
      <c r="BN5" s="269">
        <f>(BN6+BN4)/2</f>
        <v>1690</v>
      </c>
      <c r="BO5" s="269" cm="1">
        <f t="array" ref="BO5">IFERROR((INDEX(S$43:S$62,BM5)+INDEX(T$43:T$62,BM5))*INDEX(C$43:C$62,BM5)*INDEX(C$43:C$62,BM5)/8,"")</f>
        <v>73147340.5</v>
      </c>
    </row>
    <row r="6" spans="2:67" x14ac:dyDescent="0.3">
      <c r="B6" s="600" t="s">
        <v>82</v>
      </c>
      <c r="C6" s="601"/>
      <c r="D6" s="320">
        <v>0.82499999999999996</v>
      </c>
      <c r="E6" s="299"/>
      <c r="F6" s="413" t="s">
        <v>34</v>
      </c>
      <c r="G6" s="319">
        <v>3.0000000000000001E-3</v>
      </c>
      <c r="H6" s="305"/>
      <c r="I6" s="609"/>
      <c r="J6" s="609"/>
      <c r="K6" s="609"/>
      <c r="L6" s="305"/>
      <c r="M6" s="305"/>
      <c r="N6" s="305"/>
      <c r="O6" s="305"/>
      <c r="P6" s="305"/>
      <c r="Q6" s="299"/>
      <c r="R6" s="299"/>
      <c r="S6" s="299"/>
      <c r="T6" s="258"/>
      <c r="V6" s="328">
        <f t="shared" ref="V6:V37" si="2">IF(W6=C$63*3+1,"Cantiliver",IF(W6&gt; C$63*3+1,"",FLOOR((W6-1)/3,1)+1))</f>
        <v>1</v>
      </c>
      <c r="W6" s="329">
        <f t="shared" ref="W6:W37" si="3">IF(Y6="","",W5+1)</f>
        <v>1</v>
      </c>
      <c r="X6" s="329" t="str" cm="1">
        <f t="array" ref="X6">IF(W6&gt; C$63*3+1,"",IF(OR(W6=0, W6=C$63*3+1),"cantiliver",_xlfn.SWITCH(MOD(W6-1,3),0,"start",1,"middel",2,"end","")))</f>
        <v>start</v>
      </c>
      <c r="Y6" s="330">
        <v>0</v>
      </c>
      <c r="Z6" s="329" cm="1">
        <f t="array" ref="Z6">IF(W6=C$63*3+1,D$39,IF(W6&gt;C$63*3,"", IF(Y6&gt;0,INDEX(F$43:F$62,V6),INDEX(D$43:D$62,V6))))</f>
        <v>120</v>
      </c>
      <c r="AA6" s="329" cm="1">
        <f t="array" ref="AA6">IF(W6=3*C$63+1,E$39-D$17,IF(W6&gt;3*C$63,"", INDEX(E$43:E$62,V6)-D$17))</f>
        <v>450</v>
      </c>
      <c r="AB6" s="339">
        <f t="shared" ref="AB6:AB37" si="4">IFERROR(ABS(Y6)/Z6/AA6/AA6/G$8,"")</f>
        <v>0</v>
      </c>
      <c r="AC6" s="331" cm="1">
        <f t="array" ref="AC6:AD6">[1]!PureBendingDesign(AB6)*G$8/G$18</f>
        <v>0</v>
      </c>
      <c r="AD6" s="331">
        <v>0</v>
      </c>
      <c r="AE6" s="472" cm="1">
        <f t="array" ref="AE6">IF(W6=C$63*3+1,D$39,IF(W6&gt;C$63*3,"", INDEX(D$43:D$62,V6)))</f>
        <v>120</v>
      </c>
      <c r="AF6" s="472">
        <f t="shared" ref="AF6:AF66" si="5">MAX(AC6*Z6*AA6,D$16*AE6*AA6)</f>
        <v>165.00000000000003</v>
      </c>
      <c r="AG6" s="472">
        <f t="shared" ref="AG6:AG66" si="6">AD6*Z6*AA6</f>
        <v>0</v>
      </c>
      <c r="AH6" s="329">
        <f t="shared" ref="AH6:AH66" si="7">IFERROR(IF(ROUND(Y6,1)&gt;0,AF6,AG6),"")</f>
        <v>0</v>
      </c>
      <c r="AI6" s="332">
        <f t="shared" ref="AI6:AI66" si="8">IFERROR(IF(ROUNDDOWN(Y6,0)&gt;0,AG6,AF6),"")</f>
        <v>165.00000000000003</v>
      </c>
      <c r="AK6" s="593" t="s">
        <v>341</v>
      </c>
      <c r="AL6" s="594"/>
      <c r="AM6" s="318">
        <v>16</v>
      </c>
      <c r="AN6" s="302" t="s">
        <v>26</v>
      </c>
      <c r="AO6" s="320">
        <f>AM6*AM6*3.14/4</f>
        <v>200.96</v>
      </c>
      <c r="AP6" s="299" t="s">
        <v>372</v>
      </c>
      <c r="AQ6" s="299">
        <v>20</v>
      </c>
      <c r="AS6" s="278" t="s">
        <v>367</v>
      </c>
      <c r="AT6" s="316"/>
      <c r="AU6" s="316"/>
      <c r="AV6" s="316"/>
      <c r="AW6" s="316"/>
      <c r="AX6" s="298"/>
      <c r="AY6" s="318">
        <v>100</v>
      </c>
      <c r="AZ6" s="298"/>
      <c r="BA6" s="298"/>
      <c r="BB6" s="298"/>
      <c r="BC6" s="298"/>
      <c r="BD6" s="298"/>
      <c r="BE6" s="298"/>
      <c r="BF6" s="298"/>
      <c r="BG6" s="298"/>
      <c r="BH6" s="298"/>
      <c r="BI6" s="298"/>
      <c r="BJ6" s="258"/>
      <c r="BL6" s="269">
        <f t="shared" si="0"/>
        <v>2</v>
      </c>
      <c r="BM6" s="269">
        <f t="shared" si="1"/>
        <v>1</v>
      </c>
      <c r="BN6" s="269" cm="1">
        <f t="array" ref="BN6">INDEX(C$43:C$62,BM6)</f>
        <v>3380</v>
      </c>
      <c r="BO6" s="271">
        <f>IFERROR(Y8,"")</f>
        <v>-67363303.069999993</v>
      </c>
    </row>
    <row r="7" spans="2:67" x14ac:dyDescent="0.3">
      <c r="B7" s="600" t="s">
        <v>83</v>
      </c>
      <c r="C7" s="601"/>
      <c r="D7" s="320">
        <v>0.8</v>
      </c>
      <c r="E7" s="299"/>
      <c r="F7" s="413" t="s">
        <v>68</v>
      </c>
      <c r="G7" s="319">
        <v>1.5</v>
      </c>
      <c r="H7" s="305"/>
      <c r="I7" s="609"/>
      <c r="J7" s="609"/>
      <c r="K7" s="609"/>
      <c r="L7" s="305"/>
      <c r="M7" s="305"/>
      <c r="N7" s="305"/>
      <c r="O7" s="305"/>
      <c r="P7" s="305"/>
      <c r="Q7" s="299"/>
      <c r="R7" s="299"/>
      <c r="S7" s="299"/>
      <c r="T7" s="258"/>
      <c r="V7" s="328">
        <f t="shared" si="2"/>
        <v>1</v>
      </c>
      <c r="W7" s="329">
        <f t="shared" si="3"/>
        <v>2</v>
      </c>
      <c r="X7" s="329" t="str" cm="1">
        <f t="array" ref="X7">IF(W7&gt; C$63*3+1,"",IF(OR(W7=0, W7=C$63*3+1),"cantiliver",_xlfn.SWITCH(MOD(W7-1,3),0,"start",1,"middel",2,"end","")))</f>
        <v>middel</v>
      </c>
      <c r="Y7" s="330">
        <v>73147340.5</v>
      </c>
      <c r="Z7" s="329" cm="1">
        <f t="array" ref="Z7">IF(W7=C$63*3+1,D$39,IF(W7&gt;C$63*3,"", IF(Y7&gt;0,INDEX(F$43:F$62,V7),INDEX(D$43:D$62,V7))))</f>
        <v>895</v>
      </c>
      <c r="AA7" s="329" cm="1">
        <f t="array" ref="AA7">IF(W7=3*C$63+1,E$39-D$17,IF(W7&gt;3*C$63,"", INDEX(E$43:E$62,V7)-D$17))</f>
        <v>450</v>
      </c>
      <c r="AB7" s="339">
        <f t="shared" si="4"/>
        <v>3.0575709714567571E-2</v>
      </c>
      <c r="AC7" s="331" cm="1">
        <f t="array" ref="AC7:AD7">[1]!PureBendingDesign(AB7)*G$8/G$18</f>
        <v>1.3096127422555749E-3</v>
      </c>
      <c r="AD7" s="331">
        <v>0</v>
      </c>
      <c r="AE7" s="472" cm="1">
        <f t="array" ref="AE7">IF(W7=C$63*3+1,D$39,IF(W7&gt;C$63*3,"", INDEX(D$43:D$62,V7)))</f>
        <v>120</v>
      </c>
      <c r="AF7" s="472">
        <f t="shared" si="5"/>
        <v>527.44653194343277</v>
      </c>
      <c r="AG7" s="472">
        <f t="shared" si="6"/>
        <v>0</v>
      </c>
      <c r="AH7" s="329">
        <f t="shared" si="7"/>
        <v>527.44653194343277</v>
      </c>
      <c r="AI7" s="332">
        <f t="shared" si="8"/>
        <v>0</v>
      </c>
      <c r="AK7" s="593" t="s">
        <v>342</v>
      </c>
      <c r="AL7" s="594"/>
      <c r="AM7" s="318">
        <v>12</v>
      </c>
      <c r="AN7" s="302" t="s">
        <v>26</v>
      </c>
      <c r="AO7" s="320">
        <f>AM7*AM7*3.14/4</f>
        <v>113.04</v>
      </c>
      <c r="AP7" s="299"/>
      <c r="AQ7" s="290"/>
      <c r="AS7" s="278" t="s">
        <v>361</v>
      </c>
      <c r="AT7" s="316"/>
      <c r="AU7" s="316"/>
      <c r="AV7" s="316"/>
      <c r="AW7" s="316"/>
      <c r="AX7" s="298"/>
      <c r="AY7" s="318">
        <v>8</v>
      </c>
      <c r="AZ7" s="302" t="s">
        <v>26</v>
      </c>
      <c r="BA7" s="298"/>
      <c r="BB7" s="320">
        <f>AY7*AY7*3.14/4</f>
        <v>50.24</v>
      </c>
      <c r="BC7" s="298"/>
      <c r="BD7" s="298"/>
      <c r="BE7" s="298"/>
      <c r="BF7" s="298"/>
      <c r="BG7" s="298"/>
      <c r="BH7" s="298"/>
      <c r="BI7" s="298"/>
      <c r="BJ7" s="258"/>
      <c r="BL7" s="269">
        <f t="shared" si="0"/>
        <v>3</v>
      </c>
      <c r="BM7" s="269">
        <f t="shared" si="1"/>
        <v>2</v>
      </c>
      <c r="BN7" s="270">
        <f>IFERROR(BN6,0)</f>
        <v>3380</v>
      </c>
      <c r="BO7" s="271">
        <f>IFERROR(Y9,"")</f>
        <v>-67363303.069999993</v>
      </c>
    </row>
    <row r="8" spans="2:67" x14ac:dyDescent="0.3">
      <c r="B8" s="600" t="s">
        <v>80</v>
      </c>
      <c r="C8" s="601"/>
      <c r="D8" s="320">
        <v>0.66666666666666663</v>
      </c>
      <c r="E8" s="299"/>
      <c r="F8" s="413" t="s">
        <v>75</v>
      </c>
      <c r="G8" s="417">
        <f>G5*D5*D6/G7</f>
        <v>13.199999999999998</v>
      </c>
      <c r="H8" s="306"/>
      <c r="I8" s="609"/>
      <c r="J8" s="609"/>
      <c r="K8" s="609"/>
      <c r="L8" s="306"/>
      <c r="M8" s="306"/>
      <c r="N8" s="306"/>
      <c r="O8" s="306"/>
      <c r="P8" s="306"/>
      <c r="Q8" s="299"/>
      <c r="R8" s="299"/>
      <c r="S8" s="299"/>
      <c r="T8" s="258"/>
      <c r="V8" s="328">
        <f t="shared" si="2"/>
        <v>1</v>
      </c>
      <c r="W8" s="329">
        <f t="shared" si="3"/>
        <v>3</v>
      </c>
      <c r="X8" s="329" t="str" cm="1">
        <f t="array" ref="X8">IF(W8&gt; C$63*3+1,"",IF(OR(W8=0, W8=C$63*3+1),"cantiliver",_xlfn.SWITCH(MOD(W8-1,3),0,"start",1,"middel",2,"end","")))</f>
        <v>end</v>
      </c>
      <c r="Y8" s="330">
        <v>-67363303.069999993</v>
      </c>
      <c r="Z8" s="329" cm="1">
        <f t="array" ref="Z8">IF(W8=C$63*3+1,D$39,IF(W8&gt;C$63*3,"", IF(Y8&gt;0,INDEX(F$43:F$62,V8),INDEX(D$43:D$62,V8))))</f>
        <v>120</v>
      </c>
      <c r="AA8" s="329" cm="1">
        <f t="array" ref="AA8">IF(W8=3*C$63+1,E$39-D$17,IF(W8&gt;3*C$63,"", INDEX(E$43:E$62,V8)-D$17))</f>
        <v>450</v>
      </c>
      <c r="AB8" s="339">
        <f t="shared" si="4"/>
        <v>0.21001154467514654</v>
      </c>
      <c r="AC8" s="331" cm="1">
        <f t="array" ref="AC8:AD8">[1]!PureBendingDesign(AB8)*G$8/G$18</f>
        <v>1.0054129274537041E-2</v>
      </c>
      <c r="AD8" s="331">
        <v>0</v>
      </c>
      <c r="AE8" s="472" cm="1">
        <f t="array" ref="AE8">IF(W8=C$63*3+1,D$39,IF(W8&gt;C$63*3,"", INDEX(D$43:D$62,V8)))</f>
        <v>120</v>
      </c>
      <c r="AF8" s="472">
        <f t="shared" si="5"/>
        <v>542.92298082500031</v>
      </c>
      <c r="AG8" s="472">
        <f t="shared" si="6"/>
        <v>0</v>
      </c>
      <c r="AH8" s="329">
        <f t="shared" si="7"/>
        <v>0</v>
      </c>
      <c r="AI8" s="332">
        <f t="shared" si="8"/>
        <v>542.92298082500031</v>
      </c>
      <c r="AK8" s="260"/>
      <c r="AL8" s="298"/>
      <c r="AM8" s="308"/>
      <c r="AN8" s="308"/>
      <c r="AO8" s="298"/>
      <c r="AP8" s="299"/>
      <c r="AQ8" s="290"/>
      <c r="AS8" s="278" t="s">
        <v>362</v>
      </c>
      <c r="AT8" s="316"/>
      <c r="AU8" s="316"/>
      <c r="AV8" s="316"/>
      <c r="AW8" s="316"/>
      <c r="AX8" s="298"/>
      <c r="AY8" s="318">
        <v>10</v>
      </c>
      <c r="AZ8" s="302" t="s">
        <v>26</v>
      </c>
      <c r="BA8" s="298"/>
      <c r="BB8" s="320">
        <f>AY8*AY8*3.14/4</f>
        <v>78.5</v>
      </c>
      <c r="BC8" s="298"/>
      <c r="BD8" s="298"/>
      <c r="BE8" s="298"/>
      <c r="BF8" s="298"/>
      <c r="BG8" s="298"/>
      <c r="BH8" s="298"/>
      <c r="BI8" s="298"/>
      <c r="BJ8" s="258"/>
      <c r="BL8" s="269">
        <f t="shared" si="0"/>
        <v>4</v>
      </c>
      <c r="BM8" s="269">
        <f t="shared" si="1"/>
        <v>2</v>
      </c>
      <c r="BN8" s="270">
        <f>IFERROR((BN9+BN7)/2,0)</f>
        <v>5070</v>
      </c>
      <c r="BO8" s="269" cm="1">
        <f t="array" ref="BO8">IFERROR((INDEX(S$43:S$62,BM8)+INDEX(T$43:T$62,BM8))*INDEX(C$43:C$62,BM8)*INDEX(C$43:C$62,BM8)/8,"")</f>
        <v>73147340.5</v>
      </c>
    </row>
    <row r="9" spans="2:67" x14ac:dyDescent="0.3">
      <c r="B9" s="600" t="s">
        <v>199</v>
      </c>
      <c r="C9" s="601"/>
      <c r="D9" s="320">
        <v>0.7</v>
      </c>
      <c r="E9" s="299"/>
      <c r="F9" s="413" t="s">
        <v>200</v>
      </c>
      <c r="G9" s="417">
        <f>D9*SQRT(G5/G7)</f>
        <v>3.1304951684997055</v>
      </c>
      <c r="H9" s="305"/>
      <c r="I9" s="609"/>
      <c r="J9" s="609"/>
      <c r="K9" s="609"/>
      <c r="L9" s="305"/>
      <c r="M9" s="305"/>
      <c r="N9" s="305"/>
      <c r="O9" s="305"/>
      <c r="P9" s="305"/>
      <c r="Q9" s="299"/>
      <c r="R9" s="299"/>
      <c r="S9" s="299"/>
      <c r="T9" s="258"/>
      <c r="V9" s="328">
        <f t="shared" si="2"/>
        <v>2</v>
      </c>
      <c r="W9" s="329">
        <f t="shared" si="3"/>
        <v>4</v>
      </c>
      <c r="X9" s="329" t="str" cm="1">
        <f t="array" ref="X9">IF(W9&gt; C$63*3+1,"",IF(OR(W9=0, W9=C$63*3+1),"cantiliver",_xlfn.SWITCH(MOD(W9-1,3),0,"start",1,"middel",2,"end","")))</f>
        <v>start</v>
      </c>
      <c r="Y9" s="330">
        <v>-67363303.069999993</v>
      </c>
      <c r="Z9" s="329" cm="1">
        <f t="array" ref="Z9">IF(W9=C$63*3+1,D$39,IF(W9&gt;C$63*3,"", IF(Y9&gt;0,INDEX(F$43:F$62,V9),INDEX(D$43:D$62,V9))))</f>
        <v>120</v>
      </c>
      <c r="AA9" s="329" cm="1">
        <f t="array" ref="AA9">IF(W9=3*C$63+1,E$39-D$17,IF(W9&gt;3*C$63,"", INDEX(E$43:E$62,V9)-D$17))</f>
        <v>450</v>
      </c>
      <c r="AB9" s="339">
        <f t="shared" si="4"/>
        <v>0.21001154467514654</v>
      </c>
      <c r="AC9" s="331" cm="1">
        <f t="array" ref="AC9:AD9">[1]!PureBendingDesign(AB9)*G$8/G$18</f>
        <v>1.0054129274537041E-2</v>
      </c>
      <c r="AD9" s="331">
        <v>0</v>
      </c>
      <c r="AE9" s="472" cm="1">
        <f t="array" ref="AE9">IF(W9=C$63*3+1,D$39,IF(W9&gt;C$63*3,"", INDEX(D$43:D$62,V9)))</f>
        <v>120</v>
      </c>
      <c r="AF9" s="472">
        <f t="shared" si="5"/>
        <v>542.92298082500031</v>
      </c>
      <c r="AG9" s="472">
        <f t="shared" si="6"/>
        <v>0</v>
      </c>
      <c r="AH9" s="329">
        <f t="shared" si="7"/>
        <v>0</v>
      </c>
      <c r="AI9" s="332">
        <f t="shared" si="8"/>
        <v>542.92298082500031</v>
      </c>
      <c r="AK9" s="260"/>
      <c r="AL9" s="298"/>
      <c r="AM9" s="308"/>
      <c r="AN9" s="308"/>
      <c r="AO9" s="298"/>
      <c r="AP9" s="299"/>
      <c r="AQ9" s="290"/>
      <c r="AS9" s="278" t="s">
        <v>369</v>
      </c>
      <c r="AT9" s="316"/>
      <c r="AU9" s="316"/>
      <c r="AV9" s="316"/>
      <c r="AW9" s="316"/>
      <c r="AX9" s="298"/>
      <c r="AY9" s="319">
        <v>100</v>
      </c>
      <c r="AZ9" s="298"/>
      <c r="BA9" s="298"/>
      <c r="BB9" s="298"/>
      <c r="BC9" s="298"/>
      <c r="BD9" s="298"/>
      <c r="BE9" s="298"/>
      <c r="BF9" s="298"/>
      <c r="BG9" s="298"/>
      <c r="BH9" s="298"/>
      <c r="BI9" s="298"/>
      <c r="BJ9" s="258"/>
      <c r="BL9" s="269">
        <f t="shared" si="0"/>
        <v>5</v>
      </c>
      <c r="BM9" s="269">
        <f t="shared" si="1"/>
        <v>2</v>
      </c>
      <c r="BN9" s="270" cm="1">
        <f t="array" ref="BN9">IFERROR(INDEX(C$43:C$62,BM9)+BN6,0)</f>
        <v>6760</v>
      </c>
      <c r="BO9" s="271">
        <f>IFERROR(Y11,"")</f>
        <v>-31291833.989999998</v>
      </c>
    </row>
    <row r="10" spans="2:67" x14ac:dyDescent="0.3">
      <c r="B10" s="600" t="s">
        <v>198</v>
      </c>
      <c r="C10" s="601"/>
      <c r="D10" s="320">
        <v>0.24</v>
      </c>
      <c r="E10" s="299"/>
      <c r="F10" s="413" t="s">
        <v>171</v>
      </c>
      <c r="G10" s="417">
        <f>D10*SQRT(G5/G7)</f>
        <v>1.0733126291998991</v>
      </c>
      <c r="H10" s="306"/>
      <c r="I10" s="609"/>
      <c r="J10" s="609"/>
      <c r="K10" s="609"/>
      <c r="L10" s="306"/>
      <c r="M10" s="306"/>
      <c r="N10" s="306"/>
      <c r="O10" s="306"/>
      <c r="P10" s="306"/>
      <c r="Q10" s="299"/>
      <c r="R10" s="299"/>
      <c r="S10" s="299"/>
      <c r="T10" s="258"/>
      <c r="V10" s="328">
        <f t="shared" si="2"/>
        <v>2</v>
      </c>
      <c r="W10" s="329">
        <f t="shared" si="3"/>
        <v>5</v>
      </c>
      <c r="X10" s="329" t="str" cm="1">
        <f t="array" ref="X10">IF(W10&gt; C$63*3+1,"",IF(OR(W10=0, W10=C$63*3+1),"cantiliver",_xlfn.SWITCH(MOD(W10-1,3),0,"start",1,"middel",2,"end","")))</f>
        <v>middel</v>
      </c>
      <c r="Y10" s="330">
        <v>5784037.4299999997</v>
      </c>
      <c r="Z10" s="329" cm="1">
        <f t="array" ref="Z10">IF(W10=C$63*3+1,D$39,IF(W10&gt;C$63*3,"", IF(Y10&gt;0,INDEX(F$43:F$62,V10),INDEX(D$43:D$62,V10))))</f>
        <v>895</v>
      </c>
      <c r="AA10" s="329" cm="1">
        <f t="array" ref="AA10">IF(W10=3*C$63+1,E$39-D$17,IF(W10&gt;3*C$63,"", INDEX(E$43:E$62,V10)-D$17))</f>
        <v>450</v>
      </c>
      <c r="AB10" s="339">
        <f t="shared" si="4"/>
        <v>2.4177372441568593E-3</v>
      </c>
      <c r="AC10" s="331" cm="1">
        <f t="array" ref="AC10:AD10">[1]!PureBendingDesign(AB10)*G$8/G$18</f>
        <v>1.020714609735516E-4</v>
      </c>
      <c r="AD10" s="331">
        <v>0</v>
      </c>
      <c r="AE10" s="472" cm="1">
        <f t="array" ref="AE10">IF(W10=C$63*3+1,D$39,IF(W10&gt;C$63*3,"", INDEX(D$43:D$62,V10)))</f>
        <v>120</v>
      </c>
      <c r="AF10" s="472">
        <f t="shared" si="5"/>
        <v>165.00000000000003</v>
      </c>
      <c r="AG10" s="472">
        <f t="shared" si="6"/>
        <v>0</v>
      </c>
      <c r="AH10" s="329">
        <f t="shared" si="7"/>
        <v>165.00000000000003</v>
      </c>
      <c r="AI10" s="332">
        <f t="shared" si="8"/>
        <v>0</v>
      </c>
      <c r="AK10" s="261"/>
      <c r="AL10" s="299"/>
      <c r="AM10" s="302"/>
      <c r="AN10" s="302"/>
      <c r="AO10" s="299"/>
      <c r="AP10" s="299"/>
      <c r="AQ10" s="290"/>
      <c r="AS10" s="278" t="s">
        <v>370</v>
      </c>
      <c r="AT10" s="316"/>
      <c r="AU10" s="316"/>
      <c r="AV10" s="316"/>
      <c r="AW10" s="316"/>
      <c r="AX10" s="298"/>
      <c r="AY10" s="319">
        <v>1000</v>
      </c>
      <c r="AZ10" s="298"/>
      <c r="BA10" s="298"/>
      <c r="BB10" s="298"/>
      <c r="BC10" s="298"/>
      <c r="BD10" s="298"/>
      <c r="BE10" s="298"/>
      <c r="BF10" s="298"/>
      <c r="BG10" s="298"/>
      <c r="BH10" s="298"/>
      <c r="BI10" s="298"/>
      <c r="BJ10" s="258"/>
      <c r="BL10" s="269">
        <f t="shared" si="0"/>
        <v>6</v>
      </c>
      <c r="BM10" s="269">
        <f t="shared" si="1"/>
        <v>3</v>
      </c>
      <c r="BN10" s="270">
        <f t="shared" ref="BN10" si="9">IFERROR(BN9,0)</f>
        <v>6760</v>
      </c>
      <c r="BO10" s="271">
        <f t="shared" ref="BO10" si="10">IFERROR(Y12,"")</f>
        <v>-31291833.989999998</v>
      </c>
    </row>
    <row r="11" spans="2:67" x14ac:dyDescent="0.3">
      <c r="B11" s="259"/>
      <c r="C11" s="303"/>
      <c r="D11" s="299"/>
      <c r="E11" s="299"/>
      <c r="F11" s="299"/>
      <c r="G11" s="299"/>
      <c r="H11" s="299"/>
      <c r="I11" s="609"/>
      <c r="J11" s="609"/>
      <c r="K11" s="609"/>
      <c r="L11" s="299"/>
      <c r="M11" s="299"/>
      <c r="N11" s="299"/>
      <c r="O11" s="299"/>
      <c r="P11" s="299"/>
      <c r="Q11" s="299"/>
      <c r="R11" s="299"/>
      <c r="S11" s="299"/>
      <c r="T11" s="258"/>
      <c r="V11" s="328">
        <f t="shared" si="2"/>
        <v>2</v>
      </c>
      <c r="W11" s="329">
        <f t="shared" si="3"/>
        <v>6</v>
      </c>
      <c r="X11" s="329" t="str" cm="1">
        <f t="array" ref="X11">IF(W11&gt; C$63*3+1,"",IF(OR(W11=0, W11=C$63*3+1),"cantiliver",_xlfn.SWITCH(MOD(W11-1,3),0,"start",1,"middel",2,"end","")))</f>
        <v>end</v>
      </c>
      <c r="Y11" s="330">
        <v>-31291833.989999998</v>
      </c>
      <c r="Z11" s="329" cm="1">
        <f t="array" ref="Z11">IF(W11=C$63*3+1,D$39,IF(W11&gt;C$63*3,"", IF(Y11&gt;0,INDEX(F$43:F$62,V11),INDEX(D$43:D$62,V11))))</f>
        <v>120</v>
      </c>
      <c r="AA11" s="329" cm="1">
        <f t="array" ref="AA11">IF(W11=3*C$63+1,E$39-D$17,IF(W11&gt;3*C$63,"", INDEX(E$43:E$62,V11)-D$17))</f>
        <v>450</v>
      </c>
      <c r="AB11" s="339">
        <f t="shared" si="4"/>
        <v>9.7555287411148536E-2</v>
      </c>
      <c r="AC11" s="331" cm="1">
        <f t="array" ref="AC11:AD11">[1]!PureBendingDesign(AB11)*G$8/G$18</f>
        <v>4.336576050788573E-3</v>
      </c>
      <c r="AD11" s="331">
        <v>0</v>
      </c>
      <c r="AE11" s="472" cm="1">
        <f t="array" ref="AE11">IF(W11=C$63*3+1,D$39,IF(W11&gt;C$63*3,"", INDEX(D$43:D$62,V11)))</f>
        <v>120</v>
      </c>
      <c r="AF11" s="472">
        <f t="shared" si="5"/>
        <v>234.17510674258293</v>
      </c>
      <c r="AG11" s="472">
        <f t="shared" si="6"/>
        <v>0</v>
      </c>
      <c r="AH11" s="329">
        <f t="shared" si="7"/>
        <v>0</v>
      </c>
      <c r="AI11" s="332">
        <f t="shared" si="8"/>
        <v>234.17510674258293</v>
      </c>
      <c r="AK11" s="261"/>
      <c r="AL11" s="299"/>
      <c r="AM11" s="302"/>
      <c r="AN11" s="302"/>
      <c r="AO11" s="299"/>
      <c r="AP11" s="299"/>
      <c r="AQ11" s="290"/>
      <c r="AS11" s="260"/>
      <c r="AT11" s="298"/>
      <c r="AU11" s="298"/>
      <c r="AV11" s="298"/>
      <c r="AW11" s="298"/>
      <c r="AX11" s="298"/>
      <c r="AY11" s="298"/>
      <c r="AZ11" s="298"/>
      <c r="BA11" s="298"/>
      <c r="BB11" s="298"/>
      <c r="BC11" s="298"/>
      <c r="BD11" s="298"/>
      <c r="BE11" s="298"/>
      <c r="BF11" s="298"/>
      <c r="BG11" s="298"/>
      <c r="BH11" s="298"/>
      <c r="BI11" s="298"/>
      <c r="BJ11" s="258"/>
      <c r="BL11" s="269">
        <f t="shared" si="0"/>
        <v>7</v>
      </c>
      <c r="BM11" s="269">
        <f t="shared" si="1"/>
        <v>3</v>
      </c>
      <c r="BN11" s="270">
        <f t="shared" ref="BN11" si="11">IFERROR((BN12+BN10)/2,0)</f>
        <v>7360</v>
      </c>
      <c r="BO11" s="269" cm="1">
        <f t="array" ref="BO11">IFERROR((INDEX(S$43:S$62,BM11)+INDEX(T$43:T$62,BM11))*INDEX(C$43:C$62,BM11)*INDEX(C$43:C$62,BM11)/8,"")</f>
        <v>3501299.9999999995</v>
      </c>
    </row>
    <row r="12" spans="2:67" x14ac:dyDescent="0.3">
      <c r="B12" s="259"/>
      <c r="C12" s="303"/>
      <c r="D12" s="302"/>
      <c r="E12" s="299"/>
      <c r="F12" s="299"/>
      <c r="G12" s="299"/>
      <c r="H12" s="299"/>
      <c r="I12" s="609"/>
      <c r="J12" s="609"/>
      <c r="K12" s="609"/>
      <c r="L12" s="299"/>
      <c r="M12" s="299"/>
      <c r="N12" s="299"/>
      <c r="O12" s="299"/>
      <c r="P12" s="299"/>
      <c r="Q12" s="299"/>
      <c r="R12" s="299"/>
      <c r="S12" s="299"/>
      <c r="T12" s="258"/>
      <c r="V12" s="328">
        <f t="shared" si="2"/>
        <v>3</v>
      </c>
      <c r="W12" s="329">
        <f t="shared" si="3"/>
        <v>7</v>
      </c>
      <c r="X12" s="329" t="str" cm="1">
        <f t="array" ref="X12">IF(W12&gt; C$63*3+1,"",IF(OR(W12=0, W12=C$63*3+1),"cantiliver",_xlfn.SWITCH(MOD(W12-1,3),0,"start",1,"middel",2,"end","")))</f>
        <v>start</v>
      </c>
      <c r="Y12" s="330">
        <v>-31291833.989999998</v>
      </c>
      <c r="Z12" s="329" cm="1">
        <f t="array" ref="Z12">IF(W12=C$63*3+1,D$39,IF(W12&gt;C$63*3,"", IF(Y12&gt;0,INDEX(F$43:F$62,V12),INDEX(D$43:D$62,V12))))</f>
        <v>120</v>
      </c>
      <c r="AA12" s="329" cm="1">
        <f t="array" ref="AA12">IF(W12=3*C$63+1,E$39-D$17,IF(W12&gt;3*C$63,"", INDEX(E$43:E$62,V12)-D$17))</f>
        <v>450</v>
      </c>
      <c r="AB12" s="339">
        <f t="shared" si="4"/>
        <v>9.7555287411148536E-2</v>
      </c>
      <c r="AC12" s="331" cm="1">
        <f t="array" ref="AC12:AD12">[1]!PureBendingDesign(AB12)*G$8/G$18</f>
        <v>4.336576050788573E-3</v>
      </c>
      <c r="AD12" s="331">
        <v>0</v>
      </c>
      <c r="AE12" s="472" cm="1">
        <f t="array" ref="AE12">IF(W12=C$63*3+1,D$39,IF(W12&gt;C$63*3,"", INDEX(D$43:D$62,V12)))</f>
        <v>120</v>
      </c>
      <c r="AF12" s="472">
        <f t="shared" si="5"/>
        <v>234.17510674258293</v>
      </c>
      <c r="AG12" s="472">
        <f t="shared" si="6"/>
        <v>0</v>
      </c>
      <c r="AH12" s="329">
        <f t="shared" si="7"/>
        <v>0</v>
      </c>
      <c r="AI12" s="332">
        <f t="shared" si="8"/>
        <v>234.17510674258293</v>
      </c>
      <c r="AK12" s="261"/>
      <c r="AL12" s="299"/>
      <c r="AM12" s="302"/>
      <c r="AN12" s="302"/>
      <c r="AO12" s="299"/>
      <c r="AP12" s="299"/>
      <c r="AQ12" s="290"/>
      <c r="AS12" s="260"/>
      <c r="AT12" s="298" t="s">
        <v>356</v>
      </c>
      <c r="AU12" s="308"/>
      <c r="AV12" s="308"/>
      <c r="AW12" s="298"/>
      <c r="AX12" s="299"/>
      <c r="AY12" s="299"/>
      <c r="AZ12" s="299"/>
      <c r="BA12" s="299"/>
      <c r="BB12" s="298"/>
      <c r="BC12" s="298"/>
      <c r="BD12" s="298"/>
      <c r="BE12" s="298"/>
      <c r="BF12" s="298"/>
      <c r="BG12" s="298"/>
      <c r="BH12" s="298"/>
      <c r="BI12" s="298"/>
      <c r="BJ12" s="258"/>
      <c r="BL12" s="269">
        <f t="shared" si="0"/>
        <v>8</v>
      </c>
      <c r="BM12" s="269">
        <f t="shared" si="1"/>
        <v>3</v>
      </c>
      <c r="BN12" s="270" cm="1">
        <f t="array" ref="BN12">IFERROR(INDEX(C$43:C$62,BM12)+BN9,0)</f>
        <v>7960</v>
      </c>
      <c r="BO12" s="271">
        <f t="shared" ref="BO12:BO13" si="12">IFERROR(Y14,"")</f>
        <v>-53603677.289999999</v>
      </c>
    </row>
    <row r="13" spans="2:67" x14ac:dyDescent="0.3">
      <c r="B13" s="260"/>
      <c r="C13" s="298"/>
      <c r="D13" s="302"/>
      <c r="E13" s="299"/>
      <c r="F13" s="602" t="s">
        <v>69</v>
      </c>
      <c r="G13" s="602"/>
      <c r="H13" s="416"/>
      <c r="I13" s="609"/>
      <c r="J13" s="609"/>
      <c r="K13" s="609"/>
      <c r="L13" s="416"/>
      <c r="M13" s="416"/>
      <c r="N13" s="416"/>
      <c r="O13" s="416"/>
      <c r="P13" s="416"/>
      <c r="Q13" s="299"/>
      <c r="R13" s="299"/>
      <c r="S13" s="299"/>
      <c r="T13" s="258"/>
      <c r="V13" s="328">
        <f t="shared" si="2"/>
        <v>3</v>
      </c>
      <c r="W13" s="329">
        <f t="shared" si="3"/>
        <v>8</v>
      </c>
      <c r="X13" s="329" t="str" cm="1">
        <f t="array" ref="X13">IF(W13&gt; C$63*3+1,"",IF(OR(W13=0, W13=C$63*3+1),"cantiliver",_xlfn.SWITCH(MOD(W13-1,3),0,"start",1,"middel",2,"end","")))</f>
        <v>middel</v>
      </c>
      <c r="Y13" s="330">
        <v>-27790533.989999998</v>
      </c>
      <c r="Z13" s="329" cm="1">
        <f t="array" ref="Z13">IF(W13=C$63*3+1,D$39,IF(W13&gt;C$63*3,"", IF(Y13&gt;0,INDEX(F$43:F$62,V13),INDEX(D$43:D$62,V13))))</f>
        <v>120</v>
      </c>
      <c r="AA13" s="329" cm="1">
        <f t="array" ref="AA13">IF(W13=3*C$63+1,E$39-D$17,IF(W13&gt;3*C$63,"", INDEX(E$43:E$62,V13)-D$17))</f>
        <v>450</v>
      </c>
      <c r="AB13" s="339">
        <f t="shared" si="4"/>
        <v>8.663964955106622E-2</v>
      </c>
      <c r="AC13" s="331" cm="1">
        <f t="array" ref="AC13:AD13">[1]!PureBendingDesign(AB13)*G$8/G$18</f>
        <v>3.8269696065655894E-3</v>
      </c>
      <c r="AD13" s="331">
        <v>0</v>
      </c>
      <c r="AE13" s="472" cm="1">
        <f t="array" ref="AE13">IF(W13=C$63*3+1,D$39,IF(W13&gt;C$63*3,"", INDEX(D$43:D$62,V13)))</f>
        <v>120</v>
      </c>
      <c r="AF13" s="472">
        <f t="shared" si="5"/>
        <v>206.65635875454183</v>
      </c>
      <c r="AG13" s="472">
        <f t="shared" si="6"/>
        <v>0</v>
      </c>
      <c r="AH13" s="329">
        <f t="shared" si="7"/>
        <v>0</v>
      </c>
      <c r="AI13" s="332">
        <f t="shared" si="8"/>
        <v>206.65635875454183</v>
      </c>
      <c r="AK13" s="261"/>
      <c r="AL13" s="299"/>
      <c r="AM13" s="302" t="s">
        <v>353</v>
      </c>
      <c r="AN13" s="302"/>
      <c r="AO13" s="299"/>
      <c r="AP13" s="299"/>
      <c r="AQ13" s="290"/>
      <c r="AS13" s="261"/>
      <c r="AT13" s="299"/>
      <c r="AU13" s="302"/>
      <c r="AV13" s="302"/>
      <c r="AW13" s="594"/>
      <c r="AX13" s="594"/>
      <c r="AY13" s="299"/>
      <c r="AZ13" s="299"/>
      <c r="BA13" s="299"/>
      <c r="BB13" s="298"/>
      <c r="BC13" s="298"/>
      <c r="BD13" s="298"/>
      <c r="BE13" s="298"/>
      <c r="BF13" s="298"/>
      <c r="BG13" s="298"/>
      <c r="BH13" s="298"/>
      <c r="BI13" s="298"/>
      <c r="BJ13" s="258"/>
      <c r="BL13" s="269">
        <f t="shared" si="0"/>
        <v>9</v>
      </c>
      <c r="BM13" s="269">
        <f t="shared" si="1"/>
        <v>4</v>
      </c>
      <c r="BN13" s="270">
        <f t="shared" ref="BN13" si="13">IFERROR(BN12,0)</f>
        <v>7960</v>
      </c>
      <c r="BO13" s="271">
        <f t="shared" si="12"/>
        <v>-53603677.289999999</v>
      </c>
    </row>
    <row r="14" spans="2:67" x14ac:dyDescent="0.3">
      <c r="B14" s="600" t="s">
        <v>186</v>
      </c>
      <c r="C14" s="601"/>
      <c r="D14" s="318">
        <v>1.4</v>
      </c>
      <c r="E14" s="299"/>
      <c r="F14" s="413" t="s">
        <v>11</v>
      </c>
      <c r="G14" s="319">
        <v>360</v>
      </c>
      <c r="H14" s="305"/>
      <c r="I14" s="305"/>
      <c r="J14" s="305"/>
      <c r="K14" s="305"/>
      <c r="L14" s="305"/>
      <c r="M14" s="305"/>
      <c r="N14" s="305"/>
      <c r="O14" s="305"/>
      <c r="P14" s="305"/>
      <c r="Q14" s="299"/>
      <c r="R14" s="299"/>
      <c r="S14" s="299"/>
      <c r="T14" s="258"/>
      <c r="V14" s="328">
        <f t="shared" si="2"/>
        <v>3</v>
      </c>
      <c r="W14" s="329">
        <f t="shared" si="3"/>
        <v>9</v>
      </c>
      <c r="X14" s="329" t="str" cm="1">
        <f t="array" ref="X14">IF(W14&gt; C$63*3+1,"",IF(OR(W14=0, W14=C$63*3+1),"cantiliver",_xlfn.SWITCH(MOD(W14-1,3),0,"start",1,"middel",2,"end","")))</f>
        <v>end</v>
      </c>
      <c r="Y14" s="330">
        <v>-53603677.289999999</v>
      </c>
      <c r="Z14" s="329" cm="1">
        <f t="array" ref="Z14">IF(W14=C$63*3+1,D$39,IF(W14&gt;C$63*3,"", IF(Y14&gt;0,INDEX(F$43:F$62,V14),INDEX(D$43:D$62,V14))))</f>
        <v>120</v>
      </c>
      <c r="AA14" s="329" cm="1">
        <f t="array" ref="AA14">IF(W14=3*C$63+1,E$39-D$17,IF(W14&gt;3*C$63,"", INDEX(E$43:E$62,V14)-D$17))</f>
        <v>450</v>
      </c>
      <c r="AB14" s="339">
        <f t="shared" si="4"/>
        <v>0.1671145943696222</v>
      </c>
      <c r="AC14" s="331" cm="1">
        <f t="array" ref="AC14:AD14">[1]!PureBendingDesign(AB14)*G$8/G$18</f>
        <v>7.7608677940807615E-3</v>
      </c>
      <c r="AD14" s="331">
        <v>0</v>
      </c>
      <c r="AE14" s="472" cm="1">
        <f t="array" ref="AE14">IF(W14=C$63*3+1,D$39,IF(W14&gt;C$63*3,"", INDEX(D$43:D$62,V14)))</f>
        <v>120</v>
      </c>
      <c r="AF14" s="472">
        <f t="shared" si="5"/>
        <v>419.08686088036109</v>
      </c>
      <c r="AG14" s="472">
        <f t="shared" si="6"/>
        <v>0</v>
      </c>
      <c r="AH14" s="329">
        <f t="shared" si="7"/>
        <v>0</v>
      </c>
      <c r="AI14" s="332">
        <f t="shared" si="8"/>
        <v>419.08686088036109</v>
      </c>
      <c r="AK14" s="328" t="s">
        <v>346</v>
      </c>
      <c r="AL14" s="336" t="s">
        <v>194</v>
      </c>
      <c r="AM14" s="336" t="s">
        <v>165</v>
      </c>
      <c r="AN14" s="336" t="s">
        <v>25</v>
      </c>
      <c r="AO14" s="336" t="s">
        <v>350</v>
      </c>
      <c r="AP14" s="336" t="s">
        <v>349</v>
      </c>
      <c r="AQ14" s="337" t="s">
        <v>351</v>
      </c>
      <c r="AS14" s="261"/>
      <c r="AT14" s="299"/>
      <c r="AU14" s="302"/>
      <c r="AV14" s="302"/>
      <c r="AW14" s="299"/>
      <c r="AX14" s="299"/>
      <c r="AY14" s="299"/>
      <c r="AZ14" s="299"/>
      <c r="BA14" s="299"/>
      <c r="BB14" s="298"/>
      <c r="BC14" s="298"/>
      <c r="BD14" s="298"/>
      <c r="BE14" s="298"/>
      <c r="BF14" s="298"/>
      <c r="BG14" s="298"/>
      <c r="BH14" s="298"/>
      <c r="BI14" s="298"/>
      <c r="BJ14" s="258"/>
      <c r="BL14" s="269">
        <f t="shared" si="0"/>
        <v>10</v>
      </c>
      <c r="BM14" s="269">
        <f t="shared" si="1"/>
        <v>4</v>
      </c>
      <c r="BN14" s="270">
        <f t="shared" ref="BN14" si="14">IFERROR((BN15+BN13)/2,0)</f>
        <v>9960</v>
      </c>
      <c r="BO14" s="269" cm="1">
        <f t="array" ref="BO14">IFERROR((INDEX(S$43:S$62,BM14)+INDEX(T$43:T$62,BM14))*INDEX(C$43:C$62,BM14)*INDEX(C$43:C$62,BM14)/8,"")</f>
        <v>107864999.99999997</v>
      </c>
    </row>
    <row r="15" spans="2:67" x14ac:dyDescent="0.3">
      <c r="B15" s="600" t="s">
        <v>187</v>
      </c>
      <c r="C15" s="601"/>
      <c r="D15" s="318">
        <v>1.6</v>
      </c>
      <c r="E15" s="299"/>
      <c r="F15" s="413" t="s">
        <v>1</v>
      </c>
      <c r="G15" s="418">
        <v>200000</v>
      </c>
      <c r="H15" s="307"/>
      <c r="I15" s="307"/>
      <c r="J15" s="307"/>
      <c r="K15" s="307"/>
      <c r="L15" s="307"/>
      <c r="M15" s="307"/>
      <c r="N15" s="307"/>
      <c r="O15" s="307"/>
      <c r="P15" s="307"/>
      <c r="Q15" s="307"/>
      <c r="R15" s="299"/>
      <c r="S15" s="298"/>
      <c r="T15" s="258"/>
      <c r="V15" s="328">
        <f t="shared" si="2"/>
        <v>4</v>
      </c>
      <c r="W15" s="329">
        <f t="shared" si="3"/>
        <v>10</v>
      </c>
      <c r="X15" s="329" t="str" cm="1">
        <f t="array" ref="X15">IF(W15&gt; C$63*3+1,"",IF(OR(W15=0, W15=C$63*3+1),"cantiliver",_xlfn.SWITCH(MOD(W15-1,3),0,"start",1,"middel",2,"end","")))</f>
        <v>start</v>
      </c>
      <c r="Y15" s="330">
        <v>-53603677.289999999</v>
      </c>
      <c r="Z15" s="329" cm="1">
        <f t="array" ref="Z15">IF(W15=C$63*3+1,D$39,IF(W15&gt;C$63*3,"", IF(Y15&gt;0,INDEX(F$43:F$62,V15),INDEX(D$43:D$62,V15))))</f>
        <v>120</v>
      </c>
      <c r="AA15" s="329" cm="1">
        <f t="array" ref="AA15">IF(W15=3*C$63+1,E$39-D$17,IF(W15&gt;3*C$63,"", INDEX(E$43:E$62,V15)-D$17))</f>
        <v>450</v>
      </c>
      <c r="AB15" s="339">
        <f t="shared" si="4"/>
        <v>0.1671145943696222</v>
      </c>
      <c r="AC15" s="331" cm="1">
        <f t="array" ref="AC15:AD15">[1]!PureBendingDesign(AB15)*G$8/G$18</f>
        <v>7.7608677940807615E-3</v>
      </c>
      <c r="AD15" s="331">
        <v>0</v>
      </c>
      <c r="AE15" s="472" cm="1">
        <f t="array" ref="AE15">IF(W15=C$63*3+1,D$39,IF(W15&gt;C$63*3,"", INDEX(D$43:D$62,V15)))</f>
        <v>120</v>
      </c>
      <c r="AF15" s="472">
        <f t="shared" si="5"/>
        <v>419.08686088036109</v>
      </c>
      <c r="AG15" s="472">
        <f t="shared" si="6"/>
        <v>0</v>
      </c>
      <c r="AH15" s="329">
        <f t="shared" si="7"/>
        <v>0</v>
      </c>
      <c r="AI15" s="332">
        <f t="shared" si="8"/>
        <v>419.08686088036109</v>
      </c>
      <c r="AK15" s="328">
        <v>1</v>
      </c>
      <c r="AL15" s="329">
        <f t="shared" ref="AL15:AL33" si="15">IF(AK15&gt; C$63,"",MAX(AM$5*AO$7, INDEX(AH$5:AH$66,AK15*3)))</f>
        <v>527.44653194343277</v>
      </c>
      <c r="AM15" s="336">
        <f>IFERROR(CEILING(AL15/AN15/AN15/3.14*4*0.95,1),"")</f>
        <v>5</v>
      </c>
      <c r="AN15" s="329">
        <f t="shared" ref="AN15:AN33" si="16">IF(AK15&gt; C$63,"",IF(AL15&gt;5*AO$7,AM$6,AM$7))</f>
        <v>12</v>
      </c>
      <c r="AO15" s="336">
        <f>IFERROR(MAX(CEILING(AM15/2,1),2),"")</f>
        <v>3</v>
      </c>
      <c r="AP15" s="336">
        <f t="shared" ref="AP15:AP33" si="17">IFERROR(MAX(AM15-AO15,2),"")</f>
        <v>2</v>
      </c>
      <c r="AQ15" s="337">
        <f>IFERROR((AO15+AP15)*AN15*AN15*3.14/4,"")</f>
        <v>565.20000000000005</v>
      </c>
      <c r="AS15" s="261"/>
      <c r="AT15" s="299"/>
      <c r="AU15" s="302"/>
      <c r="AV15" s="302"/>
      <c r="AW15" s="299"/>
      <c r="AX15" s="299"/>
      <c r="AY15" s="299"/>
      <c r="AZ15" s="299"/>
      <c r="BA15" s="299"/>
      <c r="BB15" s="298"/>
      <c r="BC15" s="298"/>
      <c r="BD15" s="298"/>
      <c r="BE15" s="298"/>
      <c r="BF15" s="298"/>
      <c r="BG15" s="298"/>
      <c r="BH15" s="298"/>
      <c r="BI15" s="298"/>
      <c r="BJ15" s="258"/>
      <c r="BL15" s="269">
        <f t="shared" si="0"/>
        <v>11</v>
      </c>
      <c r="BM15" s="269">
        <f t="shared" si="1"/>
        <v>4</v>
      </c>
      <c r="BN15" s="270" cm="1">
        <f t="array" ref="BN15">IFERROR(INDEX(C$43:C$62,BM15)+BN12,0)</f>
        <v>11960</v>
      </c>
      <c r="BO15" s="271">
        <f t="shared" ref="BO15:BO16" si="18">IFERROR(Y17,"")</f>
        <v>-95568989.739999995</v>
      </c>
    </row>
    <row r="16" spans="2:67" x14ac:dyDescent="0.3">
      <c r="B16" s="278" t="s">
        <v>196</v>
      </c>
      <c r="C16" s="316"/>
      <c r="D16" s="419">
        <f>1.1*G15/G14/200000</f>
        <v>3.0555555555555561E-3</v>
      </c>
      <c r="E16" s="299"/>
      <c r="F16" s="413" t="s">
        <v>70</v>
      </c>
      <c r="G16" s="319">
        <v>1.1499999999999999</v>
      </c>
      <c r="H16" s="305"/>
      <c r="I16" s="305"/>
      <c r="J16" s="305"/>
      <c r="K16" s="305"/>
      <c r="L16" s="305"/>
      <c r="M16" s="305"/>
      <c r="N16" s="305"/>
      <c r="O16" s="305"/>
      <c r="P16" s="305"/>
      <c r="Q16" s="305"/>
      <c r="R16" s="299"/>
      <c r="S16" s="298"/>
      <c r="T16" s="258"/>
      <c r="V16" s="328">
        <f t="shared" si="2"/>
        <v>4</v>
      </c>
      <c r="W16" s="329">
        <f t="shared" si="3"/>
        <v>11</v>
      </c>
      <c r="X16" s="329" t="str" cm="1">
        <f t="array" ref="X16">IF(W16&gt; C$63*3+1,"",IF(OR(W16=0, W16=C$63*3+1),"cantiliver",_xlfn.SWITCH(MOD(W16-1,3),0,"start",1,"middel",2,"end","")))</f>
        <v>middel</v>
      </c>
      <c r="Y16" s="330">
        <v>54261322.710000001</v>
      </c>
      <c r="Z16" s="329" cm="1">
        <f t="array" ref="Z16">IF(W16=C$63*3+1,D$39,IF(W16&gt;C$63*3,"", IF(Y16&gt;0,INDEX(F$43:F$62,V16),INDEX(D$43:D$62,V16))))</f>
        <v>895</v>
      </c>
      <c r="AA16" s="329" cm="1">
        <f t="array" ref="AA16">IF(W16=3*C$63+1,E$39-D$17,IF(W16&gt;3*C$63,"", INDEX(E$43:E$62,V16)-D$17))</f>
        <v>450</v>
      </c>
      <c r="AB16" s="339">
        <f t="shared" si="4"/>
        <v>2.2681322937632066E-2</v>
      </c>
      <c r="AC16" s="331" cm="1">
        <f t="array" ref="AC16:AD16">[1]!PureBendingDesign(AB16)*G$8/G$18</f>
        <v>9.6749515390367482E-4</v>
      </c>
      <c r="AD16" s="331">
        <v>0</v>
      </c>
      <c r="AE16" s="472" cm="1">
        <f t="array" ref="AE16">IF(W16=C$63*3+1,D$39,IF(W16&gt;C$63*3,"", INDEX(D$43:D$62,V16)))</f>
        <v>120</v>
      </c>
      <c r="AF16" s="472">
        <f t="shared" si="5"/>
        <v>389.65867323470508</v>
      </c>
      <c r="AG16" s="472">
        <f t="shared" si="6"/>
        <v>0</v>
      </c>
      <c r="AH16" s="329">
        <f t="shared" si="7"/>
        <v>389.65867323470508</v>
      </c>
      <c r="AI16" s="332">
        <f t="shared" si="8"/>
        <v>0</v>
      </c>
      <c r="AK16" s="328">
        <f t="shared" ref="AK16:AK33" si="19">IF(AK15&lt;C$63,AK15+1,"")</f>
        <v>2</v>
      </c>
      <c r="AL16" s="329">
        <f t="shared" si="15"/>
        <v>226.08</v>
      </c>
      <c r="AM16" s="336">
        <f t="shared" ref="AM16:AM33" si="20">IFERROR(CEILING(AL16/AN16/AN16/3.14*4*0.95,1),"")</f>
        <v>2</v>
      </c>
      <c r="AN16" s="329">
        <f t="shared" si="16"/>
        <v>12</v>
      </c>
      <c r="AO16" s="336">
        <f t="shared" ref="AO16:AO33" si="21">IFERROR(MAX(CEILING(AM16/2,1),2),"")</f>
        <v>2</v>
      </c>
      <c r="AP16" s="336">
        <f t="shared" si="17"/>
        <v>2</v>
      </c>
      <c r="AQ16" s="337">
        <f t="shared" ref="AQ16:AQ33" si="22">IFERROR((AO16+AP16)*AN16*AN16*3.14/4,"")</f>
        <v>452.16</v>
      </c>
      <c r="AS16" s="260"/>
      <c r="AT16" s="298"/>
      <c r="AU16" s="298"/>
      <c r="AV16" s="298"/>
      <c r="AW16" s="298"/>
      <c r="AX16" s="298"/>
      <c r="AY16" s="298"/>
      <c r="AZ16" s="298"/>
      <c r="BA16" s="298"/>
      <c r="BB16" s="298"/>
      <c r="BC16" s="298"/>
      <c r="BD16" s="298"/>
      <c r="BE16" s="298"/>
      <c r="BF16" s="298"/>
      <c r="BG16" s="298"/>
      <c r="BH16" s="298"/>
      <c r="BI16" s="298"/>
      <c r="BJ16" s="258"/>
      <c r="BL16" s="269">
        <f t="shared" si="0"/>
        <v>12</v>
      </c>
      <c r="BM16" s="269">
        <f t="shared" si="1"/>
        <v>5</v>
      </c>
      <c r="BN16" s="270">
        <f t="shared" ref="BN16" si="23">IFERROR(BN15,0)</f>
        <v>11960</v>
      </c>
      <c r="BO16" s="271">
        <f t="shared" si="18"/>
        <v>-95568989.739999995</v>
      </c>
    </row>
    <row r="17" spans="2:67" x14ac:dyDescent="0.3">
      <c r="B17" s="600" t="s">
        <v>72</v>
      </c>
      <c r="C17" s="601"/>
      <c r="D17" s="319">
        <v>50</v>
      </c>
      <c r="E17" s="299"/>
      <c r="F17" s="413" t="s">
        <v>201</v>
      </c>
      <c r="G17" s="319">
        <v>240</v>
      </c>
      <c r="H17" s="305"/>
      <c r="I17" s="305"/>
      <c r="J17" s="305"/>
      <c r="K17" s="305"/>
      <c r="L17" s="305"/>
      <c r="M17" s="305"/>
      <c r="N17" s="305"/>
      <c r="O17" s="305"/>
      <c r="P17" s="305"/>
      <c r="Q17" s="305"/>
      <c r="R17" s="299"/>
      <c r="S17" s="298"/>
      <c r="T17" s="258"/>
      <c r="V17" s="328">
        <f t="shared" si="2"/>
        <v>4</v>
      </c>
      <c r="W17" s="329">
        <f t="shared" si="3"/>
        <v>12</v>
      </c>
      <c r="X17" s="329" t="str" cm="1">
        <f t="array" ref="X17">IF(W17&gt; C$63*3+1,"",IF(OR(W17=0, W17=C$63*3+1),"cantiliver",_xlfn.SWITCH(MOD(W17-1,3),0,"start",1,"middel",2,"end","")))</f>
        <v>end</v>
      </c>
      <c r="Y17" s="330">
        <v>-95568989.739999995</v>
      </c>
      <c r="Z17" s="329" cm="1">
        <f t="array" ref="Z17">IF(W17=C$63*3+1,D$39,IF(W17&gt;C$63*3,"", IF(Y17&gt;0,INDEX(F$43:F$62,V17),INDEX(D$43:D$62,V17))))</f>
        <v>120</v>
      </c>
      <c r="AA17" s="329" cm="1">
        <f t="array" ref="AA17">IF(W17=3*C$63+1,E$39-D$17,IF(W17&gt;3*C$63,"", INDEX(E$43:E$62,V17)-D$17))</f>
        <v>450</v>
      </c>
      <c r="AB17" s="339">
        <f t="shared" si="4"/>
        <v>0.297945472440454</v>
      </c>
      <c r="AC17" s="331" cm="1">
        <f t="array" ref="AC17:AD17">[1]!PureBendingDesign(AB17)*G$8/G$18</f>
        <v>1.5361496119318275E-2</v>
      </c>
      <c r="AD17" s="331">
        <v>0</v>
      </c>
      <c r="AE17" s="472" cm="1">
        <f t="array" ref="AE17">IF(W17=C$63*3+1,D$39,IF(W17&gt;C$63*3,"", INDEX(D$43:D$62,V17)))</f>
        <v>120</v>
      </c>
      <c r="AF17" s="472">
        <f t="shared" si="5"/>
        <v>829.5207904431868</v>
      </c>
      <c r="AG17" s="472">
        <f t="shared" si="6"/>
        <v>0</v>
      </c>
      <c r="AH17" s="329">
        <f t="shared" si="7"/>
        <v>0</v>
      </c>
      <c r="AI17" s="332">
        <f t="shared" si="8"/>
        <v>829.5207904431868</v>
      </c>
      <c r="AK17" s="328">
        <f t="shared" si="19"/>
        <v>3</v>
      </c>
      <c r="AL17" s="329">
        <f t="shared" si="15"/>
        <v>226.08</v>
      </c>
      <c r="AM17" s="336">
        <f t="shared" si="20"/>
        <v>2</v>
      </c>
      <c r="AN17" s="329">
        <f t="shared" si="16"/>
        <v>12</v>
      </c>
      <c r="AO17" s="336">
        <f t="shared" si="21"/>
        <v>2</v>
      </c>
      <c r="AP17" s="336">
        <f t="shared" si="17"/>
        <v>2</v>
      </c>
      <c r="AQ17" s="337">
        <f t="shared" si="22"/>
        <v>452.16</v>
      </c>
      <c r="AS17" s="260"/>
      <c r="AT17" s="298"/>
      <c r="AU17" s="298"/>
      <c r="AV17" s="298"/>
      <c r="AW17" s="298"/>
      <c r="AX17" s="298"/>
      <c r="AY17" s="298"/>
      <c r="AZ17" s="298"/>
      <c r="BA17" s="298"/>
      <c r="BB17" s="298"/>
      <c r="BC17" s="298"/>
      <c r="BD17" s="298"/>
      <c r="BE17" s="298"/>
      <c r="BF17" s="298"/>
      <c r="BG17" s="298"/>
      <c r="BH17" s="298"/>
      <c r="BI17" s="298"/>
      <c r="BJ17" s="258"/>
      <c r="BL17" s="269">
        <f t="shared" si="0"/>
        <v>13</v>
      </c>
      <c r="BM17" s="269">
        <f t="shared" si="1"/>
        <v>5</v>
      </c>
      <c r="BN17" s="270">
        <f t="shared" ref="BN17" si="24">IFERROR((BN18+BN16)/2,0)</f>
        <v>14210</v>
      </c>
      <c r="BO17" s="269" cm="1">
        <f t="array" ref="BO17">IFERROR((INDEX(S$43:S$62,BM17)+INDEX(T$43:T$62,BM17))*INDEX(C$43:C$62,BM17)*INDEX(C$43:C$62,BM17)/8,"")</f>
        <v>140697063.84375003</v>
      </c>
    </row>
    <row r="18" spans="2:67" x14ac:dyDescent="0.3">
      <c r="B18" s="593" t="s">
        <v>397</v>
      </c>
      <c r="C18" s="594"/>
      <c r="D18" s="319">
        <f>25/1000/1000</f>
        <v>2.5000000000000001E-5</v>
      </c>
      <c r="E18" s="299"/>
      <c r="F18" s="413" t="s">
        <v>35</v>
      </c>
      <c r="G18" s="417">
        <f>G14/G16</f>
        <v>313.04347826086956</v>
      </c>
      <c r="H18" s="306"/>
      <c r="I18" s="306"/>
      <c r="J18" s="306"/>
      <c r="K18" s="306"/>
      <c r="L18" s="306"/>
      <c r="M18" s="306"/>
      <c r="N18" s="306"/>
      <c r="O18" s="306"/>
      <c r="P18" s="306"/>
      <c r="Q18" s="306"/>
      <c r="R18" s="299"/>
      <c r="S18" s="298"/>
      <c r="T18" s="258"/>
      <c r="V18" s="328">
        <f t="shared" si="2"/>
        <v>5</v>
      </c>
      <c r="W18" s="329">
        <f t="shared" si="3"/>
        <v>13</v>
      </c>
      <c r="X18" s="329" t="str" cm="1">
        <f t="array" ref="X18">IF(W18&gt; C$63*3+1,"",IF(OR(W18=0, W18=C$63*3+1),"cantiliver",_xlfn.SWITCH(MOD(W18-1,3),0,"start",1,"middel",2,"end","")))</f>
        <v>start</v>
      </c>
      <c r="Y18" s="330">
        <v>-95568989.739999995</v>
      </c>
      <c r="Z18" s="329" cm="1">
        <f t="array" ref="Z18">IF(W18=C$63*3+1,D$39,IF(W18&gt;C$63*3,"", IF(Y18&gt;0,INDEX(F$43:F$62,V18),INDEX(D$43:D$62,V18))))</f>
        <v>120</v>
      </c>
      <c r="AA18" s="329" cm="1">
        <f t="array" ref="AA18">IF(W18=3*C$63+1,E$39-D$17,IF(W18&gt;3*C$63,"", INDEX(E$43:E$62,V18)-D$17))</f>
        <v>450</v>
      </c>
      <c r="AB18" s="339">
        <f t="shared" si="4"/>
        <v>0.297945472440454</v>
      </c>
      <c r="AC18" s="331" cm="1">
        <f t="array" ref="AC18:AD18">[1]!PureBendingDesign(AB18)*G$8/G$18</f>
        <v>1.5361496119318275E-2</v>
      </c>
      <c r="AD18" s="331">
        <v>0</v>
      </c>
      <c r="AE18" s="472" cm="1">
        <f t="array" ref="AE18">IF(W18=C$63*3+1,D$39,IF(W18&gt;C$63*3,"", INDEX(D$43:D$62,V18)))</f>
        <v>120</v>
      </c>
      <c r="AF18" s="472">
        <f t="shared" si="5"/>
        <v>829.5207904431868</v>
      </c>
      <c r="AG18" s="472">
        <f t="shared" si="6"/>
        <v>0</v>
      </c>
      <c r="AH18" s="329">
        <f t="shared" si="7"/>
        <v>0</v>
      </c>
      <c r="AI18" s="332">
        <f t="shared" si="8"/>
        <v>829.5207904431868</v>
      </c>
      <c r="AK18" s="328">
        <f t="shared" si="19"/>
        <v>4</v>
      </c>
      <c r="AL18" s="329">
        <f t="shared" si="15"/>
        <v>389.65867323470508</v>
      </c>
      <c r="AM18" s="336">
        <f t="shared" si="20"/>
        <v>4</v>
      </c>
      <c r="AN18" s="329">
        <f t="shared" si="16"/>
        <v>12</v>
      </c>
      <c r="AO18" s="336">
        <f t="shared" si="21"/>
        <v>2</v>
      </c>
      <c r="AP18" s="336">
        <f t="shared" si="17"/>
        <v>2</v>
      </c>
      <c r="AQ18" s="337">
        <f t="shared" si="22"/>
        <v>452.16</v>
      </c>
      <c r="AS18" s="260"/>
      <c r="AT18" s="298"/>
      <c r="AU18" s="298"/>
      <c r="AV18" s="298"/>
      <c r="AW18" s="298"/>
      <c r="AX18" s="298"/>
      <c r="AY18" s="298"/>
      <c r="AZ18" s="298"/>
      <c r="BA18" s="298"/>
      <c r="BB18" s="298"/>
      <c r="BC18" s="298"/>
      <c r="BD18" s="298"/>
      <c r="BE18" s="298"/>
      <c r="BF18" s="298"/>
      <c r="BG18" s="298"/>
      <c r="BH18" s="298"/>
      <c r="BI18" s="298"/>
      <c r="BJ18" s="258"/>
      <c r="BL18" s="269">
        <f t="shared" si="0"/>
        <v>14</v>
      </c>
      <c r="BM18" s="269">
        <f t="shared" si="1"/>
        <v>5</v>
      </c>
      <c r="BN18" s="270" cm="1">
        <f t="array" ref="BN18">IFERROR(INDEX(C$43:C$62,BM18)+BN15,0)</f>
        <v>16460</v>
      </c>
      <c r="BO18" s="271">
        <f t="shared" ref="BO18:BO19" si="25">IFERROR(Y20,"")</f>
        <v>-84411439.909999996</v>
      </c>
    </row>
    <row r="19" spans="2:67" x14ac:dyDescent="0.3">
      <c r="B19" s="260"/>
      <c r="C19" s="298"/>
      <c r="D19" s="298"/>
      <c r="E19" s="299"/>
      <c r="F19" s="413" t="s">
        <v>178</v>
      </c>
      <c r="G19" s="417">
        <f>G17/G16</f>
        <v>208.69565217391306</v>
      </c>
      <c r="H19" s="306"/>
      <c r="I19" s="306"/>
      <c r="J19" s="306"/>
      <c r="K19" s="306"/>
      <c r="L19" s="306"/>
      <c r="M19" s="306"/>
      <c r="N19" s="306"/>
      <c r="O19" s="306"/>
      <c r="P19" s="306"/>
      <c r="Q19" s="306"/>
      <c r="R19" s="299"/>
      <c r="S19" s="298"/>
      <c r="T19" s="258"/>
      <c r="V19" s="328">
        <f t="shared" si="2"/>
        <v>5</v>
      </c>
      <c r="W19" s="329">
        <f t="shared" si="3"/>
        <v>14</v>
      </c>
      <c r="X19" s="329" t="str" cm="1">
        <f t="array" ref="X19">IF(W19&gt; C$63*3+1,"",IF(OR(W19=0, W19=C$63*3+1),"cantiliver",_xlfn.SWITCH(MOD(W19-1,3),0,"start",1,"middel",2,"end","")))</f>
        <v>middel</v>
      </c>
      <c r="Y19" s="330">
        <v>45128074.100000001</v>
      </c>
      <c r="Z19" s="329" cm="1">
        <f t="array" ref="Z19">IF(W19=C$63*3+1,D$39,IF(W19&gt;C$63*3,"", IF(Y19&gt;0,INDEX(F$43:F$62,V19),INDEX(D$43:D$62,V19))))</f>
        <v>895</v>
      </c>
      <c r="AA19" s="329" cm="1">
        <f t="array" ref="AA19">IF(W19=3*C$63+1,E$39-D$17,IF(W19&gt;3*C$63,"", INDEX(E$43:E$62,V19)-D$17))</f>
        <v>450</v>
      </c>
      <c r="AB19" s="339">
        <f t="shared" si="4"/>
        <v>1.8863609862331158E-2</v>
      </c>
      <c r="AC19" s="331" cm="1">
        <f t="array" ref="AC19:AD19">[1]!PureBendingDesign(AB19)*G$8/G$18</f>
        <v>8.0306269978531737E-4</v>
      </c>
      <c r="AD19" s="331">
        <v>0</v>
      </c>
      <c r="AE19" s="472" cm="1">
        <f t="array" ref="AE19">IF(W19=C$63*3+1,D$39,IF(W19&gt;C$63*3,"", INDEX(D$43:D$62,V19)))</f>
        <v>120</v>
      </c>
      <c r="AF19" s="472">
        <f t="shared" si="5"/>
        <v>323.43350233853658</v>
      </c>
      <c r="AG19" s="472">
        <f t="shared" si="6"/>
        <v>0</v>
      </c>
      <c r="AH19" s="329">
        <f t="shared" si="7"/>
        <v>323.43350233853658</v>
      </c>
      <c r="AI19" s="332">
        <f t="shared" si="8"/>
        <v>0</v>
      </c>
      <c r="AK19" s="328">
        <f t="shared" si="19"/>
        <v>5</v>
      </c>
      <c r="AL19" s="329">
        <f t="shared" si="15"/>
        <v>323.43350233853658</v>
      </c>
      <c r="AM19" s="336">
        <f t="shared" si="20"/>
        <v>3</v>
      </c>
      <c r="AN19" s="329">
        <f t="shared" si="16"/>
        <v>12</v>
      </c>
      <c r="AO19" s="336">
        <f t="shared" si="21"/>
        <v>2</v>
      </c>
      <c r="AP19" s="336">
        <f t="shared" si="17"/>
        <v>2</v>
      </c>
      <c r="AQ19" s="337">
        <f t="shared" si="22"/>
        <v>452.16</v>
      </c>
      <c r="AS19" s="260"/>
      <c r="AT19" s="298"/>
      <c r="AU19" s="298"/>
      <c r="AV19" s="298"/>
      <c r="AW19" s="298"/>
      <c r="AX19" s="298"/>
      <c r="AY19" s="298"/>
      <c r="AZ19" s="298"/>
      <c r="BA19" s="298"/>
      <c r="BB19" s="298"/>
      <c r="BC19" s="298"/>
      <c r="BD19" s="298"/>
      <c r="BE19" s="298"/>
      <c r="BF19" s="298"/>
      <c r="BG19" s="298"/>
      <c r="BH19" s="298"/>
      <c r="BI19" s="298"/>
      <c r="BJ19" s="258"/>
      <c r="BL19" s="269">
        <f t="shared" si="0"/>
        <v>15</v>
      </c>
      <c r="BM19" s="269">
        <f t="shared" si="1"/>
        <v>6</v>
      </c>
      <c r="BN19" s="270">
        <f t="shared" ref="BN19" si="26">IFERROR(BN18,0)</f>
        <v>16460</v>
      </c>
      <c r="BO19" s="271">
        <f t="shared" si="25"/>
        <v>-84411439.909999996</v>
      </c>
    </row>
    <row r="20" spans="2:67" x14ac:dyDescent="0.3">
      <c r="B20" s="261"/>
      <c r="C20" s="299"/>
      <c r="D20" s="302"/>
      <c r="E20" s="299"/>
      <c r="F20" s="299"/>
      <c r="G20" s="299"/>
      <c r="H20" s="299"/>
      <c r="I20" s="299"/>
      <c r="J20" s="299"/>
      <c r="K20" s="299"/>
      <c r="L20" s="299"/>
      <c r="M20" s="299"/>
      <c r="N20" s="299"/>
      <c r="O20" s="299"/>
      <c r="P20" s="299"/>
      <c r="Q20" s="299"/>
      <c r="R20" s="299"/>
      <c r="S20" s="298"/>
      <c r="T20" s="258"/>
      <c r="V20" s="328">
        <f t="shared" si="2"/>
        <v>5</v>
      </c>
      <c r="W20" s="329">
        <f t="shared" si="3"/>
        <v>15</v>
      </c>
      <c r="X20" s="329" t="str" cm="1">
        <f t="array" ref="X20">IF(W20&gt; C$63*3+1,"",IF(OR(W20=0, W20=C$63*3+1),"cantiliver",_xlfn.SWITCH(MOD(W20-1,3),0,"start",1,"middel",2,"end","")))</f>
        <v>end</v>
      </c>
      <c r="Y20" s="330">
        <v>-84411439.909999996</v>
      </c>
      <c r="Z20" s="329" cm="1">
        <f t="array" ref="Z20">IF(W20=C$63*3+1,D$39,IF(W20&gt;C$63*3,"", IF(Y20&gt;0,INDEX(F$43:F$62,V20),INDEX(D$43:D$62,V20))))</f>
        <v>120</v>
      </c>
      <c r="AA20" s="329" cm="1">
        <f t="array" ref="AA20">IF(W20=3*C$63+1,E$39-D$17,IF(W20&gt;3*C$63,"", INDEX(E$43:E$62,V20)-D$17))</f>
        <v>450</v>
      </c>
      <c r="AB20" s="339">
        <f t="shared" si="4"/>
        <v>0.26316074295423375</v>
      </c>
      <c r="AC20" s="331" cm="1">
        <f t="array" ref="AC20:AD20">[1]!PureBendingDesign(AB20)*G$8/G$18</f>
        <v>1.3145750742310223E-2</v>
      </c>
      <c r="AD20" s="331">
        <v>0</v>
      </c>
      <c r="AE20" s="472" cm="1">
        <f t="array" ref="AE20">IF(W20=C$63*3+1,D$39,IF(W20&gt;C$63*3,"", INDEX(D$43:D$62,V20)))</f>
        <v>120</v>
      </c>
      <c r="AF20" s="472">
        <f t="shared" si="5"/>
        <v>709.87054008475207</v>
      </c>
      <c r="AG20" s="472">
        <f t="shared" si="6"/>
        <v>0</v>
      </c>
      <c r="AH20" s="329">
        <f t="shared" si="7"/>
        <v>0</v>
      </c>
      <c r="AI20" s="332">
        <f t="shared" si="8"/>
        <v>709.87054008475207</v>
      </c>
      <c r="AK20" s="328">
        <f t="shared" si="19"/>
        <v>6</v>
      </c>
      <c r="AL20" s="329">
        <f t="shared" si="15"/>
        <v>226.08</v>
      </c>
      <c r="AM20" s="336">
        <f t="shared" si="20"/>
        <v>2</v>
      </c>
      <c r="AN20" s="329">
        <f t="shared" si="16"/>
        <v>12</v>
      </c>
      <c r="AO20" s="336">
        <f t="shared" si="21"/>
        <v>2</v>
      </c>
      <c r="AP20" s="336">
        <f t="shared" si="17"/>
        <v>2</v>
      </c>
      <c r="AQ20" s="337">
        <f t="shared" si="22"/>
        <v>452.16</v>
      </c>
      <c r="AS20" s="260"/>
      <c r="AT20" s="298"/>
      <c r="AU20" s="298"/>
      <c r="AV20" s="298"/>
      <c r="AW20" s="298"/>
      <c r="AX20" s="298"/>
      <c r="AY20" s="298"/>
      <c r="AZ20" s="298"/>
      <c r="BA20" s="298"/>
      <c r="BB20" s="298"/>
      <c r="BC20" s="298"/>
      <c r="BD20" s="298"/>
      <c r="BE20" s="298"/>
      <c r="BF20" s="298"/>
      <c r="BG20" s="298"/>
      <c r="BH20" s="298"/>
      <c r="BI20" s="298"/>
      <c r="BJ20" s="258"/>
      <c r="BL20" s="269">
        <f t="shared" si="0"/>
        <v>16</v>
      </c>
      <c r="BM20" s="269">
        <f t="shared" si="1"/>
        <v>6</v>
      </c>
      <c r="BN20" s="270">
        <f t="shared" ref="BN20" si="27">IFERROR((BN21+BN19)/2,0)</f>
        <v>18150</v>
      </c>
      <c r="BO20" s="269" cm="1">
        <f t="array" ref="BO20">IFERROR((INDEX(S$43:S$62,BM20)+INDEX(T$43:T$62,BM20))*INDEX(C$43:C$62,BM20)*INDEX(C$43:C$62,BM20)/8,"")</f>
        <v>73167436.290000007</v>
      </c>
    </row>
    <row r="21" spans="2:67" x14ac:dyDescent="0.3">
      <c r="B21" s="260"/>
      <c r="C21" s="298"/>
      <c r="D21" s="298"/>
      <c r="E21" s="298"/>
      <c r="F21" s="298"/>
      <c r="G21" s="299"/>
      <c r="H21" s="299"/>
      <c r="I21" s="299"/>
      <c r="J21" s="299"/>
      <c r="K21" s="299"/>
      <c r="L21" s="299"/>
      <c r="M21" s="299"/>
      <c r="N21" s="299"/>
      <c r="O21" s="299"/>
      <c r="P21" s="299"/>
      <c r="Q21" s="299"/>
      <c r="R21" s="299"/>
      <c r="S21" s="299"/>
      <c r="T21" s="290"/>
      <c r="V21" s="328">
        <f t="shared" si="2"/>
        <v>6</v>
      </c>
      <c r="W21" s="329">
        <f t="shared" si="3"/>
        <v>16</v>
      </c>
      <c r="X21" s="329" t="str" cm="1">
        <f t="array" ref="X21">IF(W21&gt; C$63*3+1,"",IF(OR(W21=0, W21=C$63*3+1),"cantiliver",_xlfn.SWITCH(MOD(W21-1,3),0,"start",1,"middel",2,"end","")))</f>
        <v>start</v>
      </c>
      <c r="Y21" s="330">
        <v>-84411439.909999996</v>
      </c>
      <c r="Z21" s="329" cm="1">
        <f t="array" ref="Z21">IF(W21=C$63*3+1,D$39,IF(W21&gt;C$63*3,"", IF(Y21&gt;0,INDEX(F$43:F$62,V21),INDEX(D$43:D$62,V21))))</f>
        <v>120</v>
      </c>
      <c r="AA21" s="329" cm="1">
        <f t="array" ref="AA21">IF(W21=3*C$63+1,E$39-D$17,IF(W21&gt;3*C$63,"", INDEX(E$43:E$62,V21)-D$17))</f>
        <v>450</v>
      </c>
      <c r="AB21" s="339">
        <f t="shared" si="4"/>
        <v>0.26316074295423375</v>
      </c>
      <c r="AC21" s="331" cm="1">
        <f t="array" ref="AC21:AD21">[1]!PureBendingDesign(AB21)*G$8/G$18</f>
        <v>1.3145750742310223E-2</v>
      </c>
      <c r="AD21" s="331">
        <v>0</v>
      </c>
      <c r="AE21" s="472" cm="1">
        <f t="array" ref="AE21">IF(W21=C$63*3+1,D$39,IF(W21&gt;C$63*3,"", INDEX(D$43:D$62,V21)))</f>
        <v>120</v>
      </c>
      <c r="AF21" s="472">
        <f t="shared" si="5"/>
        <v>709.87054008475207</v>
      </c>
      <c r="AG21" s="472">
        <f t="shared" si="6"/>
        <v>0</v>
      </c>
      <c r="AH21" s="329">
        <f t="shared" si="7"/>
        <v>0</v>
      </c>
      <c r="AI21" s="332">
        <f t="shared" si="8"/>
        <v>709.87054008475207</v>
      </c>
      <c r="AK21" s="328">
        <f t="shared" si="19"/>
        <v>7</v>
      </c>
      <c r="AL21" s="329">
        <f t="shared" si="15"/>
        <v>226.08</v>
      </c>
      <c r="AM21" s="336">
        <f t="shared" si="20"/>
        <v>2</v>
      </c>
      <c r="AN21" s="329">
        <f t="shared" si="16"/>
        <v>12</v>
      </c>
      <c r="AO21" s="336">
        <f t="shared" si="21"/>
        <v>2</v>
      </c>
      <c r="AP21" s="336">
        <f t="shared" si="17"/>
        <v>2</v>
      </c>
      <c r="AQ21" s="337">
        <f t="shared" si="22"/>
        <v>452.16</v>
      </c>
      <c r="AS21" s="261" t="s">
        <v>346</v>
      </c>
      <c r="AT21" s="299" t="s">
        <v>355</v>
      </c>
      <c r="AU21" s="299" t="s">
        <v>357</v>
      </c>
      <c r="AV21" s="299" t="s">
        <v>358</v>
      </c>
      <c r="AW21" s="299" t="s">
        <v>363</v>
      </c>
      <c r="AX21" s="299" t="s">
        <v>359</v>
      </c>
      <c r="AY21" s="299" t="s">
        <v>360</v>
      </c>
      <c r="AZ21" s="299" t="s">
        <v>174</v>
      </c>
      <c r="BA21" s="299" t="s">
        <v>364</v>
      </c>
      <c r="BB21" s="299" t="s">
        <v>202</v>
      </c>
      <c r="BC21" s="299" t="s">
        <v>365</v>
      </c>
      <c r="BD21" s="299" t="s">
        <v>25</v>
      </c>
      <c r="BE21" s="299" t="s">
        <v>20</v>
      </c>
      <c r="BF21" s="299" t="s">
        <v>26</v>
      </c>
      <c r="BG21" s="298" t="s">
        <v>20</v>
      </c>
      <c r="BH21" s="299" t="s">
        <v>25</v>
      </c>
      <c r="BI21" s="299" t="s">
        <v>368</v>
      </c>
      <c r="BJ21" s="290" t="s">
        <v>371</v>
      </c>
      <c r="BL21" s="269">
        <f t="shared" si="0"/>
        <v>17</v>
      </c>
      <c r="BM21" s="269">
        <f t="shared" si="1"/>
        <v>6</v>
      </c>
      <c r="BN21" s="270" cm="1">
        <f t="array" ref="BN21">IFERROR(INDEX(C$43:C$62,BM21)+BN18,0)</f>
        <v>19840</v>
      </c>
      <c r="BO21" s="271">
        <f t="shared" ref="BO21:BO22" si="28">IFERROR(Y23,"")</f>
        <v>-28918582.960000001</v>
      </c>
    </row>
    <row r="22" spans="2:67" x14ac:dyDescent="0.3">
      <c r="B22" s="260"/>
      <c r="C22" s="298"/>
      <c r="D22" s="298"/>
      <c r="E22" s="298"/>
      <c r="F22" s="298"/>
      <c r="G22" s="299"/>
      <c r="H22" s="299"/>
      <c r="I22" s="299"/>
      <c r="J22" s="299"/>
      <c r="K22" s="299"/>
      <c r="L22" s="299"/>
      <c r="M22" s="299"/>
      <c r="N22" s="299"/>
      <c r="O22" s="299"/>
      <c r="P22" s="299"/>
      <c r="Q22" s="299"/>
      <c r="R22" s="317"/>
      <c r="S22" s="299"/>
      <c r="T22" s="290"/>
      <c r="V22" s="328">
        <f t="shared" si="2"/>
        <v>6</v>
      </c>
      <c r="W22" s="329">
        <f t="shared" si="3"/>
        <v>17</v>
      </c>
      <c r="X22" s="329" t="str" cm="1">
        <f t="array" ref="X22">IF(W22&gt; C$63*3+1,"",IF(OR(W22=0, W22=C$63*3+1),"cantiliver",_xlfn.SWITCH(MOD(W22-1,3),0,"start",1,"middel",2,"end","")))</f>
        <v>middel</v>
      </c>
      <c r="Y22" s="330">
        <v>-11244003.619999999</v>
      </c>
      <c r="Z22" s="329" cm="1">
        <f t="array" ref="Z22">IF(W22=C$63*3+1,D$39,IF(W22&gt;C$63*3,"", IF(Y22&gt;0,INDEX(F$43:F$62,V22),INDEX(D$43:D$62,V22))))</f>
        <v>120</v>
      </c>
      <c r="AA22" s="329" cm="1">
        <f t="array" ref="AA22">IF(W22=3*C$63+1,E$39-D$17,IF(W22&gt;3*C$63,"", INDEX(E$43:E$62,V22)-D$17))</f>
        <v>450</v>
      </c>
      <c r="AB22" s="339">
        <f t="shared" si="4"/>
        <v>3.5054257451053748E-2</v>
      </c>
      <c r="AC22" s="331" cm="1">
        <f t="array" ref="AC22:AD22">[1]!PureBendingDesign(AB22)*G$8/G$18</f>
        <v>1.5049784230252896E-3</v>
      </c>
      <c r="AD22" s="331">
        <v>0</v>
      </c>
      <c r="AE22" s="472" cm="1">
        <f t="array" ref="AE22">IF(W22=C$63*3+1,D$39,IF(W22&gt;C$63*3,"", INDEX(D$43:D$62,V22)))</f>
        <v>120</v>
      </c>
      <c r="AF22" s="472">
        <f t="shared" si="5"/>
        <v>165.00000000000003</v>
      </c>
      <c r="AG22" s="472">
        <f t="shared" si="6"/>
        <v>0</v>
      </c>
      <c r="AH22" s="329">
        <f t="shared" si="7"/>
        <v>0</v>
      </c>
      <c r="AI22" s="332">
        <f t="shared" si="8"/>
        <v>165.00000000000003</v>
      </c>
      <c r="AK22" s="328">
        <f t="shared" si="19"/>
        <v>8</v>
      </c>
      <c r="AL22" s="329">
        <f t="shared" si="15"/>
        <v>263.09874920446708</v>
      </c>
      <c r="AM22" s="336">
        <f t="shared" si="20"/>
        <v>3</v>
      </c>
      <c r="AN22" s="329">
        <f t="shared" si="16"/>
        <v>12</v>
      </c>
      <c r="AO22" s="336">
        <f t="shared" si="21"/>
        <v>2</v>
      </c>
      <c r="AP22" s="336">
        <f t="shared" si="17"/>
        <v>2</v>
      </c>
      <c r="AQ22" s="337">
        <f t="shared" si="22"/>
        <v>452.16</v>
      </c>
      <c r="AS22" s="328">
        <v>1</v>
      </c>
      <c r="AT22" s="329">
        <f t="shared" ref="AT22:AT34" si="29">S43+T43</f>
        <v>51.221834319526629</v>
      </c>
      <c r="AU22" s="330" cm="1">
        <f t="array" ref="AU22">AT22*C44/2-(INDEX(_xlfn.ANCHORARRAY(Y$5),AS22*3-2)-INDEX(_xlfn.ANCHORARRAY(Y$5),AS22*3))/C43</f>
        <v>108206.125</v>
      </c>
      <c r="AV22" s="330">
        <f t="shared" ref="AV22:AV34" si="30">AT22*C44-AU22</f>
        <v>64923.675000000017</v>
      </c>
      <c r="AW22" s="330" cm="1">
        <f t="array" ref="AW22">IFERROR(MAX(ABS(AU22:AV22))*(C43-2*E43+2*D$17)/C43,"")</f>
        <v>79393.843195266265</v>
      </c>
      <c r="AX22" s="336">
        <f t="shared" ref="AX22:AX34" si="31">(D43*(E43-D$17))</f>
        <v>54000</v>
      </c>
      <c r="AY22" s="329">
        <f t="shared" ref="AY22:AY34" si="32">IFERROR(AW22/AX22,"")</f>
        <v>1.4702563554678938</v>
      </c>
      <c r="AZ22" s="329">
        <f t="shared" ref="AZ22:AZ34" si="33">IFERROR(MAX(AY22-G$10,0),"")</f>
        <v>0.39694372626799468</v>
      </c>
      <c r="BA22" s="336">
        <f t="shared" ref="BA22:BA34" si="34">AZ22*AX22</f>
        <v>21434.961218471712</v>
      </c>
      <c r="BB22" s="336">
        <f t="shared" ref="BB22:BB34" si="35">IF(FLOOR((D43-AY$9*2)/AY$9,1)+2=0,"",FLOOR((D43-AY$9*2)/AY$9,1)+2)</f>
        <v>1</v>
      </c>
      <c r="BC22" s="336">
        <f t="shared" ref="BC22:BC34" si="36">IFERROR(BA22/BB22/G$19/(E43-D$17),"")</f>
        <v>0.22824264260409691</v>
      </c>
      <c r="BD22" s="329">
        <f t="shared" ref="BD22:BD34" si="37">IF(AS22 ="","",AY$7)</f>
        <v>8</v>
      </c>
      <c r="BE22" s="336">
        <f t="shared" ref="BE22:BE34" si="38">IFERROR(IF(AZ22=0,AY$5,MAX(AY$6,MIN(AY$5,BB$7/BC22))),"")</f>
        <v>200</v>
      </c>
      <c r="BF22" s="336">
        <f t="shared" ref="BF22:BF34" si="39">IFERROR(BC22*BE22,"")</f>
        <v>45.648528520819383</v>
      </c>
      <c r="BG22" s="338">
        <f t="shared" ref="BG22:BG34" si="40">IF(AS22="","",IFERROR(MIN(AY$5, BH22*BH22*3.14/4/BC22),AY$5))</f>
        <v>200</v>
      </c>
      <c r="BH22" s="336">
        <f t="shared" ref="BH22:BH34" si="41">IF(AS22="","",IF(BF22&gt;BB$7,AY$8,AY$7))</f>
        <v>8</v>
      </c>
      <c r="BI22" s="336">
        <f t="shared" ref="BI22:BI34" si="42">IFERROR(CEILING(AY$10/BG22,1),"")</f>
        <v>5</v>
      </c>
      <c r="BJ22" s="337" t="str">
        <f t="shared" ref="BJ22:BJ34" si="43">IF(AND(NOT(AS22=""), AY22&gt;G$9),"UNSAFE","")</f>
        <v/>
      </c>
      <c r="BL22" s="269">
        <f t="shared" ref="BL22:BL66" si="44">IF(BL21&lt;3*C$63-1,BL21+1,"")</f>
        <v>18</v>
      </c>
      <c r="BM22" s="269">
        <f t="shared" si="1"/>
        <v>7</v>
      </c>
      <c r="BN22" s="270">
        <f t="shared" ref="BN22" si="45">IFERROR(BN21,0)</f>
        <v>19840</v>
      </c>
      <c r="BO22" s="271">
        <f t="shared" si="28"/>
        <v>-28918582.960000001</v>
      </c>
    </row>
    <row r="23" spans="2:67" x14ac:dyDescent="0.3">
      <c r="B23" s="260"/>
      <c r="C23" s="298"/>
      <c r="D23" s="298"/>
      <c r="E23" s="298"/>
      <c r="F23" s="298"/>
      <c r="G23" s="299"/>
      <c r="H23" s="299"/>
      <c r="I23" s="299"/>
      <c r="J23" s="299"/>
      <c r="K23" s="299"/>
      <c r="L23" s="299"/>
      <c r="M23" s="299"/>
      <c r="N23" s="299"/>
      <c r="O23" s="299"/>
      <c r="P23" s="299"/>
      <c r="Q23" s="299"/>
      <c r="R23" s="299"/>
      <c r="S23" s="299"/>
      <c r="T23" s="290"/>
      <c r="V23" s="328">
        <f t="shared" si="2"/>
        <v>6</v>
      </c>
      <c r="W23" s="329">
        <f t="shared" si="3"/>
        <v>18</v>
      </c>
      <c r="X23" s="329" t="str" cm="1">
        <f t="array" ref="X23">IF(W23&gt; C$63*3+1,"",IF(OR(W23=0, W23=C$63*3+1),"cantiliver",_xlfn.SWITCH(MOD(W23-1,3),0,"start",1,"middel",2,"end","")))</f>
        <v>end</v>
      </c>
      <c r="Y23" s="330">
        <v>-28918582.960000001</v>
      </c>
      <c r="Z23" s="329" cm="1">
        <f t="array" ref="Z23">IF(W23=C$63*3+1,D$39,IF(W23&gt;C$63*3,"", IF(Y23&gt;0,INDEX(F$43:F$62,V23),INDEX(D$43:D$62,V23))))</f>
        <v>120</v>
      </c>
      <c r="AA23" s="329" cm="1">
        <f t="array" ref="AA23">IF(W23=3*C$63+1,E$39-D$17,IF(W23&gt;3*C$63,"", INDEX(E$43:E$62,V23)-D$17))</f>
        <v>450</v>
      </c>
      <c r="AB23" s="339">
        <f t="shared" si="4"/>
        <v>9.015645018082058E-2</v>
      </c>
      <c r="AC23" s="331" cm="1">
        <f t="array" ref="AC23:AD23">[1]!PureBendingDesign(AB23)*G$8/G$18</f>
        <v>3.990411844551069E-3</v>
      </c>
      <c r="AD23" s="331">
        <v>0</v>
      </c>
      <c r="AE23" s="472" cm="1">
        <f t="array" ref="AE23">IF(W23=C$63*3+1,D$39,IF(W23&gt;C$63*3,"", INDEX(D$43:D$62,V23)))</f>
        <v>120</v>
      </c>
      <c r="AF23" s="472">
        <f t="shared" si="5"/>
        <v>215.48223960575774</v>
      </c>
      <c r="AG23" s="472">
        <f t="shared" si="6"/>
        <v>0</v>
      </c>
      <c r="AH23" s="329">
        <f t="shared" si="7"/>
        <v>0</v>
      </c>
      <c r="AI23" s="332">
        <f t="shared" si="8"/>
        <v>215.48223960575774</v>
      </c>
      <c r="AK23" s="328">
        <f t="shared" si="19"/>
        <v>9</v>
      </c>
      <c r="AL23" s="329">
        <f t="shared" si="15"/>
        <v>226.08</v>
      </c>
      <c r="AM23" s="336">
        <f t="shared" si="20"/>
        <v>2</v>
      </c>
      <c r="AN23" s="329">
        <f t="shared" si="16"/>
        <v>12</v>
      </c>
      <c r="AO23" s="336">
        <f t="shared" si="21"/>
        <v>2</v>
      </c>
      <c r="AP23" s="336">
        <f t="shared" si="17"/>
        <v>2</v>
      </c>
      <c r="AQ23" s="337">
        <f t="shared" si="22"/>
        <v>452.16</v>
      </c>
      <c r="AS23" s="328">
        <f t="shared" ref="AS23:AS41" si="46">IF(AS22&lt;$C$63,AS22+1,"")</f>
        <v>2</v>
      </c>
      <c r="AT23" s="329">
        <f t="shared" si="29"/>
        <v>51.221834319526629</v>
      </c>
      <c r="AU23" s="330" cm="1">
        <f t="array" ref="AU23">AT23*C45/2-(INDEX(_xlfn.ANCHORARRAY(Y$5),AS23*3-2)-INDEX(_xlfn.ANCHORARRAY(Y$5),AS23*3))/C44</f>
        <v>52374.325591715977</v>
      </c>
      <c r="AV23" s="330">
        <f t="shared" si="30"/>
        <v>9091.8755917159797</v>
      </c>
      <c r="AW23" s="330" cm="1">
        <f t="array" ref="AW23">IFERROR(MAX(ABS(AU23:AV23))*(C44-2*E44+2*D$17)/C44,"")</f>
        <v>38428.49925072652</v>
      </c>
      <c r="AX23" s="336">
        <f t="shared" si="31"/>
        <v>54000</v>
      </c>
      <c r="AY23" s="329">
        <f t="shared" si="32"/>
        <v>0.71163887501345402</v>
      </c>
      <c r="AZ23" s="329">
        <f t="shared" si="33"/>
        <v>0</v>
      </c>
      <c r="BA23" s="336">
        <f t="shared" si="34"/>
        <v>0</v>
      </c>
      <c r="BB23" s="336">
        <f t="shared" si="35"/>
        <v>1</v>
      </c>
      <c r="BC23" s="336">
        <f t="shared" si="36"/>
        <v>0</v>
      </c>
      <c r="BD23" s="329">
        <f t="shared" si="37"/>
        <v>8</v>
      </c>
      <c r="BE23" s="336">
        <f t="shared" si="38"/>
        <v>200</v>
      </c>
      <c r="BF23" s="336">
        <f t="shared" si="39"/>
        <v>0</v>
      </c>
      <c r="BG23" s="338">
        <f t="shared" si="40"/>
        <v>200</v>
      </c>
      <c r="BH23" s="336">
        <f t="shared" si="41"/>
        <v>8</v>
      </c>
      <c r="BI23" s="336">
        <f t="shared" si="42"/>
        <v>5</v>
      </c>
      <c r="BJ23" s="337" t="str">
        <f t="shared" si="43"/>
        <v/>
      </c>
      <c r="BL23" s="269">
        <f t="shared" si="44"/>
        <v>19</v>
      </c>
      <c r="BM23" s="269">
        <f t="shared" si="1"/>
        <v>7</v>
      </c>
      <c r="BN23" s="270">
        <f t="shared" ref="BN23" si="47">IFERROR((BN24+BN22)/2,0)</f>
        <v>20840</v>
      </c>
      <c r="BO23" s="269" cm="1">
        <f t="array" ref="BO23">IFERROR((INDEX(S$43:S$62,BM23)+INDEX(T$43:T$62,BM23))*INDEX(C$43:C$62,BM23)*INDEX(C$43:C$62,BM23)/8,"")</f>
        <v>19577474.125</v>
      </c>
    </row>
    <row r="24" spans="2:67" x14ac:dyDescent="0.3">
      <c r="B24" s="260"/>
      <c r="C24" s="298"/>
      <c r="D24" s="298"/>
      <c r="E24" s="298"/>
      <c r="F24" s="298"/>
      <c r="G24" s="298"/>
      <c r="H24" s="298"/>
      <c r="I24" s="298"/>
      <c r="J24" s="298"/>
      <c r="K24" s="298"/>
      <c r="L24" s="298"/>
      <c r="M24" s="298"/>
      <c r="N24" s="298"/>
      <c r="O24" s="298"/>
      <c r="P24" s="298"/>
      <c r="Q24" s="298"/>
      <c r="R24" s="298"/>
      <c r="S24" s="298"/>
      <c r="T24" s="290"/>
      <c r="V24" s="328">
        <f t="shared" si="2"/>
        <v>7</v>
      </c>
      <c r="W24" s="329">
        <f t="shared" si="3"/>
        <v>19</v>
      </c>
      <c r="X24" s="329" t="str" cm="1">
        <f t="array" ref="X24">IF(W24&gt; C$63*3+1,"",IF(OR(W24=0, W24=C$63*3+1),"cantiliver",_xlfn.SWITCH(MOD(W24-1,3),0,"start",1,"middel",2,"end","")))</f>
        <v>start</v>
      </c>
      <c r="Y24" s="330">
        <v>-28918582.960000001</v>
      </c>
      <c r="Z24" s="329" cm="1">
        <f t="array" ref="Z24">IF(W24=C$63*3+1,D$39,IF(W24&gt;C$63*3,"", IF(Y24&gt;0,INDEX(F$43:F$62,V24),INDEX(D$43:D$62,V24))))</f>
        <v>120</v>
      </c>
      <c r="AA24" s="329" cm="1">
        <f t="array" ref="AA24">IF(W24=3*C$63+1,E$39-D$17,IF(W24&gt;3*C$63,"", INDEX(E$43:E$62,V24)-D$17))</f>
        <v>450</v>
      </c>
      <c r="AB24" s="339">
        <f t="shared" si="4"/>
        <v>9.015645018082058E-2</v>
      </c>
      <c r="AC24" s="331" cm="1">
        <f t="array" ref="AC24:AD24">[1]!PureBendingDesign(AB24)*G$8/G$18</f>
        <v>3.990411844551069E-3</v>
      </c>
      <c r="AD24" s="331">
        <v>0</v>
      </c>
      <c r="AE24" s="472" cm="1">
        <f t="array" ref="AE24">IF(W24=C$63*3+1,D$39,IF(W24&gt;C$63*3,"", INDEX(D$43:D$62,V24)))</f>
        <v>120</v>
      </c>
      <c r="AF24" s="472">
        <f t="shared" si="5"/>
        <v>215.48223960575774</v>
      </c>
      <c r="AG24" s="472">
        <f t="shared" si="6"/>
        <v>0</v>
      </c>
      <c r="AH24" s="329">
        <f t="shared" si="7"/>
        <v>0</v>
      </c>
      <c r="AI24" s="332">
        <f t="shared" si="8"/>
        <v>215.48223960575774</v>
      </c>
      <c r="AK24" s="328" t="str">
        <f t="shared" si="19"/>
        <v/>
      </c>
      <c r="AL24" s="329" t="str">
        <f t="shared" si="15"/>
        <v/>
      </c>
      <c r="AM24" s="336" t="str">
        <f t="shared" si="20"/>
        <v/>
      </c>
      <c r="AN24" s="329" t="str">
        <f t="shared" si="16"/>
        <v/>
      </c>
      <c r="AO24" s="336" t="str">
        <f t="shared" si="21"/>
        <v/>
      </c>
      <c r="AP24" s="336" t="str">
        <f t="shared" si="17"/>
        <v/>
      </c>
      <c r="AQ24" s="337" t="str">
        <f t="shared" si="22"/>
        <v/>
      </c>
      <c r="AS24" s="328">
        <f t="shared" si="46"/>
        <v>3</v>
      </c>
      <c r="AT24" s="329">
        <f t="shared" si="29"/>
        <v>19.451666666666664</v>
      </c>
      <c r="AU24" s="330" cm="1">
        <f t="array" ref="AU24">AT24*C46/2-(INDEX(_xlfn.ANCHORARRAY(Y$5),AS24*3-2)-INDEX(_xlfn.ANCHORARRAY(Y$5),AS24*3))/C45</f>
        <v>41821.083333333328</v>
      </c>
      <c r="AV24" s="330">
        <f t="shared" si="30"/>
        <v>35985.583333333328</v>
      </c>
      <c r="AW24" s="330" cm="1">
        <f t="array" ref="AW24">IFERROR(MAX(ABS(AU24:AV24))*(C45-2*E45+2*D$17)/C45,"")</f>
        <v>10455.270833333332</v>
      </c>
      <c r="AX24" s="336">
        <f t="shared" si="31"/>
        <v>54000</v>
      </c>
      <c r="AY24" s="329">
        <f t="shared" si="32"/>
        <v>0.19361612654320987</v>
      </c>
      <c r="AZ24" s="329">
        <f t="shared" si="33"/>
        <v>0</v>
      </c>
      <c r="BA24" s="336">
        <f t="shared" si="34"/>
        <v>0</v>
      </c>
      <c r="BB24" s="336">
        <f t="shared" si="35"/>
        <v>1</v>
      </c>
      <c r="BC24" s="336">
        <f t="shared" si="36"/>
        <v>0</v>
      </c>
      <c r="BD24" s="329">
        <f t="shared" si="37"/>
        <v>8</v>
      </c>
      <c r="BE24" s="336">
        <f t="shared" si="38"/>
        <v>200</v>
      </c>
      <c r="BF24" s="336">
        <f t="shared" si="39"/>
        <v>0</v>
      </c>
      <c r="BG24" s="338">
        <f t="shared" si="40"/>
        <v>200</v>
      </c>
      <c r="BH24" s="336">
        <f t="shared" si="41"/>
        <v>8</v>
      </c>
      <c r="BI24" s="336">
        <f t="shared" si="42"/>
        <v>5</v>
      </c>
      <c r="BJ24" s="337" t="str">
        <f t="shared" si="43"/>
        <v/>
      </c>
      <c r="BL24" s="269">
        <f t="shared" si="44"/>
        <v>20</v>
      </c>
      <c r="BM24" s="269">
        <f t="shared" si="1"/>
        <v>7</v>
      </c>
      <c r="BN24" s="270" cm="1">
        <f t="array" ref="BN24">IFERROR(INDEX(C$43:C$62,BM24)+BN21,0)</f>
        <v>21840</v>
      </c>
      <c r="BO24" s="271">
        <f t="shared" ref="BO24:BO25" si="48">IFERROR(Y26,"")</f>
        <v>-42621248.07</v>
      </c>
    </row>
    <row r="25" spans="2:67" x14ac:dyDescent="0.3">
      <c r="B25" s="260"/>
      <c r="C25" s="298"/>
      <c r="D25" s="298"/>
      <c r="E25" s="298"/>
      <c r="F25" s="298"/>
      <c r="G25" s="299"/>
      <c r="H25" s="299"/>
      <c r="I25" s="299"/>
      <c r="J25" s="299"/>
      <c r="K25" s="299"/>
      <c r="L25" s="299"/>
      <c r="M25" s="299"/>
      <c r="N25" s="299"/>
      <c r="O25" s="299"/>
      <c r="P25" s="299"/>
      <c r="Q25" s="299"/>
      <c r="R25" s="299"/>
      <c r="S25" s="299"/>
      <c r="T25" s="290"/>
      <c r="V25" s="328">
        <f t="shared" si="2"/>
        <v>7</v>
      </c>
      <c r="W25" s="329">
        <f t="shared" si="3"/>
        <v>20</v>
      </c>
      <c r="X25" s="329" t="str" cm="1">
        <f t="array" ref="X25">IF(W25&gt; C$63*3+1,"",IF(OR(W25=0, W25=C$63*3+1),"cantiliver",_xlfn.SWITCH(MOD(W25-1,3),0,"start",1,"middel",2,"end","")))</f>
        <v>middel</v>
      </c>
      <c r="Y25" s="330">
        <v>-9341108.8399999999</v>
      </c>
      <c r="Z25" s="329" cm="1">
        <f t="array" ref="Z25">IF(W25=C$63*3+1,D$39,IF(W25&gt;C$63*3,"", IF(Y25&gt;0,INDEX(F$43:F$62,V25),INDEX(D$43:D$62,V25))))</f>
        <v>120</v>
      </c>
      <c r="AA25" s="329" cm="1">
        <f t="array" ref="AA25">IF(W25=3*C$63+1,E$39-D$17,IF(W25&gt;3*C$63,"", INDEX(E$43:E$62,V25)-D$17))</f>
        <v>450</v>
      </c>
      <c r="AB25" s="339">
        <f t="shared" si="4"/>
        <v>2.9121800847986039E-2</v>
      </c>
      <c r="AC25" s="331" cm="1">
        <f t="array" ref="AC25:AD25">[1]!PureBendingDesign(AB25)*G$8/G$18</f>
        <v>1.2463900781034543E-3</v>
      </c>
      <c r="AD25" s="331">
        <v>0</v>
      </c>
      <c r="AE25" s="472" cm="1">
        <f t="array" ref="AE25">IF(W25=C$63*3+1,D$39,IF(W25&gt;C$63*3,"", INDEX(D$43:D$62,V25)))</f>
        <v>120</v>
      </c>
      <c r="AF25" s="472">
        <f t="shared" si="5"/>
        <v>165.00000000000003</v>
      </c>
      <c r="AG25" s="472">
        <f t="shared" si="6"/>
        <v>0</v>
      </c>
      <c r="AH25" s="329">
        <f t="shared" si="7"/>
        <v>0</v>
      </c>
      <c r="AI25" s="332">
        <f t="shared" si="8"/>
        <v>165.00000000000003</v>
      </c>
      <c r="AK25" s="328" t="str">
        <f t="shared" si="19"/>
        <v/>
      </c>
      <c r="AL25" s="329" t="str">
        <f t="shared" si="15"/>
        <v/>
      </c>
      <c r="AM25" s="336" t="str">
        <f t="shared" si="20"/>
        <v/>
      </c>
      <c r="AN25" s="329" t="str">
        <f t="shared" si="16"/>
        <v/>
      </c>
      <c r="AO25" s="336" t="str">
        <f t="shared" si="21"/>
        <v/>
      </c>
      <c r="AP25" s="336" t="str">
        <f t="shared" si="17"/>
        <v/>
      </c>
      <c r="AQ25" s="337" t="str">
        <f t="shared" si="22"/>
        <v/>
      </c>
      <c r="AS25" s="328">
        <f t="shared" si="46"/>
        <v>4</v>
      </c>
      <c r="AT25" s="329">
        <f t="shared" si="29"/>
        <v>53.932499999999983</v>
      </c>
      <c r="AU25" s="330" cm="1">
        <f t="array" ref="AU25">AT25*C47/2-(INDEX(_xlfn.ANCHORARRAY(Y$5),AS25*3-2)-INDEX(_xlfn.ANCHORARRAY(Y$5),AS25*3))/C46</f>
        <v>148314.37499999994</v>
      </c>
      <c r="AV25" s="330">
        <f t="shared" si="30"/>
        <v>94381.874999999971</v>
      </c>
      <c r="AW25" s="330" cm="1">
        <f t="array" ref="AW25">IFERROR(MAX(ABS(AU25:AV25))*(C46-2*E46+2*D$17)/C46,"")</f>
        <v>114943.64062499996</v>
      </c>
      <c r="AX25" s="336">
        <f t="shared" si="31"/>
        <v>54000</v>
      </c>
      <c r="AY25" s="329">
        <f t="shared" si="32"/>
        <v>2.1285859374999991</v>
      </c>
      <c r="AZ25" s="329">
        <f t="shared" si="33"/>
        <v>1.0552733083001</v>
      </c>
      <c r="BA25" s="336">
        <f t="shared" si="34"/>
        <v>56984.758648205403</v>
      </c>
      <c r="BB25" s="336">
        <f t="shared" si="35"/>
        <v>1</v>
      </c>
      <c r="BC25" s="336">
        <f t="shared" si="36"/>
        <v>0.60678215227255738</v>
      </c>
      <c r="BD25" s="329">
        <f t="shared" si="37"/>
        <v>8</v>
      </c>
      <c r="BE25" s="336">
        <f t="shared" si="38"/>
        <v>100</v>
      </c>
      <c r="BF25" s="336">
        <f t="shared" si="39"/>
        <v>60.678215227255741</v>
      </c>
      <c r="BG25" s="338">
        <f t="shared" si="40"/>
        <v>129.37097722139163</v>
      </c>
      <c r="BH25" s="336">
        <f t="shared" si="41"/>
        <v>10</v>
      </c>
      <c r="BI25" s="336">
        <f t="shared" si="42"/>
        <v>8</v>
      </c>
      <c r="BJ25" s="337" t="str">
        <f t="shared" si="43"/>
        <v/>
      </c>
      <c r="BL25" s="269">
        <f t="shared" si="44"/>
        <v>21</v>
      </c>
      <c r="BM25" s="269">
        <f t="shared" si="1"/>
        <v>8</v>
      </c>
      <c r="BN25" s="270">
        <f t="shared" ref="BN25" si="49">IFERROR(BN24,0)</f>
        <v>21840</v>
      </c>
      <c r="BO25" s="271">
        <f t="shared" si="48"/>
        <v>-42621248.07</v>
      </c>
    </row>
    <row r="26" spans="2:67" x14ac:dyDescent="0.3">
      <c r="B26" s="261"/>
      <c r="C26" s="299"/>
      <c r="D26" s="302"/>
      <c r="E26" s="299"/>
      <c r="F26" s="299"/>
      <c r="G26" s="299"/>
      <c r="H26" s="299"/>
      <c r="I26" s="299"/>
      <c r="J26" s="299"/>
      <c r="K26" s="299"/>
      <c r="L26" s="299"/>
      <c r="M26" s="299"/>
      <c r="N26" s="299"/>
      <c r="O26" s="299"/>
      <c r="P26" s="299"/>
      <c r="Q26" s="299"/>
      <c r="R26" s="299"/>
      <c r="S26" s="299"/>
      <c r="T26" s="258"/>
      <c r="V26" s="328">
        <f t="shared" si="2"/>
        <v>7</v>
      </c>
      <c r="W26" s="329">
        <f t="shared" si="3"/>
        <v>21</v>
      </c>
      <c r="X26" s="329" t="str" cm="1">
        <f t="array" ref="X26">IF(W26&gt; C$63*3+1,"",IF(OR(W26=0, W26=C$63*3+1),"cantiliver",_xlfn.SWITCH(MOD(W26-1,3),0,"start",1,"middel",2,"end","")))</f>
        <v>end</v>
      </c>
      <c r="Y26" s="330">
        <v>-42621248.07</v>
      </c>
      <c r="Z26" s="329" cm="1">
        <f t="array" ref="Z26">IF(W26=C$63*3+1,D$39,IF(W26&gt;C$63*3,"", IF(Y26&gt;0,INDEX(F$43:F$62,V26),INDEX(D$43:D$62,V26))))</f>
        <v>120</v>
      </c>
      <c r="AA26" s="329" cm="1">
        <f t="array" ref="AA26">IF(W26=3*C$63+1,E$39-D$17,IF(W26&gt;3*C$63,"", INDEX(E$43:E$62,V26)-D$17))</f>
        <v>450</v>
      </c>
      <c r="AB26" s="339">
        <f t="shared" si="4"/>
        <v>0.13287582014590352</v>
      </c>
      <c r="AC26" s="331" cm="1">
        <f t="array" ref="AC26:AD26">[1]!PureBendingDesign(AB26)*G$8/G$18</f>
        <v>6.0347696870010912E-3</v>
      </c>
      <c r="AD26" s="331">
        <v>0</v>
      </c>
      <c r="AE26" s="472" cm="1">
        <f t="array" ref="AE26">IF(W26=C$63*3+1,D$39,IF(W26&gt;C$63*3,"", INDEX(D$43:D$62,V26)))</f>
        <v>120</v>
      </c>
      <c r="AF26" s="472">
        <f t="shared" si="5"/>
        <v>325.87756309805894</v>
      </c>
      <c r="AG26" s="472">
        <f t="shared" si="6"/>
        <v>0</v>
      </c>
      <c r="AH26" s="329">
        <f t="shared" si="7"/>
        <v>0</v>
      </c>
      <c r="AI26" s="332">
        <f t="shared" si="8"/>
        <v>325.87756309805894</v>
      </c>
      <c r="AK26" s="328" t="str">
        <f t="shared" si="19"/>
        <v/>
      </c>
      <c r="AL26" s="329" t="str">
        <f t="shared" si="15"/>
        <v/>
      </c>
      <c r="AM26" s="336" t="str">
        <f t="shared" si="20"/>
        <v/>
      </c>
      <c r="AN26" s="329" t="str">
        <f t="shared" si="16"/>
        <v/>
      </c>
      <c r="AO26" s="336" t="str">
        <f t="shared" si="21"/>
        <v/>
      </c>
      <c r="AP26" s="336" t="str">
        <f t="shared" si="17"/>
        <v/>
      </c>
      <c r="AQ26" s="337" t="str">
        <f t="shared" si="22"/>
        <v/>
      </c>
      <c r="AS26" s="328">
        <f t="shared" si="46"/>
        <v>5</v>
      </c>
      <c r="AT26" s="329">
        <f t="shared" si="29"/>
        <v>55.58402522222223</v>
      </c>
      <c r="AU26" s="330" cm="1">
        <f t="array" ref="AU26">AT26*C48/2-(INDEX(_xlfn.ANCHORARRAY(Y$5),AS26*3-2)-INDEX(_xlfn.ANCHORARRAY(Y$5),AS26*3))/C47</f>
        <v>125203.01681222224</v>
      </c>
      <c r="AV26" s="330">
        <f t="shared" si="30"/>
        <v>62670.988438888904</v>
      </c>
      <c r="AW26" s="330" cm="1">
        <f t="array" ref="AW26">IFERROR(MAX(ABS(AU26:AV26))*(C47-2*E47+2*D$17)/C47,"")</f>
        <v>100162.41344977778</v>
      </c>
      <c r="AX26" s="336">
        <f t="shared" si="31"/>
        <v>54000</v>
      </c>
      <c r="AY26" s="329">
        <f t="shared" si="32"/>
        <v>1.8548595083292183</v>
      </c>
      <c r="AZ26" s="329">
        <f t="shared" si="33"/>
        <v>0.78154687912931919</v>
      </c>
      <c r="BA26" s="336">
        <f t="shared" si="34"/>
        <v>42203.531472983239</v>
      </c>
      <c r="BB26" s="336">
        <f t="shared" si="35"/>
        <v>1</v>
      </c>
      <c r="BC26" s="336">
        <f t="shared" si="36"/>
        <v>0.44938945549935849</v>
      </c>
      <c r="BD26" s="329">
        <f t="shared" si="37"/>
        <v>8</v>
      </c>
      <c r="BE26" s="336">
        <f t="shared" si="38"/>
        <v>111.7961255770313</v>
      </c>
      <c r="BF26" s="336">
        <f t="shared" si="39"/>
        <v>50.24</v>
      </c>
      <c r="BG26" s="338">
        <f t="shared" si="40"/>
        <v>111.7961255770313</v>
      </c>
      <c r="BH26" s="336">
        <f t="shared" si="41"/>
        <v>8</v>
      </c>
      <c r="BI26" s="336">
        <f t="shared" si="42"/>
        <v>9</v>
      </c>
      <c r="BJ26" s="337" t="str">
        <f t="shared" si="43"/>
        <v/>
      </c>
      <c r="BL26" s="269">
        <f t="shared" si="44"/>
        <v>22</v>
      </c>
      <c r="BM26" s="269">
        <f t="shared" si="1"/>
        <v>8</v>
      </c>
      <c r="BN26" s="270">
        <f t="shared" ref="BN26" si="50">IFERROR((BN27+BN25)/2,0)</f>
        <v>23590</v>
      </c>
      <c r="BO26" s="269" cm="1">
        <f t="array" ref="BO26">IFERROR((INDEX(S$43:S$62,BM26)+INDEX(T$43:T$62,BM26))*INDEX(C$43:C$62,BM26)*INDEX(C$43:C$62,BM26)/8,"")</f>
        <v>79396763.250000015</v>
      </c>
    </row>
    <row r="27" spans="2:67" x14ac:dyDescent="0.3">
      <c r="B27" s="261"/>
      <c r="C27" s="299"/>
      <c r="D27" s="302"/>
      <c r="E27" s="299"/>
      <c r="F27" s="299"/>
      <c r="G27" s="299"/>
      <c r="H27" s="299"/>
      <c r="I27" s="299"/>
      <c r="J27" s="299"/>
      <c r="K27" s="299"/>
      <c r="L27" s="299"/>
      <c r="M27" s="299"/>
      <c r="N27" s="299"/>
      <c r="O27" s="299"/>
      <c r="P27" s="299"/>
      <c r="Q27" s="299"/>
      <c r="R27" s="299"/>
      <c r="S27" s="299"/>
      <c r="T27" s="258"/>
      <c r="V27" s="328">
        <f t="shared" si="2"/>
        <v>8</v>
      </c>
      <c r="W27" s="329">
        <f t="shared" si="3"/>
        <v>22</v>
      </c>
      <c r="X27" s="329" t="str" cm="1">
        <f t="array" ref="X27">IF(W27&gt; C$63*3+1,"",IF(OR(W27=0, W27=C$63*3+1),"cantiliver",_xlfn.SWITCH(MOD(W27-1,3),0,"start",1,"middel",2,"end","")))</f>
        <v>start</v>
      </c>
      <c r="Y27" s="330">
        <v>-42621248.07</v>
      </c>
      <c r="Z27" s="329" cm="1">
        <f t="array" ref="Z27">IF(W27=C$63*3+1,D$39,IF(W27&gt;C$63*3,"", IF(Y27&gt;0,INDEX(F$43:F$62,V27),INDEX(D$43:D$62,V27))))</f>
        <v>120</v>
      </c>
      <c r="AA27" s="329" cm="1">
        <f t="array" ref="AA27">IF(W27=3*C$63+1,E$39-D$17,IF(W27&gt;3*C$63,"", INDEX(E$43:E$62,V27)-D$17))</f>
        <v>450</v>
      </c>
      <c r="AB27" s="339">
        <f t="shared" si="4"/>
        <v>0.13287582014590352</v>
      </c>
      <c r="AC27" s="331" cm="1">
        <f t="array" ref="AC27:AD27">[1]!PureBendingDesign(AB27)*G$8/G$18</f>
        <v>6.0347696870010912E-3</v>
      </c>
      <c r="AD27" s="331">
        <v>0</v>
      </c>
      <c r="AE27" s="472" cm="1">
        <f t="array" ref="AE27">IF(W27=C$63*3+1,D$39,IF(W27&gt;C$63*3,"", INDEX(D$43:D$62,V27)))</f>
        <v>120</v>
      </c>
      <c r="AF27" s="472">
        <f t="shared" si="5"/>
        <v>325.87756309805894</v>
      </c>
      <c r="AG27" s="472">
        <f t="shared" si="6"/>
        <v>0</v>
      </c>
      <c r="AH27" s="329">
        <f t="shared" si="7"/>
        <v>0</v>
      </c>
      <c r="AI27" s="332">
        <f t="shared" si="8"/>
        <v>325.87756309805894</v>
      </c>
      <c r="AK27" s="328" t="str">
        <f t="shared" si="19"/>
        <v/>
      </c>
      <c r="AL27" s="329" t="str">
        <f t="shared" si="15"/>
        <v/>
      </c>
      <c r="AM27" s="336" t="str">
        <f t="shared" si="20"/>
        <v/>
      </c>
      <c r="AN27" s="329" t="str">
        <f t="shared" si="16"/>
        <v/>
      </c>
      <c r="AO27" s="336" t="str">
        <f t="shared" si="21"/>
        <v/>
      </c>
      <c r="AP27" s="336" t="str">
        <f t="shared" si="17"/>
        <v/>
      </c>
      <c r="AQ27" s="337" t="str">
        <f t="shared" si="22"/>
        <v/>
      </c>
      <c r="AS27" s="328">
        <f t="shared" si="46"/>
        <v>6</v>
      </c>
      <c r="AT27" s="329">
        <f t="shared" si="29"/>
        <v>51.235906508875743</v>
      </c>
      <c r="AU27" s="330" cm="1">
        <f t="array" ref="AU27">AT27*C49/2-(INDEX(_xlfn.ANCHORARRAY(Y$5),AS27*3-2)-INDEX(_xlfn.ANCHORARRAY(Y$5),AS27*3))/C48</f>
        <v>72883.077008875742</v>
      </c>
      <c r="AV27" s="330">
        <f t="shared" si="30"/>
        <v>29588.736008875741</v>
      </c>
      <c r="AW27" s="330" cm="1">
        <f t="array" ref="AW27">IFERROR(MAX(ABS(AU27:AV27))*(C48-2*E48+2*D$17)/C48,"")</f>
        <v>53476.340527222434</v>
      </c>
      <c r="AX27" s="336">
        <f t="shared" si="31"/>
        <v>54000</v>
      </c>
      <c r="AY27" s="329">
        <f t="shared" si="32"/>
        <v>0.99030260235597101</v>
      </c>
      <c r="AZ27" s="329">
        <f t="shared" si="33"/>
        <v>0</v>
      </c>
      <c r="BA27" s="336">
        <f t="shared" si="34"/>
        <v>0</v>
      </c>
      <c r="BB27" s="336">
        <f t="shared" si="35"/>
        <v>1</v>
      </c>
      <c r="BC27" s="336">
        <f t="shared" si="36"/>
        <v>0</v>
      </c>
      <c r="BD27" s="329">
        <f t="shared" si="37"/>
        <v>8</v>
      </c>
      <c r="BE27" s="336">
        <f t="shared" si="38"/>
        <v>200</v>
      </c>
      <c r="BF27" s="336">
        <f t="shared" si="39"/>
        <v>0</v>
      </c>
      <c r="BG27" s="338">
        <f t="shared" si="40"/>
        <v>200</v>
      </c>
      <c r="BH27" s="336">
        <f t="shared" si="41"/>
        <v>8</v>
      </c>
      <c r="BI27" s="336">
        <f t="shared" si="42"/>
        <v>5</v>
      </c>
      <c r="BJ27" s="337" t="str">
        <f t="shared" si="43"/>
        <v/>
      </c>
      <c r="BL27" s="269">
        <f t="shared" si="44"/>
        <v>23</v>
      </c>
      <c r="BM27" s="269">
        <f t="shared" si="1"/>
        <v>8</v>
      </c>
      <c r="BN27" s="270" cm="1">
        <f t="array" ref="BN27">IFERROR(INDEX(C$43:C$62,BM27)+BN24,0)</f>
        <v>25340</v>
      </c>
      <c r="BO27" s="271">
        <f t="shared" ref="BO27:BO28" si="51">IFERROR(Y29,"")</f>
        <v>-45960310.439999998</v>
      </c>
    </row>
    <row r="28" spans="2:67" x14ac:dyDescent="0.3">
      <c r="B28" s="261"/>
      <c r="C28" s="299"/>
      <c r="D28" s="302"/>
      <c r="E28" s="299"/>
      <c r="F28" s="299"/>
      <c r="G28" s="299"/>
      <c r="H28" s="299"/>
      <c r="I28" s="299"/>
      <c r="J28" s="299"/>
      <c r="K28" s="299"/>
      <c r="L28" s="299"/>
      <c r="M28" s="299"/>
      <c r="N28" s="299"/>
      <c r="O28" s="299"/>
      <c r="P28" s="299"/>
      <c r="Q28" s="299"/>
      <c r="R28" s="299"/>
      <c r="S28" s="299"/>
      <c r="T28" s="258"/>
      <c r="V28" s="328">
        <f t="shared" si="2"/>
        <v>8</v>
      </c>
      <c r="W28" s="329">
        <f t="shared" si="3"/>
        <v>23</v>
      </c>
      <c r="X28" s="329" t="str" cm="1">
        <f t="array" ref="X28">IF(W28&gt; C$63*3+1,"",IF(OR(W28=0, W28=C$63*3+1),"cantiliver",_xlfn.SWITCH(MOD(W28-1,3),0,"start",1,"middel",2,"end","")))</f>
        <v>middel</v>
      </c>
      <c r="Y28" s="330">
        <v>36775515.18</v>
      </c>
      <c r="Z28" s="329" cm="1">
        <f t="array" ref="Z28">IF(W28=C$63*3+1,D$39,IF(W28&gt;C$63*3,"", IF(Y28&gt;0,INDEX(F$43:F$62,V28),INDEX(D$43:D$62,V28))))</f>
        <v>895</v>
      </c>
      <c r="AA28" s="329" cm="1">
        <f t="array" ref="AA28">IF(W28=3*C$63+1,E$39-D$17,IF(W28&gt;3*C$63,"", INDEX(E$43:E$62,V28)-D$17))</f>
        <v>450</v>
      </c>
      <c r="AB28" s="339">
        <f t="shared" si="4"/>
        <v>1.5372226372978704E-2</v>
      </c>
      <c r="AC28" s="331" cm="1">
        <f t="array" ref="AC28:AD28">[1]!PureBendingDesign(AB28)*G$8/G$18</f>
        <v>6.5325573980004245E-4</v>
      </c>
      <c r="AD28" s="331">
        <v>0</v>
      </c>
      <c r="AE28" s="472" cm="1">
        <f t="array" ref="AE28">IF(W28=C$63*3+1,D$39,IF(W28&gt;C$63*3,"", INDEX(D$43:D$62,V28)))</f>
        <v>120</v>
      </c>
      <c r="AF28" s="472">
        <f t="shared" si="5"/>
        <v>263.09874920446708</v>
      </c>
      <c r="AG28" s="472">
        <f t="shared" si="6"/>
        <v>0</v>
      </c>
      <c r="AH28" s="329">
        <f t="shared" si="7"/>
        <v>263.09874920446708</v>
      </c>
      <c r="AI28" s="332">
        <f t="shared" si="8"/>
        <v>0</v>
      </c>
      <c r="AK28" s="328" t="str">
        <f t="shared" si="19"/>
        <v/>
      </c>
      <c r="AL28" s="329" t="str">
        <f t="shared" si="15"/>
        <v/>
      </c>
      <c r="AM28" s="336" t="str">
        <f t="shared" si="20"/>
        <v/>
      </c>
      <c r="AN28" s="329" t="str">
        <f t="shared" si="16"/>
        <v/>
      </c>
      <c r="AO28" s="336" t="str">
        <f t="shared" si="21"/>
        <v/>
      </c>
      <c r="AP28" s="336" t="str">
        <f t="shared" si="17"/>
        <v/>
      </c>
      <c r="AQ28" s="337" t="str">
        <f t="shared" si="22"/>
        <v/>
      </c>
      <c r="AS28" s="328">
        <f t="shared" si="46"/>
        <v>7</v>
      </c>
      <c r="AT28" s="329">
        <f t="shared" si="29"/>
        <v>39.154948250000004</v>
      </c>
      <c r="AU28" s="330" cm="1">
        <f t="array" ref="AU28">AT28*C50/2-(INDEX(_xlfn.ANCHORARRAY(Y$5),AS28*3-2)-INDEX(_xlfn.ANCHORARRAY(Y$5),AS28*3))/C49</f>
        <v>78309.896497500013</v>
      </c>
      <c r="AV28" s="330">
        <f t="shared" si="30"/>
        <v>58732.422377500014</v>
      </c>
      <c r="AW28" s="330" cm="1">
        <f t="array" ref="AW28">IFERROR(MAX(ABS(AU28:AV28))*(C49-2*E49+2*D$17)/C49,"")</f>
        <v>43070.443073625007</v>
      </c>
      <c r="AX28" s="336">
        <f t="shared" si="31"/>
        <v>54000</v>
      </c>
      <c r="AY28" s="329">
        <f t="shared" si="32"/>
        <v>0.79760079765972236</v>
      </c>
      <c r="AZ28" s="329">
        <f t="shared" si="33"/>
        <v>0</v>
      </c>
      <c r="BA28" s="336">
        <f t="shared" si="34"/>
        <v>0</v>
      </c>
      <c r="BB28" s="336">
        <f t="shared" si="35"/>
        <v>1</v>
      </c>
      <c r="BC28" s="336">
        <f t="shared" si="36"/>
        <v>0</v>
      </c>
      <c r="BD28" s="329">
        <f t="shared" si="37"/>
        <v>8</v>
      </c>
      <c r="BE28" s="336">
        <f t="shared" si="38"/>
        <v>200</v>
      </c>
      <c r="BF28" s="336">
        <f t="shared" si="39"/>
        <v>0</v>
      </c>
      <c r="BG28" s="338">
        <f t="shared" si="40"/>
        <v>200</v>
      </c>
      <c r="BH28" s="336">
        <f t="shared" si="41"/>
        <v>8</v>
      </c>
      <c r="BI28" s="336">
        <f t="shared" si="42"/>
        <v>5</v>
      </c>
      <c r="BJ28" s="337" t="str">
        <f t="shared" si="43"/>
        <v/>
      </c>
      <c r="BL28" s="269">
        <f t="shared" si="44"/>
        <v>24</v>
      </c>
      <c r="BM28" s="269">
        <f t="shared" si="1"/>
        <v>9</v>
      </c>
      <c r="BN28" s="270">
        <f t="shared" ref="BN28" si="52">IFERROR(BN27,0)</f>
        <v>25340</v>
      </c>
      <c r="BO28" s="271">
        <f t="shared" si="51"/>
        <v>-45960310.439999998</v>
      </c>
    </row>
    <row r="29" spans="2:67" x14ac:dyDescent="0.3">
      <c r="B29" s="261"/>
      <c r="C29" s="302"/>
      <c r="D29" s="299"/>
      <c r="E29" s="299"/>
      <c r="F29" s="299"/>
      <c r="G29" s="299"/>
      <c r="H29" s="299"/>
      <c r="I29" s="299"/>
      <c r="J29" s="299"/>
      <c r="K29" s="299"/>
      <c r="L29" s="299"/>
      <c r="M29" s="299"/>
      <c r="N29" s="299"/>
      <c r="O29" s="299"/>
      <c r="P29" s="299"/>
      <c r="Q29" s="299"/>
      <c r="R29" s="299"/>
      <c r="S29" s="299"/>
      <c r="T29" s="258"/>
      <c r="V29" s="328">
        <f t="shared" si="2"/>
        <v>8</v>
      </c>
      <c r="W29" s="329">
        <f t="shared" si="3"/>
        <v>24</v>
      </c>
      <c r="X29" s="329" t="str" cm="1">
        <f t="array" ref="X29">IF(W29&gt; C$63*3+1,"",IF(OR(W29=0, W29=C$63*3+1),"cantiliver",_xlfn.SWITCH(MOD(W29-1,3),0,"start",1,"middel",2,"end","")))</f>
        <v>end</v>
      </c>
      <c r="Y29" s="330">
        <v>-45960310.439999998</v>
      </c>
      <c r="Z29" s="329" cm="1">
        <f t="array" ref="Z29">IF(W29=C$63*3+1,D$39,IF(W29&gt;C$63*3,"", IF(Y29&gt;0,INDEX(F$43:F$62,V29),INDEX(D$43:D$62,V29))))</f>
        <v>120</v>
      </c>
      <c r="AA29" s="329" cm="1">
        <f t="array" ref="AA29">IF(W29=3*C$63+1,E$39-D$17,IF(W29&gt;3*C$63,"", INDEX(E$43:E$62,V29)-D$17))</f>
        <v>450</v>
      </c>
      <c r="AB29" s="339">
        <f t="shared" si="4"/>
        <v>0.1432856666666667</v>
      </c>
      <c r="AC29" s="331" cm="1">
        <f t="array" ref="AC29:AD29">[1]!PureBendingDesign(AB29)*G$8/G$18</f>
        <v>6.5507153695730817E-3</v>
      </c>
      <c r="AD29" s="331">
        <v>0</v>
      </c>
      <c r="AE29" s="472" cm="1">
        <f t="array" ref="AE29">IF(W29=C$63*3+1,D$39,IF(W29&gt;C$63*3,"", INDEX(D$43:D$62,V29)))</f>
        <v>120</v>
      </c>
      <c r="AF29" s="472">
        <f t="shared" si="5"/>
        <v>353.7386299569464</v>
      </c>
      <c r="AG29" s="472">
        <f t="shared" si="6"/>
        <v>0</v>
      </c>
      <c r="AH29" s="329">
        <f t="shared" si="7"/>
        <v>0</v>
      </c>
      <c r="AI29" s="332">
        <f t="shared" si="8"/>
        <v>353.7386299569464</v>
      </c>
      <c r="AK29" s="328" t="str">
        <f t="shared" si="19"/>
        <v/>
      </c>
      <c r="AL29" s="329" t="str">
        <f t="shared" si="15"/>
        <v/>
      </c>
      <c r="AM29" s="336" t="str">
        <f t="shared" si="20"/>
        <v/>
      </c>
      <c r="AN29" s="329" t="str">
        <f t="shared" si="16"/>
        <v/>
      </c>
      <c r="AO29" s="336" t="str">
        <f t="shared" si="21"/>
        <v/>
      </c>
      <c r="AP29" s="336" t="str">
        <f t="shared" si="17"/>
        <v/>
      </c>
      <c r="AQ29" s="337" t="str">
        <f t="shared" si="22"/>
        <v/>
      </c>
      <c r="AS29" s="328">
        <f t="shared" si="46"/>
        <v>8</v>
      </c>
      <c r="AT29" s="329">
        <f t="shared" si="29"/>
        <v>51.85094742857143</v>
      </c>
      <c r="AU29" s="330" cm="1">
        <f t="array" ref="AU29">AT29*C51/2-(INDEX(_xlfn.ANCHORARRAY(Y$5),AS29*3-2)-INDEX(_xlfn.ANCHORARRAY(Y$5),AS29*3))/C50</f>
        <v>74535.736928571423</v>
      </c>
      <c r="AV29" s="330">
        <f t="shared" si="30"/>
        <v>29166.15792857144</v>
      </c>
      <c r="AW29" s="330" cm="1">
        <f t="array" ref="AW29">IFERROR(MAX(ABS(AU29:AV29))*(C50-2*E50+2*D$17)/C50,"")</f>
        <v>55369.404575510205</v>
      </c>
      <c r="AX29" s="336">
        <f t="shared" si="31"/>
        <v>54000</v>
      </c>
      <c r="AY29" s="329">
        <f t="shared" si="32"/>
        <v>1.0253593439909297</v>
      </c>
      <c r="AZ29" s="329">
        <f t="shared" si="33"/>
        <v>0</v>
      </c>
      <c r="BA29" s="336">
        <f t="shared" si="34"/>
        <v>0</v>
      </c>
      <c r="BB29" s="336">
        <f t="shared" si="35"/>
        <v>1</v>
      </c>
      <c r="BC29" s="336">
        <f t="shared" si="36"/>
        <v>0</v>
      </c>
      <c r="BD29" s="329">
        <f t="shared" si="37"/>
        <v>8</v>
      </c>
      <c r="BE29" s="336">
        <f t="shared" si="38"/>
        <v>200</v>
      </c>
      <c r="BF29" s="336">
        <f t="shared" si="39"/>
        <v>0</v>
      </c>
      <c r="BG29" s="338">
        <f t="shared" si="40"/>
        <v>200</v>
      </c>
      <c r="BH29" s="336">
        <f t="shared" si="41"/>
        <v>8</v>
      </c>
      <c r="BI29" s="336">
        <f t="shared" si="42"/>
        <v>5</v>
      </c>
      <c r="BJ29" s="337" t="str">
        <f t="shared" si="43"/>
        <v/>
      </c>
      <c r="BL29" s="269">
        <f t="shared" si="44"/>
        <v>25</v>
      </c>
      <c r="BM29" s="269">
        <f t="shared" si="1"/>
        <v>9</v>
      </c>
      <c r="BN29" s="270">
        <f t="shared" ref="BN29" si="53">IFERROR((BN30+BN28)/2,0)</f>
        <v>26340</v>
      </c>
      <c r="BO29" s="269" cm="1">
        <f t="array" ref="BO29">IFERROR((INDEX(S$43:S$62,BM29)+INDEX(T$43:T$62,BM29))*INDEX(C$43:C$62,BM29)*INDEX(C$43:C$62,BM29)/8,"")</f>
        <v>19577428.125000004</v>
      </c>
    </row>
    <row r="30" spans="2:67" x14ac:dyDescent="0.3">
      <c r="B30" s="260"/>
      <c r="C30" s="298"/>
      <c r="D30" s="298"/>
      <c r="E30" s="298"/>
      <c r="F30" s="298"/>
      <c r="G30" s="299"/>
      <c r="H30" s="299"/>
      <c r="I30" s="299"/>
      <c r="J30" s="299"/>
      <c r="K30" s="299"/>
      <c r="L30" s="299"/>
      <c r="M30" s="299"/>
      <c r="N30" s="299"/>
      <c r="O30" s="299"/>
      <c r="P30" s="299"/>
      <c r="Q30" s="299"/>
      <c r="R30" s="299"/>
      <c r="S30" s="299"/>
      <c r="T30" s="290"/>
      <c r="V30" s="328">
        <f t="shared" si="2"/>
        <v>9</v>
      </c>
      <c r="W30" s="329">
        <f t="shared" si="3"/>
        <v>25</v>
      </c>
      <c r="X30" s="329" t="str" cm="1">
        <f t="array" ref="X30">IF(W30&gt; C$63*3+1,"",IF(OR(W30=0, W30=C$63*3+1),"cantiliver",_xlfn.SWITCH(MOD(W30-1,3),0,"start",1,"middel",2,"end","")))</f>
        <v>start</v>
      </c>
      <c r="Y30" s="330">
        <v>-45960310.439999998</v>
      </c>
      <c r="Z30" s="329" cm="1">
        <f t="array" ref="Z30">IF(W30=C$63*3+1,D$39,IF(W30&gt;C$63*3,"", IF(Y30&gt;0,INDEX(F$43:F$62,V30),INDEX(D$43:D$62,V30))))</f>
        <v>120</v>
      </c>
      <c r="AA30" s="329" cm="1">
        <f t="array" ref="AA30">IF(W30=3*C$63+1,E$39-D$17,IF(W30&gt;3*C$63,"", INDEX(E$43:E$62,V30)-D$17))</f>
        <v>450</v>
      </c>
      <c r="AB30" s="339">
        <f t="shared" si="4"/>
        <v>0.1432856666666667</v>
      </c>
      <c r="AC30" s="331" cm="1">
        <f t="array" ref="AC30:AD30">[1]!PureBendingDesign(AB30)*G$8/G$18</f>
        <v>6.5507153695730817E-3</v>
      </c>
      <c r="AD30" s="331">
        <v>0</v>
      </c>
      <c r="AE30" s="472" cm="1">
        <f t="array" ref="AE30">IF(W30=C$63*3+1,D$39,IF(W30&gt;C$63*3,"", INDEX(D$43:D$62,V30)))</f>
        <v>120</v>
      </c>
      <c r="AF30" s="472">
        <f t="shared" si="5"/>
        <v>353.7386299569464</v>
      </c>
      <c r="AG30" s="472">
        <f t="shared" si="6"/>
        <v>0</v>
      </c>
      <c r="AH30" s="329">
        <f t="shared" si="7"/>
        <v>0</v>
      </c>
      <c r="AI30" s="332">
        <f t="shared" si="8"/>
        <v>353.7386299569464</v>
      </c>
      <c r="AK30" s="261" t="str">
        <f t="shared" si="19"/>
        <v/>
      </c>
      <c r="AL30" s="302" t="str">
        <f t="shared" si="15"/>
        <v/>
      </c>
      <c r="AM30" s="299" t="str">
        <f t="shared" si="20"/>
        <v/>
      </c>
      <c r="AN30" s="302" t="str">
        <f t="shared" si="16"/>
        <v/>
      </c>
      <c r="AO30" s="299" t="str">
        <f t="shared" si="21"/>
        <v/>
      </c>
      <c r="AP30" s="299" t="str">
        <f t="shared" si="17"/>
        <v/>
      </c>
      <c r="AQ30" s="290" t="str">
        <f t="shared" si="22"/>
        <v/>
      </c>
      <c r="AS30" s="328">
        <f t="shared" si="46"/>
        <v>9</v>
      </c>
      <c r="AT30" s="329">
        <f t="shared" si="29"/>
        <v>39.154856250000002</v>
      </c>
      <c r="AU30" s="330" cm="1">
        <f t="array" ref="AU30">AT30*C52/2-(INDEX(_xlfn.ANCHORARRAY(Y$5),AS30*3-2)-INDEX(_xlfn.ANCHORARRAY(Y$5),AS30*3))/C51</f>
        <v>9788.7140650000001</v>
      </c>
      <c r="AV30" s="330">
        <f t="shared" si="30"/>
        <v>-9788.7140650000001</v>
      </c>
      <c r="AW30" s="330" cm="1">
        <f t="array" ref="AW30">IFERROR(MAX(ABS(AU30:AV30))*(C51-2*E51+2*D$17)/C51,"")</f>
        <v>5383.7927357500002</v>
      </c>
      <c r="AX30" s="336">
        <f t="shared" si="31"/>
        <v>54000</v>
      </c>
      <c r="AY30" s="329">
        <f t="shared" si="32"/>
        <v>9.9699865476851862E-2</v>
      </c>
      <c r="AZ30" s="329">
        <f t="shared" si="33"/>
        <v>0</v>
      </c>
      <c r="BA30" s="336">
        <f t="shared" si="34"/>
        <v>0</v>
      </c>
      <c r="BB30" s="336">
        <f t="shared" si="35"/>
        <v>1</v>
      </c>
      <c r="BC30" s="336">
        <f t="shared" si="36"/>
        <v>0</v>
      </c>
      <c r="BD30" s="329">
        <f t="shared" si="37"/>
        <v>8</v>
      </c>
      <c r="BE30" s="336">
        <f t="shared" si="38"/>
        <v>200</v>
      </c>
      <c r="BF30" s="336">
        <f t="shared" si="39"/>
        <v>0</v>
      </c>
      <c r="BG30" s="338">
        <f t="shared" si="40"/>
        <v>200</v>
      </c>
      <c r="BH30" s="336">
        <f t="shared" si="41"/>
        <v>8</v>
      </c>
      <c r="BI30" s="336">
        <f t="shared" si="42"/>
        <v>5</v>
      </c>
      <c r="BJ30" s="337" t="str">
        <f t="shared" si="43"/>
        <v/>
      </c>
      <c r="BL30" s="269">
        <f t="shared" si="44"/>
        <v>26</v>
      </c>
      <c r="BM30" s="269">
        <f t="shared" si="1"/>
        <v>9</v>
      </c>
      <c r="BN30" s="270" cm="1">
        <f t="array" ref="BN30">IFERROR(INDEX(C$43:C$62,BM30)+BN27,0)</f>
        <v>27340</v>
      </c>
      <c r="BO30" s="271">
        <f t="shared" ref="BO30:BO31" si="54">IFERROR(Y32,"")</f>
        <v>0</v>
      </c>
    </row>
    <row r="31" spans="2:67" x14ac:dyDescent="0.3">
      <c r="B31" s="260"/>
      <c r="C31" s="298"/>
      <c r="D31" s="298"/>
      <c r="E31" s="298"/>
      <c r="F31" s="298"/>
      <c r="G31" s="299"/>
      <c r="H31" s="299"/>
      <c r="I31" s="299"/>
      <c r="J31" s="299"/>
      <c r="K31" s="299"/>
      <c r="L31" s="299"/>
      <c r="M31" s="299"/>
      <c r="N31" s="299"/>
      <c r="O31" s="299"/>
      <c r="P31" s="299"/>
      <c r="Q31" s="299"/>
      <c r="R31" s="299"/>
      <c r="S31" s="299"/>
      <c r="T31" s="290"/>
      <c r="V31" s="328">
        <f t="shared" si="2"/>
        <v>9</v>
      </c>
      <c r="W31" s="329">
        <f t="shared" si="3"/>
        <v>26</v>
      </c>
      <c r="X31" s="329" t="str" cm="1">
        <f t="array" ref="X31">IF(W31&gt; C$63*3+1,"",IF(OR(W31=0, W31=C$63*3+1),"cantiliver",_xlfn.SWITCH(MOD(W31-1,3),0,"start",1,"middel",2,"end","")))</f>
        <v>middel</v>
      </c>
      <c r="Y31" s="330">
        <v>-26382882.309999999</v>
      </c>
      <c r="Z31" s="329" cm="1">
        <f t="array" ref="Z31">IF(W31=C$63*3+1,D$39,IF(W31&gt;C$63*3,"", IF(Y31&gt;0,INDEX(F$43:F$62,V31),INDEX(D$43:D$62,V31))))</f>
        <v>120</v>
      </c>
      <c r="AA31" s="329" cm="1">
        <f t="array" ref="AA31">IF(W31=3*C$63+1,E$39-D$17,IF(W31&gt;3*C$63,"", INDEX(E$43:E$62,V31)-D$17))</f>
        <v>450</v>
      </c>
      <c r="AB31" s="339">
        <f t="shared" si="4"/>
        <v>8.2251160712058888E-2</v>
      </c>
      <c r="AC31" s="331" cm="1">
        <f t="array" ref="AC31:AD31">[1]!PureBendingDesign(AB31)*G$8/G$18</f>
        <v>3.6239879743810411E-3</v>
      </c>
      <c r="AD31" s="331">
        <v>0</v>
      </c>
      <c r="AE31" s="472" cm="1">
        <f t="array" ref="AE31">IF(W31=C$63*3+1,D$39,IF(W31&gt;C$63*3,"", INDEX(D$43:D$62,V31)))</f>
        <v>120</v>
      </c>
      <c r="AF31" s="472">
        <f t="shared" si="5"/>
        <v>195.69535061657621</v>
      </c>
      <c r="AG31" s="472">
        <f t="shared" si="6"/>
        <v>0</v>
      </c>
      <c r="AH31" s="329">
        <f t="shared" si="7"/>
        <v>0</v>
      </c>
      <c r="AI31" s="332">
        <f t="shared" si="8"/>
        <v>195.69535061657621</v>
      </c>
      <c r="AK31" s="261" t="str">
        <f t="shared" si="19"/>
        <v/>
      </c>
      <c r="AL31" s="302" t="str">
        <f t="shared" si="15"/>
        <v/>
      </c>
      <c r="AM31" s="299" t="str">
        <f t="shared" si="20"/>
        <v/>
      </c>
      <c r="AN31" s="302" t="str">
        <f t="shared" si="16"/>
        <v/>
      </c>
      <c r="AO31" s="299" t="str">
        <f t="shared" si="21"/>
        <v/>
      </c>
      <c r="AP31" s="299" t="str">
        <f t="shared" si="17"/>
        <v/>
      </c>
      <c r="AQ31" s="290" t="str">
        <f t="shared" si="22"/>
        <v/>
      </c>
      <c r="AS31" s="328" t="str">
        <f t="shared" si="46"/>
        <v/>
      </c>
      <c r="AT31" s="329">
        <f t="shared" si="29"/>
        <v>0</v>
      </c>
      <c r="AU31" s="330" t="e" cm="1">
        <f t="array" ref="AU31">AT31*C53/2-(INDEX(_xlfn.ANCHORARRAY(Y$5),AS31*3-2)-INDEX(_xlfn.ANCHORARRAY(Y$5),AS31*3))/C52</f>
        <v>#VALUE!</v>
      </c>
      <c r="AV31" s="330" t="e">
        <f t="shared" si="30"/>
        <v>#VALUE!</v>
      </c>
      <c r="AW31" s="330" t="str" cm="1">
        <f t="array" ref="AW31">IFERROR(MAX(ABS(AU31:AV31))*(C52-2*E52+2*D$17)/C52,"")</f>
        <v/>
      </c>
      <c r="AX31" s="336">
        <f t="shared" si="31"/>
        <v>0</v>
      </c>
      <c r="AY31" s="329" t="str">
        <f t="shared" si="32"/>
        <v/>
      </c>
      <c r="AZ31" s="329" t="str">
        <f t="shared" si="33"/>
        <v/>
      </c>
      <c r="BA31" s="336" t="e">
        <f t="shared" si="34"/>
        <v>#VALUE!</v>
      </c>
      <c r="BB31" s="336" t="str">
        <f t="shared" si="35"/>
        <v/>
      </c>
      <c r="BC31" s="336" t="str">
        <f t="shared" si="36"/>
        <v/>
      </c>
      <c r="BD31" s="329" t="str">
        <f t="shared" si="37"/>
        <v/>
      </c>
      <c r="BE31" s="336" t="str">
        <f t="shared" si="38"/>
        <v/>
      </c>
      <c r="BF31" s="336" t="str">
        <f t="shared" si="39"/>
        <v/>
      </c>
      <c r="BG31" s="338" t="str">
        <f t="shared" si="40"/>
        <v/>
      </c>
      <c r="BH31" s="336" t="str">
        <f t="shared" si="41"/>
        <v/>
      </c>
      <c r="BI31" s="336" t="str">
        <f t="shared" si="42"/>
        <v/>
      </c>
      <c r="BJ31" s="337" t="str">
        <f t="shared" si="43"/>
        <v/>
      </c>
      <c r="BL31" s="269" t="str">
        <f t="shared" si="44"/>
        <v/>
      </c>
      <c r="BM31" s="269" t="str">
        <f t="shared" si="1"/>
        <v/>
      </c>
      <c r="BN31" s="270">
        <f t="shared" ref="BN31" si="55">IFERROR(BN30,0)</f>
        <v>27340</v>
      </c>
      <c r="BO31" s="271">
        <f t="shared" si="54"/>
        <v>0</v>
      </c>
    </row>
    <row r="32" spans="2:67" x14ac:dyDescent="0.3">
      <c r="B32" s="260"/>
      <c r="C32" s="298"/>
      <c r="D32" s="298"/>
      <c r="E32" s="298"/>
      <c r="F32" s="298"/>
      <c r="G32" s="299"/>
      <c r="H32" s="299"/>
      <c r="I32" s="299"/>
      <c r="J32" s="299"/>
      <c r="K32" s="299"/>
      <c r="L32" s="299"/>
      <c r="M32" s="299"/>
      <c r="N32" s="299"/>
      <c r="O32" s="299"/>
      <c r="P32" s="299"/>
      <c r="Q32" s="299"/>
      <c r="R32" s="299"/>
      <c r="S32" s="299"/>
      <c r="T32" s="290"/>
      <c r="V32" s="328">
        <f t="shared" si="2"/>
        <v>9</v>
      </c>
      <c r="W32" s="329">
        <f t="shared" si="3"/>
        <v>27</v>
      </c>
      <c r="X32" s="329" t="str" cm="1">
        <f t="array" ref="X32">IF(W32&gt; C$63*3+1,"",IF(OR(W32=0, W32=C$63*3+1),"cantiliver",_xlfn.SWITCH(MOD(W32-1,3),0,"start",1,"middel",2,"end","")))</f>
        <v>end</v>
      </c>
      <c r="Y32" s="330">
        <v>0</v>
      </c>
      <c r="Z32" s="329" cm="1">
        <f t="array" ref="Z32">IF(W32=C$63*3+1,D$39,IF(W32&gt;C$63*3,"", IF(Y32&gt;0,INDEX(F$43:F$62,V32),INDEX(D$43:D$62,V32))))</f>
        <v>120</v>
      </c>
      <c r="AA32" s="329" cm="1">
        <f t="array" ref="AA32">IF(W32=3*C$63+1,E$39-D$17,IF(W32&gt;3*C$63,"", INDEX(E$43:E$62,V32)-D$17))</f>
        <v>450</v>
      </c>
      <c r="AB32" s="339">
        <f t="shared" si="4"/>
        <v>0</v>
      </c>
      <c r="AC32" s="331" cm="1">
        <f t="array" ref="AC32:AD32">[1]!PureBendingDesign(AB32)*G$8/G$18</f>
        <v>0</v>
      </c>
      <c r="AD32" s="331">
        <v>0</v>
      </c>
      <c r="AE32" s="472" cm="1">
        <f t="array" ref="AE32">IF(W32=C$63*3+1,D$39,IF(W32&gt;C$63*3,"", INDEX(D$43:D$62,V32)))</f>
        <v>120</v>
      </c>
      <c r="AF32" s="472">
        <f t="shared" si="5"/>
        <v>165.00000000000003</v>
      </c>
      <c r="AG32" s="472">
        <f t="shared" si="6"/>
        <v>0</v>
      </c>
      <c r="AH32" s="329">
        <f t="shared" si="7"/>
        <v>0</v>
      </c>
      <c r="AI32" s="332">
        <f t="shared" si="8"/>
        <v>165.00000000000003</v>
      </c>
      <c r="AK32" s="261" t="str">
        <f t="shared" si="19"/>
        <v/>
      </c>
      <c r="AL32" s="302" t="str">
        <f t="shared" si="15"/>
        <v/>
      </c>
      <c r="AM32" s="299" t="str">
        <f t="shared" si="20"/>
        <v/>
      </c>
      <c r="AN32" s="302" t="str">
        <f t="shared" si="16"/>
        <v/>
      </c>
      <c r="AO32" s="299" t="str">
        <f t="shared" si="21"/>
        <v/>
      </c>
      <c r="AP32" s="299" t="str">
        <f t="shared" si="17"/>
        <v/>
      </c>
      <c r="AQ32" s="290" t="str">
        <f t="shared" si="22"/>
        <v/>
      </c>
      <c r="AS32" s="328" t="str">
        <f t="shared" si="46"/>
        <v/>
      </c>
      <c r="AT32" s="329">
        <f t="shared" si="29"/>
        <v>0</v>
      </c>
      <c r="AU32" s="330" t="e" cm="1">
        <f t="array" ref="AU32">AT32*C54/2-(INDEX(_xlfn.ANCHORARRAY(Y$5),AS32*3-2)-INDEX(_xlfn.ANCHORARRAY(Y$5),AS32*3))/C53</f>
        <v>#VALUE!</v>
      </c>
      <c r="AV32" s="330" t="e">
        <f t="shared" si="30"/>
        <v>#VALUE!</v>
      </c>
      <c r="AW32" s="330" t="str" cm="1">
        <f t="array" ref="AW32">IFERROR(MAX(ABS(AU32:AV32))*(C53-2*E53+2*D$17)/C53,"")</f>
        <v/>
      </c>
      <c r="AX32" s="336">
        <f t="shared" si="31"/>
        <v>0</v>
      </c>
      <c r="AY32" s="329" t="str">
        <f t="shared" si="32"/>
        <v/>
      </c>
      <c r="AZ32" s="329" t="str">
        <f t="shared" si="33"/>
        <v/>
      </c>
      <c r="BA32" s="336" t="e">
        <f t="shared" si="34"/>
        <v>#VALUE!</v>
      </c>
      <c r="BB32" s="336" t="str">
        <f t="shared" si="35"/>
        <v/>
      </c>
      <c r="BC32" s="336" t="str">
        <f t="shared" si="36"/>
        <v/>
      </c>
      <c r="BD32" s="329" t="str">
        <f t="shared" si="37"/>
        <v/>
      </c>
      <c r="BE32" s="336" t="str">
        <f t="shared" si="38"/>
        <v/>
      </c>
      <c r="BF32" s="336" t="str">
        <f t="shared" si="39"/>
        <v/>
      </c>
      <c r="BG32" s="338" t="str">
        <f t="shared" si="40"/>
        <v/>
      </c>
      <c r="BH32" s="336" t="str">
        <f t="shared" si="41"/>
        <v/>
      </c>
      <c r="BI32" s="336" t="str">
        <f t="shared" si="42"/>
        <v/>
      </c>
      <c r="BJ32" s="337" t="str">
        <f t="shared" si="43"/>
        <v/>
      </c>
      <c r="BL32" s="269" t="str">
        <f t="shared" si="44"/>
        <v/>
      </c>
      <c r="BM32" s="269" t="str">
        <f t="shared" si="1"/>
        <v/>
      </c>
      <c r="BN32" s="270">
        <f t="shared" ref="BN32" si="56">IFERROR((BN33+BN31)/2,0)</f>
        <v>13670</v>
      </c>
      <c r="BO32" s="269" t="str" cm="1">
        <f t="array" ref="BO32">IFERROR((INDEX(S$43:S$62,BM32)+INDEX(T$43:T$62,BM32))*INDEX(C$43:C$62,BM32)*INDEX(C$43:C$62,BM32)/8,"")</f>
        <v/>
      </c>
    </row>
    <row r="33" spans="1:67" x14ac:dyDescent="0.3">
      <c r="B33" s="260"/>
      <c r="C33" s="298"/>
      <c r="D33" s="298"/>
      <c r="E33" s="298"/>
      <c r="F33" s="298"/>
      <c r="G33" s="299"/>
      <c r="H33" s="299"/>
      <c r="I33" s="299"/>
      <c r="J33" s="299"/>
      <c r="K33" s="299"/>
      <c r="L33" s="299"/>
      <c r="M33" s="299"/>
      <c r="N33" s="299"/>
      <c r="O33" s="299"/>
      <c r="P33" s="299"/>
      <c r="Q33" s="299"/>
      <c r="R33" s="299"/>
      <c r="S33" s="299"/>
      <c r="T33" s="290"/>
      <c r="V33" s="328" t="str">
        <f t="shared" si="2"/>
        <v>Cantiliver</v>
      </c>
      <c r="W33" s="329">
        <f t="shared" si="3"/>
        <v>28</v>
      </c>
      <c r="X33" s="329" t="str" cm="1">
        <f t="array" ref="X33">IF(W33&gt; C$63*3+1,"",IF(OR(W33=0, W33=C$63*3+1),"cantiliver",_xlfn.SWITCH(MOD(W33-1,3),0,"start",1,"middel",2,"end","")))</f>
        <v>cantiliver</v>
      </c>
      <c r="Y33" s="330">
        <v>0</v>
      </c>
      <c r="Z33" s="329" cm="1">
        <f t="array" ref="Z33">IF(W33=C$63*3+1,D$39,IF(W33&gt;C$63*3,"", IF(Y33&gt;0,INDEX(F$43:F$62,V33),INDEX(D$43:D$62,V33))))</f>
        <v>120</v>
      </c>
      <c r="AA33" s="329" cm="1">
        <f t="array" ref="AA33">IF(W33=3*C$63+1,E$39-D$17,IF(W33&gt;3*C$63,"", INDEX(E$43:E$62,V33)-D$17))</f>
        <v>450</v>
      </c>
      <c r="AB33" s="339">
        <f t="shared" si="4"/>
        <v>0</v>
      </c>
      <c r="AC33" s="331" cm="1">
        <f t="array" ref="AC33:AD33">[1]!PureBendingDesign(AB33)*G$8/G$18</f>
        <v>0</v>
      </c>
      <c r="AD33" s="331">
        <v>0</v>
      </c>
      <c r="AE33" s="472" cm="1">
        <f t="array" ref="AE33">IF(W33=C$63*3+1,D$39,IF(W33&gt;C$63*3,"", INDEX(D$43:D$62,V33)))</f>
        <v>120</v>
      </c>
      <c r="AF33" s="472">
        <f t="shared" si="5"/>
        <v>165.00000000000003</v>
      </c>
      <c r="AG33" s="472">
        <f t="shared" si="6"/>
        <v>0</v>
      </c>
      <c r="AH33" s="329">
        <f t="shared" si="7"/>
        <v>0</v>
      </c>
      <c r="AI33" s="332">
        <f t="shared" si="8"/>
        <v>165.00000000000003</v>
      </c>
      <c r="AK33" s="261" t="str">
        <f t="shared" si="19"/>
        <v/>
      </c>
      <c r="AL33" s="302" t="str">
        <f t="shared" si="15"/>
        <v/>
      </c>
      <c r="AM33" s="299" t="str">
        <f t="shared" si="20"/>
        <v/>
      </c>
      <c r="AN33" s="302" t="str">
        <f t="shared" si="16"/>
        <v/>
      </c>
      <c r="AO33" s="299" t="str">
        <f t="shared" si="21"/>
        <v/>
      </c>
      <c r="AP33" s="299" t="str">
        <f t="shared" si="17"/>
        <v/>
      </c>
      <c r="AQ33" s="290" t="str">
        <f t="shared" si="22"/>
        <v/>
      </c>
      <c r="AS33" s="328" t="str">
        <f t="shared" si="46"/>
        <v/>
      </c>
      <c r="AT33" s="329">
        <f t="shared" si="29"/>
        <v>0</v>
      </c>
      <c r="AU33" s="330" t="e" cm="1">
        <f t="array" ref="AU33">AT33*C55/2-(INDEX(_xlfn.ANCHORARRAY(Y$5),AS33*3-2)-INDEX(_xlfn.ANCHORARRAY(Y$5),AS33*3))/C54</f>
        <v>#VALUE!</v>
      </c>
      <c r="AV33" s="330" t="e">
        <f t="shared" si="30"/>
        <v>#VALUE!</v>
      </c>
      <c r="AW33" s="330" t="str" cm="1">
        <f t="array" ref="AW33">IFERROR(MAX(ABS(AU33:AV33))*(C54-2*E54+2*D$17)/C54,"")</f>
        <v/>
      </c>
      <c r="AX33" s="336">
        <f t="shared" si="31"/>
        <v>0</v>
      </c>
      <c r="AY33" s="329" t="str">
        <f t="shared" si="32"/>
        <v/>
      </c>
      <c r="AZ33" s="329" t="str">
        <f t="shared" si="33"/>
        <v/>
      </c>
      <c r="BA33" s="336" t="e">
        <f t="shared" si="34"/>
        <v>#VALUE!</v>
      </c>
      <c r="BB33" s="336" t="str">
        <f t="shared" si="35"/>
        <v/>
      </c>
      <c r="BC33" s="336" t="str">
        <f t="shared" si="36"/>
        <v/>
      </c>
      <c r="BD33" s="329" t="str">
        <f t="shared" si="37"/>
        <v/>
      </c>
      <c r="BE33" s="336" t="str">
        <f t="shared" si="38"/>
        <v/>
      </c>
      <c r="BF33" s="336" t="str">
        <f t="shared" si="39"/>
        <v/>
      </c>
      <c r="BG33" s="338" t="str">
        <f t="shared" si="40"/>
        <v/>
      </c>
      <c r="BH33" s="336" t="str">
        <f t="shared" si="41"/>
        <v/>
      </c>
      <c r="BI33" s="336" t="str">
        <f t="shared" si="42"/>
        <v/>
      </c>
      <c r="BJ33" s="337" t="str">
        <f t="shared" si="43"/>
        <v/>
      </c>
      <c r="BL33" s="269" t="str">
        <f t="shared" si="44"/>
        <v/>
      </c>
      <c r="BM33" s="269" t="str">
        <f t="shared" si="1"/>
        <v/>
      </c>
      <c r="BN33" s="270" cm="1">
        <f t="array" ref="BN33">IFERROR(INDEX(C$43:C$62,BM33)+BN30,0)</f>
        <v>0</v>
      </c>
      <c r="BO33" s="271">
        <f t="shared" ref="BO33:BO34" si="57">IFERROR(Y35,"")</f>
        <v>0</v>
      </c>
    </row>
    <row r="34" spans="1:67" x14ac:dyDescent="0.3">
      <c r="B34" s="260"/>
      <c r="C34" s="298"/>
      <c r="D34" s="298"/>
      <c r="E34" s="298"/>
      <c r="F34" s="298"/>
      <c r="G34" s="299"/>
      <c r="H34" s="299"/>
      <c r="I34" s="299"/>
      <c r="J34" s="299"/>
      <c r="K34" s="299"/>
      <c r="L34" s="299"/>
      <c r="M34" s="299"/>
      <c r="N34" s="299"/>
      <c r="O34" s="299"/>
      <c r="P34" s="299"/>
      <c r="Q34" s="299"/>
      <c r="R34" s="299"/>
      <c r="S34" s="299"/>
      <c r="T34" s="290"/>
      <c r="V34" s="328" t="str">
        <f t="shared" si="2"/>
        <v/>
      </c>
      <c r="W34" s="329" t="str">
        <f t="shared" si="3"/>
        <v/>
      </c>
      <c r="X34" s="329" t="str" cm="1">
        <f t="array" ref="X34">IF(W34&gt; C$63*3+1,"",IF(OR(W34=0, W34=C$63*3+1),"cantiliver",_xlfn.SWITCH(MOD(W34-1,3),0,"start",1,"middel",2,"end","")))</f>
        <v/>
      </c>
      <c r="Y34" s="330"/>
      <c r="Z34" s="329" t="str" cm="1">
        <f t="array" ref="Z34">IF(W34=C$63*3+1,D$39,IF(W34&gt;C$63*3,"", IF(Y34&gt;0,INDEX(F$43:F$62,V34),INDEX(D$43:D$62,V34))))</f>
        <v/>
      </c>
      <c r="AA34" s="329" t="str" cm="1">
        <f t="array" ref="AA34">IF(W34=3*C$63+1,E$39-D$17,IF(W34&gt;3*C$63,"", INDEX(E$43:E$62,V34)-D$17))</f>
        <v/>
      </c>
      <c r="AB34" s="339" t="str">
        <f t="shared" si="4"/>
        <v/>
      </c>
      <c r="AC34" s="331" t="e" cm="1">
        <f t="array" ref="AC34">[1]!PureBendingDesign(AB34)*G$8/G$18</f>
        <v>#VALUE!</v>
      </c>
      <c r="AD34" s="331"/>
      <c r="AE34" s="472" t="str" cm="1">
        <f t="array" ref="AE34">IF(W34=C$63*3+1,D$39,IF(W34&gt;C$63*3,"", INDEX(D$43:D$62,V34)))</f>
        <v/>
      </c>
      <c r="AF34" s="472" t="e">
        <f t="shared" si="5"/>
        <v>#VALUE!</v>
      </c>
      <c r="AG34" s="472" t="e">
        <f t="shared" si="6"/>
        <v>#VALUE!</v>
      </c>
      <c r="AH34" s="329" t="str">
        <f t="shared" si="7"/>
        <v/>
      </c>
      <c r="AI34" s="332" t="str">
        <f t="shared" si="8"/>
        <v/>
      </c>
      <c r="AK34" s="261"/>
      <c r="AL34" s="302"/>
      <c r="AM34" s="299"/>
      <c r="AN34" s="302"/>
      <c r="AO34" s="299"/>
      <c r="AP34" s="299"/>
      <c r="AQ34" s="290"/>
      <c r="AS34" s="328" t="str">
        <f t="shared" si="46"/>
        <v/>
      </c>
      <c r="AT34" s="329">
        <f t="shared" si="29"/>
        <v>0</v>
      </c>
      <c r="AU34" s="330" t="e" cm="1">
        <f t="array" ref="AU34">AT34*C56/2-(INDEX(_xlfn.ANCHORARRAY(Y$5),AS34*3-2)-INDEX(_xlfn.ANCHORARRAY(Y$5),AS34*3))/C55</f>
        <v>#VALUE!</v>
      </c>
      <c r="AV34" s="330" t="e">
        <f t="shared" si="30"/>
        <v>#VALUE!</v>
      </c>
      <c r="AW34" s="330" t="str" cm="1">
        <f t="array" ref="AW34">IFERROR(MAX(ABS(AU34:AV34))*(C55-2*E55+2*D$17)/C55,"")</f>
        <v/>
      </c>
      <c r="AX34" s="336">
        <f t="shared" si="31"/>
        <v>0</v>
      </c>
      <c r="AY34" s="329" t="str">
        <f t="shared" si="32"/>
        <v/>
      </c>
      <c r="AZ34" s="329" t="str">
        <f t="shared" si="33"/>
        <v/>
      </c>
      <c r="BA34" s="336" t="e">
        <f t="shared" si="34"/>
        <v>#VALUE!</v>
      </c>
      <c r="BB34" s="336" t="str">
        <f t="shared" si="35"/>
        <v/>
      </c>
      <c r="BC34" s="336" t="str">
        <f t="shared" si="36"/>
        <v/>
      </c>
      <c r="BD34" s="329" t="str">
        <f t="shared" si="37"/>
        <v/>
      </c>
      <c r="BE34" s="336" t="str">
        <f t="shared" si="38"/>
        <v/>
      </c>
      <c r="BF34" s="336" t="str">
        <f t="shared" si="39"/>
        <v/>
      </c>
      <c r="BG34" s="338" t="str">
        <f t="shared" si="40"/>
        <v/>
      </c>
      <c r="BH34" s="336" t="str">
        <f t="shared" si="41"/>
        <v/>
      </c>
      <c r="BI34" s="336" t="str">
        <f t="shared" si="42"/>
        <v/>
      </c>
      <c r="BJ34" s="337" t="str">
        <f t="shared" si="43"/>
        <v/>
      </c>
      <c r="BL34" s="269" t="str">
        <f t="shared" si="44"/>
        <v/>
      </c>
      <c r="BM34" s="269" t="str">
        <f t="shared" si="1"/>
        <v/>
      </c>
      <c r="BN34" s="270">
        <f t="shared" ref="BN34" si="58">IFERROR(BN33,0)</f>
        <v>0</v>
      </c>
      <c r="BO34" s="271">
        <f t="shared" si="57"/>
        <v>0</v>
      </c>
    </row>
    <row r="35" spans="1:67" x14ac:dyDescent="0.3">
      <c r="B35" s="260"/>
      <c r="C35" s="298"/>
      <c r="D35" s="298"/>
      <c r="E35" s="298"/>
      <c r="F35" s="298"/>
      <c r="G35" s="299"/>
      <c r="H35" s="299"/>
      <c r="I35" s="299"/>
      <c r="J35" s="299"/>
      <c r="K35" s="299"/>
      <c r="L35" s="299"/>
      <c r="M35" s="299"/>
      <c r="N35" s="299"/>
      <c r="O35" s="299"/>
      <c r="P35" s="299"/>
      <c r="Q35" s="299"/>
      <c r="R35" s="299"/>
      <c r="S35" s="299"/>
      <c r="T35" s="290"/>
      <c r="V35" s="328" t="str">
        <f t="shared" si="2"/>
        <v/>
      </c>
      <c r="W35" s="329" t="str">
        <f t="shared" si="3"/>
        <v/>
      </c>
      <c r="X35" s="329" t="str" cm="1">
        <f t="array" ref="X35">IF(W35&gt; C$63*3+1,"",IF(OR(W35=0, W35=C$63*3+1),"cantiliver",_xlfn.SWITCH(MOD(W35-1,3),0,"start",1,"middel",2,"end","")))</f>
        <v/>
      </c>
      <c r="Y35" s="330"/>
      <c r="Z35" s="329" t="str" cm="1">
        <f t="array" ref="Z35">IF(W35=C$63*3+1,D$39,IF(W35&gt;C$63*3,"", IF(Y35&gt;0,INDEX(F$43:F$62,V35),INDEX(D$43:D$62,V35))))</f>
        <v/>
      </c>
      <c r="AA35" s="329" t="str" cm="1">
        <f t="array" ref="AA35">IF(W35=3*C$63+1,E$39-D$17,IF(W35&gt;3*C$63,"", INDEX(E$43:E$62,V35)-D$17))</f>
        <v/>
      </c>
      <c r="AB35" s="339" t="str">
        <f t="shared" si="4"/>
        <v/>
      </c>
      <c r="AC35" s="331" t="e" cm="1">
        <f t="array" ref="AC35">[1]!PureBendingDesign(AB35)*G$8/G$18</f>
        <v>#VALUE!</v>
      </c>
      <c r="AD35" s="331"/>
      <c r="AE35" s="472" t="str" cm="1">
        <f t="array" ref="AE35">IF(W35=C$63*3+1,D$39,IF(W35&gt;C$63*3,"", INDEX(D$43:D$62,V35)))</f>
        <v/>
      </c>
      <c r="AF35" s="472" t="e">
        <f t="shared" si="5"/>
        <v>#VALUE!</v>
      </c>
      <c r="AG35" s="472" t="e">
        <f t="shared" si="6"/>
        <v>#VALUE!</v>
      </c>
      <c r="AH35" s="329" t="str">
        <f t="shared" si="7"/>
        <v/>
      </c>
      <c r="AI35" s="332" t="str">
        <f t="shared" si="8"/>
        <v/>
      </c>
      <c r="AK35" s="261"/>
      <c r="AL35" s="303"/>
      <c r="AM35" s="302"/>
      <c r="AN35" s="302"/>
      <c r="AO35" s="299"/>
      <c r="AP35" s="299"/>
      <c r="AQ35" s="290"/>
      <c r="AS35" s="328" t="str">
        <f t="shared" si="46"/>
        <v/>
      </c>
      <c r="AT35" s="329">
        <f t="shared" ref="AT35:AT37" si="59">S56+T56</f>
        <v>0</v>
      </c>
      <c r="AU35" s="330" t="e" cm="1">
        <f t="array" ref="AU35">AT35*C57/2-(INDEX(_xlfn.ANCHORARRAY(Y$5),AS35*3-2)-INDEX(_xlfn.ANCHORARRAY(Y$5),AS35*3))/C56</f>
        <v>#VALUE!</v>
      </c>
      <c r="AV35" s="330" t="e">
        <f t="shared" ref="AV35:AV37" si="60">AT35*C57-AU35</f>
        <v>#VALUE!</v>
      </c>
      <c r="AW35" s="330" t="str" cm="1">
        <f t="array" ref="AW35">IFERROR(MAX(ABS(AU35:AV35))*(C56-2*E56+2*D$17)/C56,"")</f>
        <v/>
      </c>
      <c r="AX35" s="336">
        <f t="shared" ref="AX35:AX37" si="61">(D56*(E56-D$17))</f>
        <v>0</v>
      </c>
      <c r="AY35" s="329" t="str">
        <f t="shared" ref="AY35:AY37" si="62">IFERROR(AW35/AX35,"")</f>
        <v/>
      </c>
      <c r="AZ35" s="329" t="str">
        <f t="shared" ref="AZ35:AZ37" si="63">IFERROR(MAX(AY35-G$10,0),"")</f>
        <v/>
      </c>
      <c r="BA35" s="336" t="e">
        <f t="shared" ref="BA35:BA37" si="64">AZ35*AX35</f>
        <v>#VALUE!</v>
      </c>
      <c r="BB35" s="336" t="str">
        <f t="shared" ref="BB35:BB37" si="65">IF(FLOOR((D56-AY$9*2)/AY$9,1)+2=0,"",FLOOR((D56-AY$9*2)/AY$9,1)+2)</f>
        <v/>
      </c>
      <c r="BC35" s="336" t="str">
        <f t="shared" ref="BC35:BC37" si="66">IFERROR(BA35/BB35/G$19/(E56-D$17),"")</f>
        <v/>
      </c>
      <c r="BD35" s="329" t="str">
        <f t="shared" ref="BD35:BD37" si="67">IF(AS35 ="","",AY$7)</f>
        <v/>
      </c>
      <c r="BE35" s="336" t="str">
        <f t="shared" ref="BE35:BE37" si="68">IFERROR(IF(AZ35=0,AY$5,MAX(AY$6,MIN(AY$5,BB$7/BC35))),"")</f>
        <v/>
      </c>
      <c r="BF35" s="336" t="str">
        <f t="shared" ref="BF35:BF37" si="69">IFERROR(BC35*BE35,"")</f>
        <v/>
      </c>
      <c r="BG35" s="338" t="str">
        <f t="shared" ref="BG35:BG37" si="70">IF(AS35="","",IFERROR(MIN(AY$5, BH35*BH35*3.14/4/BC35),AY$5))</f>
        <v/>
      </c>
      <c r="BH35" s="336" t="str">
        <f t="shared" ref="BH35:BH37" si="71">IF(AS35="","",IF(BF35&gt;BB$7,AY$8,AY$7))</f>
        <v/>
      </c>
      <c r="BI35" s="336" t="str">
        <f t="shared" ref="BI35:BI37" si="72">IFERROR(CEILING(AY$10/BG35,1),"")</f>
        <v/>
      </c>
      <c r="BJ35" s="337" t="str">
        <f t="shared" ref="BJ35:BJ37" si="73">IF(AND(NOT(AS35=""), AY35&gt;G$9),"UNSAFE","")</f>
        <v/>
      </c>
      <c r="BL35" s="269" t="str">
        <f t="shared" si="44"/>
        <v/>
      </c>
      <c r="BM35" s="269" t="str">
        <f t="shared" ref="BM35:BM66" si="74">IFERROR(ROUNDDOWN(BL35/3,0)+1,"")</f>
        <v/>
      </c>
      <c r="BN35" s="270">
        <f t="shared" ref="BN35" si="75">IFERROR((BN36+BN34)/2,0)</f>
        <v>0</v>
      </c>
      <c r="BO35" s="269" t="str" cm="1">
        <f t="array" ref="BO35">IFERROR((INDEX(S$43:S$62,BM35)+INDEX(T$43:T$62,BM35))*INDEX(C$43:C$62,BM35)*INDEX(C$43:C$62,BM35)/8,"")</f>
        <v/>
      </c>
    </row>
    <row r="36" spans="1:67" ht="14.4" customHeight="1" x14ac:dyDescent="0.3">
      <c r="B36" s="598" t="s">
        <v>280</v>
      </c>
      <c r="C36" s="599"/>
      <c r="D36" s="302"/>
      <c r="E36" s="299"/>
      <c r="F36" s="299"/>
      <c r="G36" s="299"/>
      <c r="H36" s="299"/>
      <c r="I36" s="299"/>
      <c r="J36" s="299"/>
      <c r="K36" s="299"/>
      <c r="L36" s="299"/>
      <c r="M36" s="299"/>
      <c r="N36" s="299"/>
      <c r="O36" s="299"/>
      <c r="P36" s="299"/>
      <c r="Q36" s="299"/>
      <c r="R36" s="299"/>
      <c r="S36" s="299"/>
      <c r="T36" s="258"/>
      <c r="V36" s="328" t="str">
        <f t="shared" si="2"/>
        <v/>
      </c>
      <c r="W36" s="329" t="str">
        <f t="shared" si="3"/>
        <v/>
      </c>
      <c r="X36" s="329" t="str" cm="1">
        <f t="array" ref="X36">IF(W36&gt; C$63*3+1,"",IF(OR(W36=0, W36=C$63*3+1),"cantiliver",_xlfn.SWITCH(MOD(W36-1,3),0,"start",1,"middel",2,"end","")))</f>
        <v/>
      </c>
      <c r="Y36" s="330"/>
      <c r="Z36" s="329" t="str" cm="1">
        <f t="array" ref="Z36">IF(W36=C$63*3+1,D$39,IF(W36&gt;C$63*3,"", IF(Y36&gt;0,INDEX(F$43:F$62,V36),INDEX(D$43:D$62,V36))))</f>
        <v/>
      </c>
      <c r="AA36" s="329" t="str" cm="1">
        <f t="array" ref="AA36">IF(W36=3*C$63+1,E$39-D$17,IF(W36&gt;3*C$63,"", INDEX(E$43:E$62,V36)-D$17))</f>
        <v/>
      </c>
      <c r="AB36" s="339" t="str">
        <f t="shared" si="4"/>
        <v/>
      </c>
      <c r="AC36" s="331" t="e" cm="1">
        <f t="array" ref="AC36">[1]!PureBendingDesign(AB36)*G$8/G$18</f>
        <v>#VALUE!</v>
      </c>
      <c r="AD36" s="331"/>
      <c r="AE36" s="472" t="str" cm="1">
        <f t="array" ref="AE36">IF(W36=C$63*3+1,D$39,IF(W36&gt;C$63*3,"", INDEX(D$43:D$62,V36)))</f>
        <v/>
      </c>
      <c r="AF36" s="472" t="e">
        <f t="shared" si="5"/>
        <v>#VALUE!</v>
      </c>
      <c r="AG36" s="472" t="e">
        <f t="shared" si="6"/>
        <v>#VALUE!</v>
      </c>
      <c r="AH36" s="329" t="str">
        <f t="shared" si="7"/>
        <v/>
      </c>
      <c r="AI36" s="332" t="str">
        <f t="shared" si="8"/>
        <v/>
      </c>
      <c r="AK36" s="261"/>
      <c r="AL36" s="303"/>
      <c r="AM36" s="302"/>
      <c r="AN36" s="302"/>
      <c r="AO36" s="299"/>
      <c r="AP36" s="299"/>
      <c r="AQ36" s="290"/>
      <c r="AS36" s="328" t="str">
        <f t="shared" si="46"/>
        <v/>
      </c>
      <c r="AT36" s="329">
        <f t="shared" si="59"/>
        <v>0</v>
      </c>
      <c r="AU36" s="330" t="e" cm="1">
        <f t="array" ref="AU36">AT36*C58/2-(INDEX(_xlfn.ANCHORARRAY(Y$5),AS36*3-2)-INDEX(_xlfn.ANCHORARRAY(Y$5),AS36*3))/C57</f>
        <v>#VALUE!</v>
      </c>
      <c r="AV36" s="330" t="e">
        <f t="shared" si="60"/>
        <v>#VALUE!</v>
      </c>
      <c r="AW36" s="330" t="str" cm="1">
        <f t="array" ref="AW36">IFERROR(MAX(ABS(AU36:AV36))*(C57-2*E57+2*D$17)/C57,"")</f>
        <v/>
      </c>
      <c r="AX36" s="336">
        <f t="shared" si="61"/>
        <v>0</v>
      </c>
      <c r="AY36" s="329" t="str">
        <f t="shared" si="62"/>
        <v/>
      </c>
      <c r="AZ36" s="329" t="str">
        <f t="shared" si="63"/>
        <v/>
      </c>
      <c r="BA36" s="336" t="e">
        <f t="shared" si="64"/>
        <v>#VALUE!</v>
      </c>
      <c r="BB36" s="336" t="str">
        <f t="shared" si="65"/>
        <v/>
      </c>
      <c r="BC36" s="336" t="str">
        <f t="shared" si="66"/>
        <v/>
      </c>
      <c r="BD36" s="329" t="str">
        <f t="shared" si="67"/>
        <v/>
      </c>
      <c r="BE36" s="336" t="str">
        <f t="shared" si="68"/>
        <v/>
      </c>
      <c r="BF36" s="336" t="str">
        <f t="shared" si="69"/>
        <v/>
      </c>
      <c r="BG36" s="338" t="str">
        <f t="shared" si="70"/>
        <v/>
      </c>
      <c r="BH36" s="336" t="str">
        <f t="shared" si="71"/>
        <v/>
      </c>
      <c r="BI36" s="336" t="str">
        <f t="shared" si="72"/>
        <v/>
      </c>
      <c r="BJ36" s="337" t="str">
        <f t="shared" si="73"/>
        <v/>
      </c>
      <c r="BL36" s="269" t="str">
        <f t="shared" si="44"/>
        <v/>
      </c>
      <c r="BM36" s="269" t="str">
        <f t="shared" si="74"/>
        <v/>
      </c>
      <c r="BN36" s="270" cm="1">
        <f t="array" ref="BN36">IFERROR(INDEX(C$43:C$62,BM36)+BN33,0)</f>
        <v>0</v>
      </c>
      <c r="BO36" s="271">
        <f t="shared" ref="BO36:BO37" si="76">IFERROR(Y38,"")</f>
        <v>0</v>
      </c>
    </row>
    <row r="37" spans="1:67" ht="15" customHeight="1" x14ac:dyDescent="0.3">
      <c r="B37" s="273"/>
      <c r="C37" s="302" t="s">
        <v>185</v>
      </c>
      <c r="D37" s="299" t="s">
        <v>4</v>
      </c>
      <c r="E37" s="299" t="s">
        <v>71</v>
      </c>
      <c r="F37" s="299" t="s">
        <v>278</v>
      </c>
      <c r="G37" s="299" t="s">
        <v>282</v>
      </c>
      <c r="H37" s="299"/>
      <c r="I37" s="299"/>
      <c r="J37" s="299" t="s">
        <v>206</v>
      </c>
      <c r="K37" s="299" t="s">
        <v>205</v>
      </c>
      <c r="L37" s="299"/>
      <c r="M37" s="299"/>
      <c r="N37" s="299"/>
      <c r="O37" s="299"/>
      <c r="P37" s="299"/>
      <c r="Q37" s="299"/>
      <c r="R37" s="299"/>
      <c r="S37" s="299"/>
      <c r="T37" s="258"/>
      <c r="V37" s="328" t="str">
        <f t="shared" si="2"/>
        <v/>
      </c>
      <c r="W37" s="329" t="str">
        <f t="shared" si="3"/>
        <v/>
      </c>
      <c r="X37" s="329" t="str" cm="1">
        <f t="array" ref="X37">IF(W37&gt; C$63*3+1,"",IF(OR(W37=0, W37=C$63*3+1),"cantiliver",_xlfn.SWITCH(MOD(W37-1,3),0,"start",1,"middel",2,"end","")))</f>
        <v/>
      </c>
      <c r="Y37" s="330"/>
      <c r="Z37" s="329" t="str" cm="1">
        <f t="array" ref="Z37">IF(W37=C$63*3+1,D$39,IF(W37&gt;C$63*3,"", IF(Y37&gt;0,INDEX(F$43:F$62,V37),INDEX(D$43:D$62,V37))))</f>
        <v/>
      </c>
      <c r="AA37" s="329" t="str" cm="1">
        <f t="array" ref="AA37">IF(W37=3*C$63+1,E$39-D$17,IF(W37&gt;3*C$63,"", INDEX(E$43:E$62,V37)-D$17))</f>
        <v/>
      </c>
      <c r="AB37" s="339" t="str">
        <f t="shared" si="4"/>
        <v/>
      </c>
      <c r="AC37" s="331" t="e" cm="1">
        <f t="array" ref="AC37">[1]!PureBendingDesign(AB37)*G$8/G$18</f>
        <v>#VALUE!</v>
      </c>
      <c r="AD37" s="331"/>
      <c r="AE37" s="472" t="str" cm="1">
        <f t="array" ref="AE37">IF(W37=C$63*3+1,D$39,IF(W37&gt;C$63*3,"", INDEX(D$43:D$62,V37)))</f>
        <v/>
      </c>
      <c r="AF37" s="472" t="e">
        <f t="shared" si="5"/>
        <v>#VALUE!</v>
      </c>
      <c r="AG37" s="472" t="e">
        <f t="shared" si="6"/>
        <v>#VALUE!</v>
      </c>
      <c r="AH37" s="329" t="str">
        <f t="shared" si="7"/>
        <v/>
      </c>
      <c r="AI37" s="332" t="str">
        <f t="shared" si="8"/>
        <v/>
      </c>
      <c r="AK37" s="261"/>
      <c r="AL37" s="299"/>
      <c r="AM37" s="302"/>
      <c r="AN37" s="302"/>
      <c r="AO37" s="299"/>
      <c r="AP37" s="299"/>
      <c r="AQ37" s="290"/>
      <c r="AS37" s="328" t="str">
        <f t="shared" si="46"/>
        <v/>
      </c>
      <c r="AT37" s="329">
        <f t="shared" si="59"/>
        <v>0</v>
      </c>
      <c r="AU37" s="330" t="e" cm="1">
        <f t="array" ref="AU37">AT37*C59/2-(INDEX(_xlfn.ANCHORARRAY(Y$5),AS37*3-2)-INDEX(_xlfn.ANCHORARRAY(Y$5),AS37*3))/C58</f>
        <v>#VALUE!</v>
      </c>
      <c r="AV37" s="330" t="e">
        <f t="shared" si="60"/>
        <v>#VALUE!</v>
      </c>
      <c r="AW37" s="330" t="str" cm="1">
        <f t="array" ref="AW37">IFERROR(MAX(ABS(AU37:AV37))*(C58-2*E58+2*D$17)/C58,"")</f>
        <v/>
      </c>
      <c r="AX37" s="336">
        <f t="shared" si="61"/>
        <v>0</v>
      </c>
      <c r="AY37" s="329" t="str">
        <f t="shared" si="62"/>
        <v/>
      </c>
      <c r="AZ37" s="329" t="str">
        <f t="shared" si="63"/>
        <v/>
      </c>
      <c r="BA37" s="336" t="e">
        <f t="shared" si="64"/>
        <v>#VALUE!</v>
      </c>
      <c r="BB37" s="336" t="str">
        <f t="shared" si="65"/>
        <v/>
      </c>
      <c r="BC37" s="336" t="str">
        <f t="shared" si="66"/>
        <v/>
      </c>
      <c r="BD37" s="329" t="str">
        <f t="shared" si="67"/>
        <v/>
      </c>
      <c r="BE37" s="336" t="str">
        <f t="shared" si="68"/>
        <v/>
      </c>
      <c r="BF37" s="336" t="str">
        <f t="shared" si="69"/>
        <v/>
      </c>
      <c r="BG37" s="338" t="str">
        <f t="shared" si="70"/>
        <v/>
      </c>
      <c r="BH37" s="336" t="str">
        <f t="shared" si="71"/>
        <v/>
      </c>
      <c r="BI37" s="336" t="str">
        <f t="shared" si="72"/>
        <v/>
      </c>
      <c r="BJ37" s="337" t="str">
        <f t="shared" si="73"/>
        <v/>
      </c>
      <c r="BL37" s="269" t="str">
        <f t="shared" si="44"/>
        <v/>
      </c>
      <c r="BM37" s="269" t="str">
        <f t="shared" si="74"/>
        <v/>
      </c>
      <c r="BN37" s="270">
        <f t="shared" ref="BN37" si="77">IFERROR(BN36,0)</f>
        <v>0</v>
      </c>
      <c r="BO37" s="271">
        <f t="shared" si="76"/>
        <v>0</v>
      </c>
    </row>
    <row r="38" spans="1:67" s="271" customFormat="1" x14ac:dyDescent="0.3">
      <c r="A38" s="269"/>
      <c r="B38" s="261" t="s">
        <v>281</v>
      </c>
      <c r="C38" s="420">
        <v>0</v>
      </c>
      <c r="D38" s="421">
        <v>120</v>
      </c>
      <c r="E38" s="421">
        <v>500</v>
      </c>
      <c r="F38" s="421">
        <v>0</v>
      </c>
      <c r="G38" s="421">
        <v>0</v>
      </c>
      <c r="H38" s="422">
        <f>F38*D$14</f>
        <v>0</v>
      </c>
      <c r="I38" s="422">
        <f>G38*D$15</f>
        <v>0</v>
      </c>
      <c r="J38" s="422">
        <f>-H38*C38*C38/2</f>
        <v>0</v>
      </c>
      <c r="K38" s="422">
        <f>-I38*C38*C38/2</f>
        <v>0</v>
      </c>
      <c r="L38" s="321"/>
      <c r="M38" s="321"/>
      <c r="N38" s="299"/>
      <c r="O38" s="299"/>
      <c r="P38" s="299"/>
      <c r="Q38" s="299"/>
      <c r="R38" s="299"/>
      <c r="S38" s="299"/>
      <c r="T38" s="258"/>
      <c r="U38" s="267"/>
      <c r="V38" s="328" t="str">
        <f t="shared" ref="V38:V66" si="78">IF(W38=C$63*3+1,"Cantiliver",IF(W38&gt; C$63*3+1,"",FLOOR((W38-1)/3,1)+1))</f>
        <v/>
      </c>
      <c r="W38" s="329" t="str">
        <f t="shared" ref="W38:W66" si="79">IF(Y38="","",W37+1)</f>
        <v/>
      </c>
      <c r="X38" s="329" t="str" cm="1">
        <f t="array" ref="X38">IF(W38&gt; C$63*3+1,"",IF(OR(W38=0, W38=C$63*3+1),"cantiliver",_xlfn.SWITCH(MOD(W38-1,3),0,"start",1,"middel",2,"end","")))</f>
        <v/>
      </c>
      <c r="Y38" s="330"/>
      <c r="Z38" s="329" t="str" cm="1">
        <f t="array" ref="Z38">IF(W38=C$63*3+1,D$39,IF(W38&gt;C$63*3,"", IF(Y38&gt;0,INDEX(F$43:F$62,V38),INDEX(D$43:D$62,V38))))</f>
        <v/>
      </c>
      <c r="AA38" s="329" t="str" cm="1">
        <f t="array" ref="AA38">IF(W38=3*C$63+1,E$39-D$17,IF(W38&gt;3*C$63,"", INDEX(E$43:E$62,V38)-D$17))</f>
        <v/>
      </c>
      <c r="AB38" s="339" t="str">
        <f t="shared" ref="AB38:AB66" si="80">IFERROR(ABS(Y38)/Z38/AA38/AA38/G$8,"")</f>
        <v/>
      </c>
      <c r="AC38" s="331" t="e" cm="1">
        <f t="array" ref="AC38">[1]!PureBendingDesign(AB38)*G$8/G$18</f>
        <v>#VALUE!</v>
      </c>
      <c r="AD38" s="331"/>
      <c r="AE38" s="472" t="str" cm="1">
        <f t="array" ref="AE38">IF(W38=C$63*3+1,D$39,IF(W38&gt;C$63*3,"", INDEX(D$43:D$62,V38)))</f>
        <v/>
      </c>
      <c r="AF38" s="472" t="e">
        <f t="shared" si="5"/>
        <v>#VALUE!</v>
      </c>
      <c r="AG38" s="472" t="e">
        <f t="shared" si="6"/>
        <v>#VALUE!</v>
      </c>
      <c r="AH38" s="329" t="str">
        <f t="shared" si="7"/>
        <v/>
      </c>
      <c r="AI38" s="332" t="str">
        <f t="shared" si="8"/>
        <v/>
      </c>
      <c r="AK38" s="310"/>
      <c r="AL38" s="309"/>
      <c r="AM38" s="309"/>
      <c r="AN38" s="309"/>
      <c r="AO38" s="309"/>
      <c r="AP38" s="309"/>
      <c r="AQ38" s="311"/>
      <c r="AS38" s="328" t="str">
        <f t="shared" si="46"/>
        <v/>
      </c>
      <c r="AT38" s="329">
        <f t="shared" ref="AT38:AT41" si="81">S59+T59</f>
        <v>0</v>
      </c>
      <c r="AU38" s="330" t="e" cm="1">
        <f t="array" ref="AU38">AT38*C60/2-(INDEX(_xlfn.ANCHORARRAY(Y$5),AS38*3-2)-INDEX(_xlfn.ANCHORARRAY(Y$5),AS38*3))/C59</f>
        <v>#VALUE!</v>
      </c>
      <c r="AV38" s="330" t="e">
        <f t="shared" ref="AV38:AV41" si="82">AT38*C60-AU38</f>
        <v>#VALUE!</v>
      </c>
      <c r="AW38" s="330" t="str" cm="1">
        <f t="array" ref="AW38">IFERROR(MAX(ABS(AU38:AV38))*(C59-2*E59+2*D$17)/C59,"")</f>
        <v/>
      </c>
      <c r="AX38" s="336">
        <f t="shared" ref="AX38:AX41" si="83">(D59*(E59-D$17))</f>
        <v>0</v>
      </c>
      <c r="AY38" s="329" t="str">
        <f t="shared" ref="AY38:AY41" si="84">IFERROR(AW38/AX38,"")</f>
        <v/>
      </c>
      <c r="AZ38" s="329" t="str">
        <f t="shared" ref="AZ38:AZ41" si="85">IFERROR(MAX(AY38-G$10,0),"")</f>
        <v/>
      </c>
      <c r="BA38" s="336" t="e">
        <f t="shared" ref="BA38:BA41" si="86">AZ38*AX38</f>
        <v>#VALUE!</v>
      </c>
      <c r="BB38" s="336" t="str">
        <f t="shared" ref="BB38:BB41" si="87">IF(FLOOR((D59-AY$9*2)/AY$9,1)+2=0,"",FLOOR((D59-AY$9*2)/AY$9,1)+2)</f>
        <v/>
      </c>
      <c r="BC38" s="336" t="str">
        <f t="shared" ref="BC38:BC41" si="88">IFERROR(BA38/BB38/G$19/(E59-D$17),"")</f>
        <v/>
      </c>
      <c r="BD38" s="329" t="str">
        <f t="shared" ref="BD38:BD41" si="89">IF(AS38 ="","",AY$7)</f>
        <v/>
      </c>
      <c r="BE38" s="336" t="str">
        <f t="shared" ref="BE38:BE41" si="90">IFERROR(IF(AZ38=0,AY$5,MAX(AY$6,MIN(AY$5,BB$7/BC38))),"")</f>
        <v/>
      </c>
      <c r="BF38" s="336" t="str">
        <f t="shared" ref="BF38:BF41" si="91">IFERROR(BC38*BE38,"")</f>
        <v/>
      </c>
      <c r="BG38" s="338" t="str">
        <f t="shared" ref="BG38:BG41" si="92">IF(AS38="","",IFERROR(MIN(AY$5, BH38*BH38*3.14/4/BC38),AY$5))</f>
        <v/>
      </c>
      <c r="BH38" s="336" t="str">
        <f t="shared" ref="BH38:BH41" si="93">IF(AS38="","",IF(BF38&gt;BB$7,AY$8,AY$7))</f>
        <v/>
      </c>
      <c r="BI38" s="336" t="str">
        <f t="shared" ref="BI38:BI41" si="94">IFERROR(CEILING(AY$10/BG38,1),"")</f>
        <v/>
      </c>
      <c r="BJ38" s="337" t="str">
        <f t="shared" ref="BJ38:BJ41" si="95">IF(AND(NOT(AS38=""), AY38&gt;G$9),"UNSAFE","")</f>
        <v/>
      </c>
      <c r="BL38" s="269" t="str">
        <f t="shared" si="44"/>
        <v/>
      </c>
      <c r="BM38" s="269" t="str">
        <f t="shared" si="74"/>
        <v/>
      </c>
      <c r="BN38" s="270">
        <f t="shared" ref="BN38" si="96">IFERROR((BN39+BN37)/2,0)</f>
        <v>0</v>
      </c>
      <c r="BO38" s="269" t="str" cm="1">
        <f t="array" ref="BO38">IFERROR((INDEX(S$43:S$62,BM38)+INDEX(T$43:T$62,BM38))*INDEX(C$43:C$62,BM38)*INDEX(C$43:C$62,BM38)/8,"")</f>
        <v/>
      </c>
    </row>
    <row r="39" spans="1:67" x14ac:dyDescent="0.3">
      <c r="B39" s="261" t="s">
        <v>22</v>
      </c>
      <c r="C39" s="420">
        <v>0</v>
      </c>
      <c r="D39" s="421">
        <v>120</v>
      </c>
      <c r="E39" s="421">
        <v>500</v>
      </c>
      <c r="F39" s="421">
        <v>0</v>
      </c>
      <c r="G39" s="421">
        <v>0</v>
      </c>
      <c r="H39" s="422">
        <f>F39*D$14</f>
        <v>0</v>
      </c>
      <c r="I39" s="422">
        <f>G39*D$15</f>
        <v>0</v>
      </c>
      <c r="J39" s="422">
        <f>H39*C39*C39/2</f>
        <v>0</v>
      </c>
      <c r="K39" s="422">
        <f>I39*C39*C39/2</f>
        <v>0</v>
      </c>
      <c r="L39" s="299"/>
      <c r="M39" s="299"/>
      <c r="N39" s="299"/>
      <c r="O39" s="299"/>
      <c r="P39" s="299"/>
      <c r="Q39" s="299"/>
      <c r="R39" s="299"/>
      <c r="S39" s="299"/>
      <c r="T39" s="258"/>
      <c r="V39" s="328" t="str">
        <f t="shared" si="78"/>
        <v/>
      </c>
      <c r="W39" s="329" t="str">
        <f t="shared" si="79"/>
        <v/>
      </c>
      <c r="X39" s="329" t="str" cm="1">
        <f t="array" ref="X39">IF(W39&gt; C$63*3+1,"",IF(OR(W39=0, W39=C$63*3+1),"cantiliver",_xlfn.SWITCH(MOD(W39-1,3),0,"start",1,"middel",2,"end","")))</f>
        <v/>
      </c>
      <c r="Y39" s="330"/>
      <c r="Z39" s="329" t="str" cm="1">
        <f t="array" ref="Z39">IF(W39=C$63*3+1,D$39,IF(W39&gt;C$63*3,"", IF(Y39&gt;0,INDEX(F$43:F$62,V39),INDEX(D$43:D$62,V39))))</f>
        <v/>
      </c>
      <c r="AA39" s="329" t="str" cm="1">
        <f t="array" ref="AA39">IF(W39=3*C$63+1,E$39-D$17,IF(W39&gt;3*C$63,"", INDEX(E$43:E$62,V39)-D$17))</f>
        <v/>
      </c>
      <c r="AB39" s="339" t="str">
        <f t="shared" si="80"/>
        <v/>
      </c>
      <c r="AC39" s="331" t="e" cm="1">
        <f t="array" ref="AC39">[1]!PureBendingDesign(AB39)*G$8/G$18</f>
        <v>#VALUE!</v>
      </c>
      <c r="AD39" s="331"/>
      <c r="AE39" s="472" t="str" cm="1">
        <f t="array" ref="AE39">IF(W39=C$63*3+1,D$39,IF(W39&gt;C$63*3,"", INDEX(D$43:D$62,V39)))</f>
        <v/>
      </c>
      <c r="AF39" s="472" t="e">
        <f t="shared" si="5"/>
        <v>#VALUE!</v>
      </c>
      <c r="AG39" s="472" t="e">
        <f t="shared" si="6"/>
        <v>#VALUE!</v>
      </c>
      <c r="AH39" s="329" t="str">
        <f t="shared" si="7"/>
        <v/>
      </c>
      <c r="AI39" s="332" t="str">
        <f t="shared" si="8"/>
        <v/>
      </c>
      <c r="AK39" s="261"/>
      <c r="AL39" s="299"/>
      <c r="AM39" s="302" t="s">
        <v>352</v>
      </c>
      <c r="AN39" s="302"/>
      <c r="AO39" s="299"/>
      <c r="AP39" s="299"/>
      <c r="AQ39" s="290"/>
      <c r="AS39" s="328" t="str">
        <f t="shared" si="46"/>
        <v/>
      </c>
      <c r="AT39" s="329">
        <f t="shared" si="81"/>
        <v>0</v>
      </c>
      <c r="AU39" s="330" t="e" cm="1">
        <f t="array" ref="AU39">AT39*C61/2-(INDEX(_xlfn.ANCHORARRAY(Y$5),AS39*3-2)-INDEX(_xlfn.ANCHORARRAY(Y$5),AS39*3))/C60</f>
        <v>#VALUE!</v>
      </c>
      <c r="AV39" s="330" t="e">
        <f t="shared" si="82"/>
        <v>#VALUE!</v>
      </c>
      <c r="AW39" s="330" t="str" cm="1">
        <f t="array" ref="AW39">IFERROR(MAX(ABS(AU39:AV39))*(C60-2*E60+2*D$17)/C60,"")</f>
        <v/>
      </c>
      <c r="AX39" s="336">
        <f t="shared" si="83"/>
        <v>0</v>
      </c>
      <c r="AY39" s="329" t="str">
        <f t="shared" si="84"/>
        <v/>
      </c>
      <c r="AZ39" s="329" t="str">
        <f t="shared" si="85"/>
        <v/>
      </c>
      <c r="BA39" s="336" t="e">
        <f t="shared" si="86"/>
        <v>#VALUE!</v>
      </c>
      <c r="BB39" s="336" t="str">
        <f t="shared" si="87"/>
        <v/>
      </c>
      <c r="BC39" s="336" t="str">
        <f t="shared" si="88"/>
        <v/>
      </c>
      <c r="BD39" s="329" t="str">
        <f t="shared" si="89"/>
        <v/>
      </c>
      <c r="BE39" s="336" t="str">
        <f t="shared" si="90"/>
        <v/>
      </c>
      <c r="BF39" s="336" t="str">
        <f t="shared" si="91"/>
        <v/>
      </c>
      <c r="BG39" s="338" t="str">
        <f t="shared" si="92"/>
        <v/>
      </c>
      <c r="BH39" s="336" t="str">
        <f t="shared" si="93"/>
        <v/>
      </c>
      <c r="BI39" s="336" t="str">
        <f t="shared" si="94"/>
        <v/>
      </c>
      <c r="BJ39" s="337" t="str">
        <f t="shared" si="95"/>
        <v/>
      </c>
      <c r="BL39" s="269" t="str">
        <f t="shared" si="44"/>
        <v/>
      </c>
      <c r="BM39" s="269" t="str">
        <f t="shared" si="74"/>
        <v/>
      </c>
      <c r="BN39" s="270" cm="1">
        <f t="array" ref="BN39">IFERROR(INDEX(C$43:C$62,BM39)+BN36,0)</f>
        <v>0</v>
      </c>
      <c r="BO39" s="271">
        <f t="shared" ref="BO39:BO40" si="97">IFERROR(Y41,"")</f>
        <v>0</v>
      </c>
    </row>
    <row r="40" spans="1:67" x14ac:dyDescent="0.3">
      <c r="B40" s="261"/>
      <c r="C40" s="299"/>
      <c r="D40" s="302"/>
      <c r="E40" s="299"/>
      <c r="F40" s="299"/>
      <c r="G40" s="592" t="s">
        <v>394</v>
      </c>
      <c r="H40" s="592"/>
      <c r="I40" s="592"/>
      <c r="J40" s="592"/>
      <c r="K40" s="592"/>
      <c r="L40" s="592"/>
      <c r="M40" s="592"/>
      <c r="N40" s="592"/>
      <c r="O40" s="409"/>
      <c r="P40" s="409"/>
      <c r="Q40" s="592" t="s">
        <v>343</v>
      </c>
      <c r="R40" s="592"/>
      <c r="S40" s="410"/>
      <c r="T40" s="411"/>
      <c r="V40" s="328" t="str">
        <f t="shared" si="78"/>
        <v/>
      </c>
      <c r="W40" s="329" t="str">
        <f t="shared" si="79"/>
        <v/>
      </c>
      <c r="X40" s="329" t="str" cm="1">
        <f t="array" ref="X40">IF(W40&gt; C$63*3+1,"",IF(OR(W40=0, W40=C$63*3+1),"cantiliver",_xlfn.SWITCH(MOD(W40-1,3),0,"start",1,"middel",2,"end","")))</f>
        <v/>
      </c>
      <c r="Y40" s="330"/>
      <c r="Z40" s="329" t="str" cm="1">
        <f t="array" ref="Z40">IF(W40=C$63*3+1,D$39,IF(W40&gt;C$63*3,"", IF(Y40&gt;0,INDEX(F$43:F$62,V40),INDEX(D$43:D$62,V40))))</f>
        <v/>
      </c>
      <c r="AA40" s="329" t="str" cm="1">
        <f t="array" ref="AA40">IF(W40=3*C$63+1,E$39-D$17,IF(W40&gt;3*C$63,"", INDEX(E$43:E$62,V40)-D$17))</f>
        <v/>
      </c>
      <c r="AB40" s="339" t="str">
        <f t="shared" si="80"/>
        <v/>
      </c>
      <c r="AC40" s="331" t="e" cm="1">
        <f t="array" ref="AC40">[1]!PureBendingDesign(AB40)*G$8/G$18</f>
        <v>#VALUE!</v>
      </c>
      <c r="AD40" s="331"/>
      <c r="AE40" s="472" t="str" cm="1">
        <f t="array" ref="AE40">IF(W40=C$63*3+1,D$39,IF(W40&gt;C$63*3,"", INDEX(D$43:D$62,V40)))</f>
        <v/>
      </c>
      <c r="AF40" s="472" t="e">
        <f t="shared" si="5"/>
        <v>#VALUE!</v>
      </c>
      <c r="AG40" s="472" t="e">
        <f t="shared" si="6"/>
        <v>#VALUE!</v>
      </c>
      <c r="AH40" s="329" t="str">
        <f t="shared" si="7"/>
        <v/>
      </c>
      <c r="AI40" s="332" t="str">
        <f t="shared" si="8"/>
        <v/>
      </c>
      <c r="AK40" s="261" t="s">
        <v>346</v>
      </c>
      <c r="AL40" s="299" t="s">
        <v>26</v>
      </c>
      <c r="AM40" s="302" t="s">
        <v>165</v>
      </c>
      <c r="AN40" s="302" t="s">
        <v>25</v>
      </c>
      <c r="AO40" s="299" t="s">
        <v>350</v>
      </c>
      <c r="AP40" s="299" t="s">
        <v>349</v>
      </c>
      <c r="AQ40" s="290" t="s">
        <v>351</v>
      </c>
      <c r="AS40" s="328" t="str">
        <f t="shared" si="46"/>
        <v/>
      </c>
      <c r="AT40" s="329">
        <f t="shared" si="81"/>
        <v>0</v>
      </c>
      <c r="AU40" s="330" t="e" cm="1">
        <f t="array" ref="AU40">AT40*C62/2-(INDEX(_xlfn.ANCHORARRAY(Y$5),AS40*3-2)-INDEX(_xlfn.ANCHORARRAY(Y$5),AS40*3))/C61</f>
        <v>#VALUE!</v>
      </c>
      <c r="AV40" s="330" t="e">
        <f t="shared" si="82"/>
        <v>#VALUE!</v>
      </c>
      <c r="AW40" s="330" t="str" cm="1">
        <f t="array" ref="AW40">IFERROR(MAX(ABS(AU40:AV40))*(C61-2*E61+2*D$17)/C61,"")</f>
        <v/>
      </c>
      <c r="AX40" s="336">
        <f t="shared" si="83"/>
        <v>0</v>
      </c>
      <c r="AY40" s="329" t="str">
        <f t="shared" si="84"/>
        <v/>
      </c>
      <c r="AZ40" s="329" t="str">
        <f t="shared" si="85"/>
        <v/>
      </c>
      <c r="BA40" s="336" t="e">
        <f t="shared" si="86"/>
        <v>#VALUE!</v>
      </c>
      <c r="BB40" s="336" t="str">
        <f t="shared" si="87"/>
        <v/>
      </c>
      <c r="BC40" s="336" t="str">
        <f t="shared" si="88"/>
        <v/>
      </c>
      <c r="BD40" s="329" t="str">
        <f t="shared" si="89"/>
        <v/>
      </c>
      <c r="BE40" s="336" t="str">
        <f t="shared" si="90"/>
        <v/>
      </c>
      <c r="BF40" s="336" t="str">
        <f t="shared" si="91"/>
        <v/>
      </c>
      <c r="BG40" s="338" t="str">
        <f t="shared" si="92"/>
        <v/>
      </c>
      <c r="BH40" s="336" t="str">
        <f t="shared" si="93"/>
        <v/>
      </c>
      <c r="BI40" s="336" t="str">
        <f t="shared" si="94"/>
        <v/>
      </c>
      <c r="BJ40" s="337" t="str">
        <f t="shared" si="95"/>
        <v/>
      </c>
      <c r="BL40" s="269" t="str">
        <f t="shared" si="44"/>
        <v/>
      </c>
      <c r="BM40" s="269" t="str">
        <f t="shared" si="74"/>
        <v/>
      </c>
      <c r="BN40" s="270">
        <f t="shared" ref="BN40" si="98">IFERROR(BN39,0)</f>
        <v>0</v>
      </c>
      <c r="BO40" s="271">
        <f t="shared" si="97"/>
        <v>0</v>
      </c>
    </row>
    <row r="41" spans="1:67" x14ac:dyDescent="0.3">
      <c r="B41" s="261"/>
      <c r="C41" s="597" t="s">
        <v>283</v>
      </c>
      <c r="D41" s="597"/>
      <c r="E41" s="597"/>
      <c r="F41" s="597"/>
      <c r="G41" s="595" t="s">
        <v>395</v>
      </c>
      <c r="H41" s="595"/>
      <c r="I41" s="596" t="s">
        <v>404</v>
      </c>
      <c r="J41" s="596"/>
      <c r="K41" s="596" t="s">
        <v>405</v>
      </c>
      <c r="L41" s="596"/>
      <c r="M41" s="595" t="s">
        <v>396</v>
      </c>
      <c r="N41" s="595"/>
      <c r="O41" s="412"/>
      <c r="P41" s="412"/>
      <c r="Q41" s="423"/>
      <c r="R41" s="423"/>
      <c r="S41" s="298"/>
      <c r="T41" s="258"/>
      <c r="V41" s="328" t="str">
        <f t="shared" si="78"/>
        <v/>
      </c>
      <c r="W41" s="329" t="str">
        <f t="shared" si="79"/>
        <v/>
      </c>
      <c r="X41" s="329" t="str" cm="1">
        <f t="array" ref="X41">IF(W41&gt; C$63*3+1,"",IF(OR(W41=0, W41=C$63*3+1),"cantiliver",_xlfn.SWITCH(MOD(W41-1,3),0,"start",1,"middel",2,"end","")))</f>
        <v/>
      </c>
      <c r="Y41" s="330"/>
      <c r="Z41" s="329" t="str" cm="1">
        <f t="array" ref="Z41">IF(W41=C$63*3+1,D$39,IF(W41&gt;C$63*3,"", IF(Y41&gt;0,INDEX(F$43:F$62,V41),INDEX(D$43:D$62,V41))))</f>
        <v/>
      </c>
      <c r="AA41" s="329" t="str" cm="1">
        <f t="array" ref="AA41">IF(W41=3*C$63+1,E$39-D$17,IF(W41&gt;3*C$63,"", INDEX(E$43:E$62,V41)-D$17))</f>
        <v/>
      </c>
      <c r="AB41" s="339" t="str">
        <f t="shared" si="80"/>
        <v/>
      </c>
      <c r="AC41" s="331" t="e" cm="1">
        <f t="array" ref="AC41">[1]!PureBendingDesign(AB41)*G$8/G$18</f>
        <v>#VALUE!</v>
      </c>
      <c r="AD41" s="331"/>
      <c r="AE41" s="472" t="str" cm="1">
        <f t="array" ref="AE41">IF(W41=C$63*3+1,D$39,IF(W41&gt;C$63*3,"", INDEX(D$43:D$62,V41)))</f>
        <v/>
      </c>
      <c r="AF41" s="472" t="e">
        <f t="shared" si="5"/>
        <v>#VALUE!</v>
      </c>
      <c r="AG41" s="472" t="e">
        <f t="shared" si="6"/>
        <v>#VALUE!</v>
      </c>
      <c r="AH41" s="329" t="str">
        <f t="shared" si="7"/>
        <v/>
      </c>
      <c r="AI41" s="332" t="str">
        <f t="shared" si="8"/>
        <v/>
      </c>
      <c r="AK41" s="261">
        <v>1</v>
      </c>
      <c r="AL41" s="299">
        <f t="shared" ref="AL41:AL62" si="99">IF(AK41&gt; C$63+1,"",MAX(AM$5*AO$7, INDEX(AI$5:AI$66,AK41*3-1), INDEX(AI$5:AI$66,AK41*3-2)))</f>
        <v>226.08</v>
      </c>
      <c r="AM41" s="302">
        <f>IFERROR(CEILING(AL41/AN41/AN41/3.14*4*0.95,1),"")</f>
        <v>2</v>
      </c>
      <c r="AN41" s="302">
        <f t="shared" ref="AN41:AN62" si="100">IF(AK41&gt; C$63+1,"",IF(AL41&gt;5*AO$7,AM$6,AM$7))</f>
        <v>12</v>
      </c>
      <c r="AO41" s="299">
        <f>IFERROR(MAX(CEILING(AM41/2,1),2),"")</f>
        <v>2</v>
      </c>
      <c r="AP41" s="299">
        <f t="shared" ref="AP41:AP60" si="101">IFERROR(MAX(AM41-AO41,2),"")</f>
        <v>2</v>
      </c>
      <c r="AQ41" s="290">
        <f t="shared" ref="AQ41:AQ60" si="102">IFERROR((AO41+AP41)*AN41*AN41*3.14/4,"")</f>
        <v>452.16</v>
      </c>
      <c r="AS41" s="328" t="str">
        <f t="shared" si="46"/>
        <v/>
      </c>
      <c r="AT41" s="329">
        <f t="shared" si="81"/>
        <v>0</v>
      </c>
      <c r="AU41" s="330" t="e" cm="1">
        <f t="array" ref="AU41">AT41*C63/2-(INDEX(_xlfn.ANCHORARRAY(Y$5),AS41*3-2)-INDEX(_xlfn.ANCHORARRAY(Y$5),AS41*3))/C62</f>
        <v>#VALUE!</v>
      </c>
      <c r="AV41" s="330" t="e">
        <f t="shared" si="82"/>
        <v>#VALUE!</v>
      </c>
      <c r="AW41" s="330" t="str" cm="1">
        <f t="array" ref="AW41">IFERROR(MAX(ABS(AU41:AV41))*(C62-2*E62+2*D$17)/C62,"")</f>
        <v/>
      </c>
      <c r="AX41" s="336">
        <f t="shared" si="83"/>
        <v>0</v>
      </c>
      <c r="AY41" s="329" t="str">
        <f t="shared" si="84"/>
        <v/>
      </c>
      <c r="AZ41" s="329" t="str">
        <f t="shared" si="85"/>
        <v/>
      </c>
      <c r="BA41" s="336" t="e">
        <f t="shared" si="86"/>
        <v>#VALUE!</v>
      </c>
      <c r="BB41" s="336" t="str">
        <f t="shared" si="87"/>
        <v/>
      </c>
      <c r="BC41" s="336" t="str">
        <f t="shared" si="88"/>
        <v/>
      </c>
      <c r="BD41" s="329" t="str">
        <f t="shared" si="89"/>
        <v/>
      </c>
      <c r="BE41" s="336" t="str">
        <f t="shared" si="90"/>
        <v/>
      </c>
      <c r="BF41" s="336" t="str">
        <f t="shared" si="91"/>
        <v/>
      </c>
      <c r="BG41" s="338" t="str">
        <f t="shared" si="92"/>
        <v/>
      </c>
      <c r="BH41" s="336" t="str">
        <f t="shared" si="93"/>
        <v/>
      </c>
      <c r="BI41" s="336" t="str">
        <f t="shared" si="94"/>
        <v/>
      </c>
      <c r="BJ41" s="337" t="str">
        <f t="shared" si="95"/>
        <v/>
      </c>
      <c r="BL41" s="269" t="str">
        <f t="shared" si="44"/>
        <v/>
      </c>
      <c r="BM41" s="269" t="str">
        <f t="shared" si="74"/>
        <v/>
      </c>
      <c r="BN41" s="270">
        <f t="shared" ref="BN41" si="103">IFERROR((BN42+BN40)/2,0)</f>
        <v>0</v>
      </c>
      <c r="BO41" s="269" t="str" cm="1">
        <f t="array" ref="BO41">IFERROR((INDEX(S$43:S$62,BM41)+INDEX(T$43:T$62,BM41))*INDEX(C$43:C$62,BM41)*INDEX(C$43:C$62,BM41)/8,"")</f>
        <v/>
      </c>
    </row>
    <row r="42" spans="1:67" x14ac:dyDescent="0.3">
      <c r="B42" s="262" t="s">
        <v>203</v>
      </c>
      <c r="C42" s="263" t="s">
        <v>185</v>
      </c>
      <c r="D42" s="264" t="s">
        <v>274</v>
      </c>
      <c r="E42" s="264" t="s">
        <v>275</v>
      </c>
      <c r="F42" s="264" t="s">
        <v>9</v>
      </c>
      <c r="G42" s="264" t="s">
        <v>392</v>
      </c>
      <c r="H42" s="264" t="s">
        <v>393</v>
      </c>
      <c r="I42" s="264" t="s">
        <v>398</v>
      </c>
      <c r="J42" s="264" t="s">
        <v>400</v>
      </c>
      <c r="K42" s="264" t="s">
        <v>398</v>
      </c>
      <c r="L42" s="264" t="s">
        <v>400</v>
      </c>
      <c r="M42" s="264" t="s">
        <v>278</v>
      </c>
      <c r="N42" s="264" t="s">
        <v>279</v>
      </c>
      <c r="O42" s="264" t="s">
        <v>399</v>
      </c>
      <c r="P42" s="264" t="s">
        <v>399</v>
      </c>
      <c r="Q42" s="264" t="s">
        <v>276</v>
      </c>
      <c r="R42" s="264" t="s">
        <v>204</v>
      </c>
      <c r="S42" s="264" t="s">
        <v>344</v>
      </c>
      <c r="T42" s="265" t="s">
        <v>345</v>
      </c>
      <c r="V42" s="328" t="str">
        <f t="shared" si="78"/>
        <v/>
      </c>
      <c r="W42" s="329" t="str">
        <f t="shared" si="79"/>
        <v/>
      </c>
      <c r="X42" s="329" t="str" cm="1">
        <f t="array" ref="X42">IF(W42&gt; C$63*3+1,"",IF(OR(W42=0, W42=C$63*3+1),"cantiliver",_xlfn.SWITCH(MOD(W42-1,3),0,"start",1,"middel",2,"end","")))</f>
        <v/>
      </c>
      <c r="Y42" s="330"/>
      <c r="Z42" s="329" t="str" cm="1">
        <f t="array" ref="Z42">IF(W42=C$63*3+1,D$39,IF(W42&gt;C$63*3,"", IF(Y42&gt;0,INDEX(F$43:F$62,V42),INDEX(D$43:D$62,V42))))</f>
        <v/>
      </c>
      <c r="AA42" s="329" t="str" cm="1">
        <f t="array" ref="AA42">IF(W42=3*C$63+1,E$39-D$17,IF(W42&gt;3*C$63,"", INDEX(E$43:E$62,V42)-D$17))</f>
        <v/>
      </c>
      <c r="AB42" s="339" t="str">
        <f t="shared" si="80"/>
        <v/>
      </c>
      <c r="AC42" s="331" t="e" cm="1">
        <f t="array" ref="AC42">[1]!PureBendingDesign(AB42)*G$8/G$18</f>
        <v>#VALUE!</v>
      </c>
      <c r="AD42" s="331"/>
      <c r="AE42" s="472" t="str" cm="1">
        <f t="array" ref="AE42">IF(W42=C$63*3+1,D$39,IF(W42&gt;C$63*3,"", INDEX(D$43:D$62,V42)))</f>
        <v/>
      </c>
      <c r="AF42" s="472" t="e">
        <f t="shared" si="5"/>
        <v>#VALUE!</v>
      </c>
      <c r="AG42" s="472" t="e">
        <f t="shared" si="6"/>
        <v>#VALUE!</v>
      </c>
      <c r="AH42" s="329" t="str">
        <f t="shared" si="7"/>
        <v/>
      </c>
      <c r="AI42" s="332" t="str">
        <f t="shared" si="8"/>
        <v/>
      </c>
      <c r="AK42" s="261">
        <f t="shared" ref="AK42:AK62" si="104">IF(AK41&lt;C$63+1,AK41+1,"")</f>
        <v>2</v>
      </c>
      <c r="AL42" s="299">
        <f t="shared" si="99"/>
        <v>542.92298082500031</v>
      </c>
      <c r="AM42" s="302">
        <f t="shared" ref="AM42:AM62" si="105">IFERROR(CEILING(AL42/AN42/AN42/3.14*4*0.95,1),"")</f>
        <v>5</v>
      </c>
      <c r="AN42" s="302">
        <f t="shared" si="100"/>
        <v>12</v>
      </c>
      <c r="AO42" s="299">
        <f t="shared" ref="AO42:AO60" si="106">IFERROR(MAX(CEILING(AM42/2,1),2),"")</f>
        <v>3</v>
      </c>
      <c r="AP42" s="299">
        <f t="shared" si="101"/>
        <v>2</v>
      </c>
      <c r="AQ42" s="290">
        <f t="shared" si="102"/>
        <v>565.20000000000005</v>
      </c>
      <c r="AS42" s="328"/>
      <c r="AT42" s="329"/>
      <c r="AU42" s="330"/>
      <c r="AV42" s="330"/>
      <c r="AW42" s="330"/>
      <c r="AX42" s="336"/>
      <c r="AY42" s="329"/>
      <c r="AZ42" s="329"/>
      <c r="BA42" s="336"/>
      <c r="BB42" s="336"/>
      <c r="BC42" s="336"/>
      <c r="BD42" s="329"/>
      <c r="BE42" s="336"/>
      <c r="BF42" s="336"/>
      <c r="BG42" s="338"/>
      <c r="BH42" s="336"/>
      <c r="BI42" s="336"/>
      <c r="BJ42" s="337"/>
      <c r="BL42" s="269" t="str">
        <f t="shared" si="44"/>
        <v/>
      </c>
      <c r="BM42" s="269" t="str">
        <f t="shared" si="74"/>
        <v/>
      </c>
      <c r="BN42" s="270" cm="1">
        <f t="array" ref="BN42">IFERROR(INDEX(C$43:C$62,BM42)+BN39,0)</f>
        <v>0</v>
      </c>
      <c r="BO42" s="271">
        <f t="shared" ref="BO42:BO43" si="107">IFERROR(Y44,"")</f>
        <v>0</v>
      </c>
    </row>
    <row r="43" spans="1:67" x14ac:dyDescent="0.3">
      <c r="B43" s="262">
        <v>1</v>
      </c>
      <c r="C43" s="424">
        <v>3380</v>
      </c>
      <c r="D43" s="425">
        <v>120</v>
      </c>
      <c r="E43" s="425">
        <v>500</v>
      </c>
      <c r="F43" s="426">
        <v>895</v>
      </c>
      <c r="G43" s="427">
        <f>D43*E43*D$18</f>
        <v>1.5</v>
      </c>
      <c r="H43" s="427">
        <v>8.15</v>
      </c>
      <c r="I43" s="426">
        <v>1700</v>
      </c>
      <c r="J43" s="426" t="b">
        <v>1</v>
      </c>
      <c r="K43" s="426">
        <v>1500</v>
      </c>
      <c r="L43" s="426" t="b">
        <v>1</v>
      </c>
      <c r="M43" s="427">
        <f t="shared" ref="M43:M51" si="108">7.75/1000</f>
        <v>7.7499999999999999E-3</v>
      </c>
      <c r="N43" s="427">
        <f t="shared" ref="N43:N51" si="109">4/1000</f>
        <v>4.0000000000000001E-3</v>
      </c>
      <c r="O43" s="428">
        <f t="shared" ref="O43" si="110">IF(J43,1-I43/C43*2/3,1)</f>
        <v>0.66469428007889553</v>
      </c>
      <c r="P43" s="428">
        <f>IF(L43,1-K43/C43*2/3,1)</f>
        <v>0.70414201183431957</v>
      </c>
      <c r="Q43" s="322">
        <f t="shared" ref="Q43:Q62" si="111">D43*E43*E43*E43/12</f>
        <v>1250000000</v>
      </c>
      <c r="R43" s="322">
        <f t="shared" ref="R43:R62" si="112">IFERROR( Q43/C43,0)</f>
        <v>369822.48520710057</v>
      </c>
      <c r="S43" s="429">
        <f t="shared" ref="S43:S62" si="113">D$14*(G43+H43+M43*(I43*O43+K43*P43))</f>
        <v>37.230197238658775</v>
      </c>
      <c r="T43" s="430">
        <f t="shared" ref="T43:T62" si="114">D$15*(I43*O43+K43*P43)*N43</f>
        <v>13.991637080867852</v>
      </c>
      <c r="V43" s="328" t="str">
        <f t="shared" si="78"/>
        <v/>
      </c>
      <c r="W43" s="329" t="str">
        <f t="shared" si="79"/>
        <v/>
      </c>
      <c r="X43" s="329" t="str" cm="1">
        <f t="array" ref="X43">IF(W43&gt; C$63*3+1,"",IF(OR(W43=0, W43=C$63*3+1),"cantiliver",_xlfn.SWITCH(MOD(W43-1,3),0,"start",1,"middel",2,"end","")))</f>
        <v/>
      </c>
      <c r="Y43" s="330"/>
      <c r="Z43" s="329" t="str" cm="1">
        <f t="array" ref="Z43">IF(W43=C$63*3+1,D$39,IF(W43&gt;C$63*3,"", IF(Y43&gt;0,INDEX(F$43:F$62,V43),INDEX(D$43:D$62,V43))))</f>
        <v/>
      </c>
      <c r="AA43" s="329" t="str" cm="1">
        <f t="array" ref="AA43">IF(W43=3*C$63+1,E$39-D$17,IF(W43&gt;3*C$63,"", INDEX(E$43:E$62,V43)-D$17))</f>
        <v/>
      </c>
      <c r="AB43" s="339" t="str">
        <f t="shared" si="80"/>
        <v/>
      </c>
      <c r="AC43" s="331" t="e" cm="1">
        <f t="array" ref="AC43">[1]!PureBendingDesign(AB43)*G$8/G$18</f>
        <v>#VALUE!</v>
      </c>
      <c r="AD43" s="331"/>
      <c r="AE43" s="472" t="str" cm="1">
        <f t="array" ref="AE43">IF(W43=C$63*3+1,D$39,IF(W43&gt;C$63*3,"", INDEX(D$43:D$62,V43)))</f>
        <v/>
      </c>
      <c r="AF43" s="472" t="e">
        <f t="shared" si="5"/>
        <v>#VALUE!</v>
      </c>
      <c r="AG43" s="472" t="e">
        <f t="shared" si="6"/>
        <v>#VALUE!</v>
      </c>
      <c r="AH43" s="329" t="str">
        <f t="shared" si="7"/>
        <v/>
      </c>
      <c r="AI43" s="332" t="str">
        <f t="shared" si="8"/>
        <v/>
      </c>
      <c r="AK43" s="261">
        <f t="shared" si="104"/>
        <v>3</v>
      </c>
      <c r="AL43" s="299">
        <f t="shared" si="99"/>
        <v>234.17510674258293</v>
      </c>
      <c r="AM43" s="302">
        <f t="shared" si="105"/>
        <v>2</v>
      </c>
      <c r="AN43" s="302">
        <f t="shared" si="100"/>
        <v>12</v>
      </c>
      <c r="AO43" s="299">
        <f t="shared" si="106"/>
        <v>2</v>
      </c>
      <c r="AP43" s="299">
        <f t="shared" si="101"/>
        <v>2</v>
      </c>
      <c r="AQ43" s="290">
        <f t="shared" si="102"/>
        <v>452.16</v>
      </c>
      <c r="AS43" s="328"/>
      <c r="AT43" s="329"/>
      <c r="AU43" s="330"/>
      <c r="AV43" s="330"/>
      <c r="AW43" s="330"/>
      <c r="AX43" s="336"/>
      <c r="AY43" s="329"/>
      <c r="AZ43" s="329"/>
      <c r="BA43" s="336"/>
      <c r="BB43" s="336"/>
      <c r="BC43" s="336"/>
      <c r="BD43" s="329"/>
      <c r="BE43" s="336"/>
      <c r="BF43" s="336"/>
      <c r="BG43" s="338"/>
      <c r="BH43" s="336"/>
      <c r="BI43" s="336"/>
      <c r="BJ43" s="337"/>
      <c r="BL43" s="269" t="str">
        <f t="shared" si="44"/>
        <v/>
      </c>
      <c r="BM43" s="269" t="str">
        <f t="shared" si="74"/>
        <v/>
      </c>
      <c r="BN43" s="270">
        <f t="shared" ref="BN43" si="115">IFERROR(BN42,0)</f>
        <v>0</v>
      </c>
      <c r="BO43" s="271">
        <f t="shared" si="107"/>
        <v>0</v>
      </c>
    </row>
    <row r="44" spans="1:67" x14ac:dyDescent="0.3">
      <c r="B44" s="262">
        <v>2</v>
      </c>
      <c r="C44" s="424">
        <v>3380</v>
      </c>
      <c r="D44" s="425">
        <v>120</v>
      </c>
      <c r="E44" s="425">
        <v>500</v>
      </c>
      <c r="F44" s="426">
        <v>895</v>
      </c>
      <c r="G44" s="427">
        <f t="shared" ref="G44:G46" si="116">D44*E44*D$18</f>
        <v>1.5</v>
      </c>
      <c r="H44" s="427">
        <v>8.15</v>
      </c>
      <c r="I44" s="426">
        <v>1700</v>
      </c>
      <c r="J44" s="426" t="b">
        <v>1</v>
      </c>
      <c r="K44" s="426">
        <v>1500</v>
      </c>
      <c r="L44" s="426" t="b">
        <v>1</v>
      </c>
      <c r="M44" s="427">
        <f t="shared" si="108"/>
        <v>7.7499999999999999E-3</v>
      </c>
      <c r="N44" s="427">
        <f t="shared" si="109"/>
        <v>4.0000000000000001E-3</v>
      </c>
      <c r="O44" s="428">
        <f t="shared" ref="O44:O62" si="117">IF(J44,1-I44/C44*2/3,1)</f>
        <v>0.66469428007889553</v>
      </c>
      <c r="P44" s="428">
        <f t="shared" ref="P44:P62" si="118">IF(L44,1-K44/C44*2/3,1)</f>
        <v>0.70414201183431957</v>
      </c>
      <c r="Q44" s="322">
        <f t="shared" si="111"/>
        <v>1250000000</v>
      </c>
      <c r="R44" s="322">
        <f t="shared" si="112"/>
        <v>369822.48520710057</v>
      </c>
      <c r="S44" s="429">
        <f t="shared" si="113"/>
        <v>37.230197238658775</v>
      </c>
      <c r="T44" s="430">
        <f t="shared" si="114"/>
        <v>13.991637080867852</v>
      </c>
      <c r="V44" s="328" t="str">
        <f t="shared" si="78"/>
        <v/>
      </c>
      <c r="W44" s="329" t="str">
        <f t="shared" si="79"/>
        <v/>
      </c>
      <c r="X44" s="329" t="str" cm="1">
        <f t="array" ref="X44">IF(W44&gt; C$63*3+1,"",IF(OR(W44=0, W44=C$63*3+1),"cantiliver",_xlfn.SWITCH(MOD(W44-1,3),0,"start",1,"middel",2,"end","")))</f>
        <v/>
      </c>
      <c r="Y44" s="330"/>
      <c r="Z44" s="329" t="str" cm="1">
        <f t="array" ref="Z44">IF(W44=C$63*3+1,D$39,IF(W44&gt;C$63*3,"", IF(Y44&gt;0,INDEX(F$43:F$62,V44),INDEX(D$43:D$62,V44))))</f>
        <v/>
      </c>
      <c r="AA44" s="329" t="str" cm="1">
        <f t="array" ref="AA44">IF(W44=3*C$63+1,E$39-D$17,IF(W44&gt;3*C$63,"", INDEX(E$43:E$62,V44)-D$17))</f>
        <v/>
      </c>
      <c r="AB44" s="339" t="str">
        <f t="shared" si="80"/>
        <v/>
      </c>
      <c r="AC44" s="331" t="e" cm="1">
        <f t="array" ref="AC44">[1]!PureBendingDesign(AB44)*G$8/G$18</f>
        <v>#VALUE!</v>
      </c>
      <c r="AD44" s="331"/>
      <c r="AE44" s="472" t="str" cm="1">
        <f t="array" ref="AE44">IF(W44=C$63*3+1,D$39,IF(W44&gt;C$63*3,"", INDEX(D$43:D$62,V44)))</f>
        <v/>
      </c>
      <c r="AF44" s="472" t="e">
        <f t="shared" si="5"/>
        <v>#VALUE!</v>
      </c>
      <c r="AG44" s="472" t="e">
        <f t="shared" si="6"/>
        <v>#VALUE!</v>
      </c>
      <c r="AH44" s="329" t="str">
        <f t="shared" si="7"/>
        <v/>
      </c>
      <c r="AI44" s="332" t="str">
        <f t="shared" si="8"/>
        <v/>
      </c>
      <c r="AK44" s="261">
        <f t="shared" si="104"/>
        <v>4</v>
      </c>
      <c r="AL44" s="299">
        <f t="shared" si="99"/>
        <v>419.08686088036109</v>
      </c>
      <c r="AM44" s="302">
        <f t="shared" si="105"/>
        <v>4</v>
      </c>
      <c r="AN44" s="302">
        <f t="shared" si="100"/>
        <v>12</v>
      </c>
      <c r="AO44" s="299">
        <f t="shared" si="106"/>
        <v>2</v>
      </c>
      <c r="AP44" s="299">
        <f t="shared" si="101"/>
        <v>2</v>
      </c>
      <c r="AQ44" s="290">
        <f t="shared" si="102"/>
        <v>452.16</v>
      </c>
      <c r="AS44" s="328"/>
      <c r="AT44" s="329"/>
      <c r="AU44" s="330"/>
      <c r="AV44" s="330"/>
      <c r="AW44" s="330"/>
      <c r="AX44" s="336"/>
      <c r="AY44" s="329"/>
      <c r="AZ44" s="329"/>
      <c r="BA44" s="336"/>
      <c r="BB44" s="336"/>
      <c r="BC44" s="336"/>
      <c r="BD44" s="329"/>
      <c r="BE44" s="336"/>
      <c r="BF44" s="336"/>
      <c r="BG44" s="338"/>
      <c r="BH44" s="336"/>
      <c r="BI44" s="336"/>
      <c r="BJ44" s="337"/>
      <c r="BL44" s="269" t="str">
        <f t="shared" si="44"/>
        <v/>
      </c>
      <c r="BM44" s="269" t="str">
        <f t="shared" si="74"/>
        <v/>
      </c>
      <c r="BN44" s="270">
        <f t="shared" ref="BN44" si="119">IFERROR((BN45+BN43)/2,0)</f>
        <v>0</v>
      </c>
      <c r="BO44" s="269" t="str" cm="1">
        <f t="array" ref="BO44">IFERROR((INDEX(S$43:S$62,BM44)+INDEX(T$43:T$62,BM44))*INDEX(C$43:C$62,BM44)*INDEX(C$43:C$62,BM44)/8,"")</f>
        <v/>
      </c>
    </row>
    <row r="45" spans="1:67" x14ac:dyDescent="0.3">
      <c r="B45" s="262">
        <v>3</v>
      </c>
      <c r="C45" s="424">
        <v>1200</v>
      </c>
      <c r="D45" s="425">
        <v>120</v>
      </c>
      <c r="E45" s="425">
        <v>500</v>
      </c>
      <c r="F45" s="426">
        <v>895</v>
      </c>
      <c r="G45" s="427">
        <f t="shared" si="116"/>
        <v>1.5</v>
      </c>
      <c r="H45" s="427">
        <v>8.15</v>
      </c>
      <c r="I45" s="426">
        <v>1700</v>
      </c>
      <c r="J45" s="426" t="b">
        <v>1</v>
      </c>
      <c r="K45" s="426">
        <v>1500</v>
      </c>
      <c r="L45" s="426" t="b">
        <v>1</v>
      </c>
      <c r="M45" s="427">
        <f t="shared" si="108"/>
        <v>7.7499999999999999E-3</v>
      </c>
      <c r="N45" s="427">
        <f t="shared" si="109"/>
        <v>4.0000000000000001E-3</v>
      </c>
      <c r="O45" s="428">
        <f t="shared" si="117"/>
        <v>5.5555555555555469E-2</v>
      </c>
      <c r="P45" s="428">
        <f t="shared" si="118"/>
        <v>0.16666666666666663</v>
      </c>
      <c r="Q45" s="322">
        <f t="shared" si="111"/>
        <v>1250000000</v>
      </c>
      <c r="R45" s="322">
        <f t="shared" si="112"/>
        <v>1041666.6666666666</v>
      </c>
      <c r="S45" s="429">
        <f t="shared" si="113"/>
        <v>17.24722222222222</v>
      </c>
      <c r="T45" s="430">
        <f t="shared" si="114"/>
        <v>2.2044444444444431</v>
      </c>
      <c r="V45" s="328" t="str">
        <f t="shared" si="78"/>
        <v/>
      </c>
      <c r="W45" s="329" t="str">
        <f t="shared" si="79"/>
        <v/>
      </c>
      <c r="X45" s="329" t="str" cm="1">
        <f t="array" ref="X45">IF(W45&gt; C$63*3+1,"",IF(OR(W45=0, W45=C$63*3+1),"cantiliver",_xlfn.SWITCH(MOD(W45-1,3),0,"start",1,"middel",2,"end","")))</f>
        <v/>
      </c>
      <c r="Y45" s="330"/>
      <c r="Z45" s="329" t="str" cm="1">
        <f t="array" ref="Z45">IF(W45=C$63*3+1,D$39,IF(W45&gt;C$63*3,"", IF(Y45&gt;0,INDEX(F$43:F$62,V45),INDEX(D$43:D$62,V45))))</f>
        <v/>
      </c>
      <c r="AA45" s="329" t="str" cm="1">
        <f t="array" ref="AA45">IF(W45=3*C$63+1,E$39-D$17,IF(W45&gt;3*C$63,"", INDEX(E$43:E$62,V45)-D$17))</f>
        <v/>
      </c>
      <c r="AB45" s="339" t="str">
        <f t="shared" si="80"/>
        <v/>
      </c>
      <c r="AC45" s="331" t="e" cm="1">
        <f t="array" ref="AC45">[1]!PureBendingDesign(AB45)*G$8/G$18</f>
        <v>#VALUE!</v>
      </c>
      <c r="AD45" s="331"/>
      <c r="AE45" s="472" t="str" cm="1">
        <f t="array" ref="AE45">IF(W45=C$63*3+1,D$39,IF(W45&gt;C$63*3,"", INDEX(D$43:D$62,V45)))</f>
        <v/>
      </c>
      <c r="AF45" s="472" t="e">
        <f t="shared" si="5"/>
        <v>#VALUE!</v>
      </c>
      <c r="AG45" s="472" t="e">
        <f t="shared" si="6"/>
        <v>#VALUE!</v>
      </c>
      <c r="AH45" s="329" t="str">
        <f t="shared" si="7"/>
        <v/>
      </c>
      <c r="AI45" s="332" t="str">
        <f t="shared" si="8"/>
        <v/>
      </c>
      <c r="AK45" s="261">
        <f t="shared" si="104"/>
        <v>5</v>
      </c>
      <c r="AL45" s="299">
        <f t="shared" si="99"/>
        <v>829.5207904431868</v>
      </c>
      <c r="AM45" s="302">
        <f t="shared" si="105"/>
        <v>4</v>
      </c>
      <c r="AN45" s="302">
        <f t="shared" si="100"/>
        <v>16</v>
      </c>
      <c r="AO45" s="299">
        <f t="shared" si="106"/>
        <v>2</v>
      </c>
      <c r="AP45" s="299">
        <f t="shared" si="101"/>
        <v>2</v>
      </c>
      <c r="AQ45" s="290">
        <f t="shared" si="102"/>
        <v>803.84</v>
      </c>
      <c r="AS45" s="328"/>
      <c r="AT45" s="329"/>
      <c r="AU45" s="330"/>
      <c r="AV45" s="330"/>
      <c r="AW45" s="330"/>
      <c r="AX45" s="336"/>
      <c r="AY45" s="329"/>
      <c r="AZ45" s="329"/>
      <c r="BA45" s="336"/>
      <c r="BB45" s="336"/>
      <c r="BC45" s="336"/>
      <c r="BD45" s="329"/>
      <c r="BE45" s="336"/>
      <c r="BF45" s="336"/>
      <c r="BG45" s="338"/>
      <c r="BH45" s="336"/>
      <c r="BI45" s="336"/>
      <c r="BJ45" s="337"/>
      <c r="BL45" s="269" t="str">
        <f t="shared" si="44"/>
        <v/>
      </c>
      <c r="BM45" s="269" t="str">
        <f t="shared" si="74"/>
        <v/>
      </c>
      <c r="BN45" s="270" cm="1">
        <f t="array" ref="BN45">IFERROR(INDEX(C$43:C$62,BM45)+BN42,0)</f>
        <v>0</v>
      </c>
      <c r="BO45" s="271">
        <f t="shared" ref="BO45:BO46" si="120">IFERROR(Y47,"")</f>
        <v>0</v>
      </c>
    </row>
    <row r="46" spans="1:67" x14ac:dyDescent="0.3">
      <c r="B46" s="262">
        <v>4</v>
      </c>
      <c r="C46" s="424">
        <v>4000</v>
      </c>
      <c r="D46" s="425">
        <v>120</v>
      </c>
      <c r="E46" s="425">
        <v>500</v>
      </c>
      <c r="F46" s="426">
        <v>895</v>
      </c>
      <c r="G46" s="427">
        <f t="shared" si="116"/>
        <v>1.5</v>
      </c>
      <c r="H46" s="427">
        <v>8.15</v>
      </c>
      <c r="I46" s="426">
        <v>1700</v>
      </c>
      <c r="J46" s="426" t="b">
        <v>1</v>
      </c>
      <c r="K46" s="426">
        <v>1500</v>
      </c>
      <c r="L46" s="426" t="b">
        <v>1</v>
      </c>
      <c r="M46" s="427">
        <f t="shared" si="108"/>
        <v>7.7499999999999999E-3</v>
      </c>
      <c r="N46" s="427">
        <f t="shared" si="109"/>
        <v>4.0000000000000001E-3</v>
      </c>
      <c r="O46" s="428">
        <f t="shared" si="117"/>
        <v>0.71666666666666667</v>
      </c>
      <c r="P46" s="428">
        <f t="shared" si="118"/>
        <v>0.75</v>
      </c>
      <c r="Q46" s="322">
        <f t="shared" si="111"/>
        <v>1250000000</v>
      </c>
      <c r="R46" s="322">
        <f t="shared" si="112"/>
        <v>312500</v>
      </c>
      <c r="S46" s="429">
        <f t="shared" si="113"/>
        <v>38.935166666666653</v>
      </c>
      <c r="T46" s="430">
        <f t="shared" si="114"/>
        <v>14.997333333333332</v>
      </c>
      <c r="V46" s="328" t="str">
        <f t="shared" si="78"/>
        <v/>
      </c>
      <c r="W46" s="329" t="str">
        <f t="shared" si="79"/>
        <v/>
      </c>
      <c r="X46" s="329" t="str" cm="1">
        <f t="array" ref="X46">IF(W46&gt; C$63*3+1,"",IF(OR(W46=0, W46=C$63*3+1),"cantiliver",_xlfn.SWITCH(MOD(W46-1,3),0,"start",1,"middel",2,"end","")))</f>
        <v/>
      </c>
      <c r="Y46" s="330"/>
      <c r="Z46" s="329" t="str" cm="1">
        <f t="array" ref="Z46">IF(W46=C$63*3+1,D$39,IF(W46&gt;C$63*3,"", IF(Y46&gt;0,INDEX(F$43:F$62,V46),INDEX(D$43:D$62,V46))))</f>
        <v/>
      </c>
      <c r="AA46" s="329" t="str" cm="1">
        <f t="array" ref="AA46">IF(W46=3*C$63+1,E$39-D$17,IF(W46&gt;3*C$63,"", INDEX(E$43:E$62,V46)-D$17))</f>
        <v/>
      </c>
      <c r="AB46" s="339" t="str">
        <f t="shared" si="80"/>
        <v/>
      </c>
      <c r="AC46" s="331" t="e" cm="1">
        <f t="array" ref="AC46">[1]!PureBendingDesign(AB46)*G$8/G$18</f>
        <v>#VALUE!</v>
      </c>
      <c r="AD46" s="331"/>
      <c r="AE46" s="472" t="str" cm="1">
        <f t="array" ref="AE46">IF(W46=C$63*3+1,D$39,IF(W46&gt;C$63*3,"", INDEX(D$43:D$62,V46)))</f>
        <v/>
      </c>
      <c r="AF46" s="472" t="e">
        <f t="shared" si="5"/>
        <v>#VALUE!</v>
      </c>
      <c r="AG46" s="472" t="e">
        <f t="shared" si="6"/>
        <v>#VALUE!</v>
      </c>
      <c r="AH46" s="329" t="str">
        <f t="shared" si="7"/>
        <v/>
      </c>
      <c r="AI46" s="332" t="str">
        <f t="shared" si="8"/>
        <v/>
      </c>
      <c r="AK46" s="261">
        <f t="shared" si="104"/>
        <v>6</v>
      </c>
      <c r="AL46" s="299">
        <f t="shared" si="99"/>
        <v>709.87054008475207</v>
      </c>
      <c r="AM46" s="302">
        <f t="shared" si="105"/>
        <v>4</v>
      </c>
      <c r="AN46" s="302">
        <f t="shared" si="100"/>
        <v>16</v>
      </c>
      <c r="AO46" s="299">
        <f t="shared" si="106"/>
        <v>2</v>
      </c>
      <c r="AP46" s="299">
        <f t="shared" si="101"/>
        <v>2</v>
      </c>
      <c r="AQ46" s="290">
        <f t="shared" si="102"/>
        <v>803.84</v>
      </c>
      <c r="AS46" s="328"/>
      <c r="AT46" s="329"/>
      <c r="AU46" s="330"/>
      <c r="AV46" s="330"/>
      <c r="AW46" s="330"/>
      <c r="AX46" s="336"/>
      <c r="AY46" s="329"/>
      <c r="AZ46" s="329"/>
      <c r="BA46" s="336"/>
      <c r="BB46" s="336"/>
      <c r="BC46" s="336"/>
      <c r="BD46" s="329"/>
      <c r="BE46" s="336"/>
      <c r="BF46" s="336"/>
      <c r="BG46" s="338"/>
      <c r="BH46" s="336"/>
      <c r="BI46" s="336"/>
      <c r="BJ46" s="337"/>
      <c r="BL46" s="269" t="str">
        <f t="shared" si="44"/>
        <v/>
      </c>
      <c r="BM46" s="269" t="str">
        <f t="shared" si="74"/>
        <v/>
      </c>
      <c r="BN46" s="270">
        <f t="shared" ref="BN46" si="121">IFERROR(BN45,0)</f>
        <v>0</v>
      </c>
      <c r="BO46" s="271">
        <f t="shared" si="120"/>
        <v>0</v>
      </c>
    </row>
    <row r="47" spans="1:67" x14ac:dyDescent="0.3">
      <c r="B47" s="262">
        <v>5</v>
      </c>
      <c r="C47" s="424">
        <v>4500</v>
      </c>
      <c r="D47" s="425">
        <v>120</v>
      </c>
      <c r="E47" s="425">
        <v>500</v>
      </c>
      <c r="F47" s="426">
        <v>895</v>
      </c>
      <c r="G47" s="427">
        <f t="shared" ref="G47:G51" si="122">D47*E47*D$18</f>
        <v>1.5</v>
      </c>
      <c r="H47" s="427">
        <v>8.15</v>
      </c>
      <c r="I47" s="426">
        <v>1700</v>
      </c>
      <c r="J47" s="426" t="b">
        <v>1</v>
      </c>
      <c r="K47" s="426">
        <v>1501</v>
      </c>
      <c r="L47" s="426" t="b">
        <v>1</v>
      </c>
      <c r="M47" s="427">
        <f t="shared" si="108"/>
        <v>7.7499999999999999E-3</v>
      </c>
      <c r="N47" s="427">
        <f t="shared" si="109"/>
        <v>4.0000000000000001E-3</v>
      </c>
      <c r="O47" s="428">
        <f t="shared" si="117"/>
        <v>0.74814814814814823</v>
      </c>
      <c r="P47" s="428">
        <f t="shared" si="118"/>
        <v>0.77762962962962967</v>
      </c>
      <c r="Q47" s="322">
        <f t="shared" si="111"/>
        <v>1250000000</v>
      </c>
      <c r="R47" s="322">
        <f t="shared" si="112"/>
        <v>277777.77777777775</v>
      </c>
      <c r="S47" s="429">
        <f t="shared" si="113"/>
        <v>39.973952096296301</v>
      </c>
      <c r="T47" s="430">
        <f t="shared" si="114"/>
        <v>15.610073125925929</v>
      </c>
      <c r="V47" s="328" t="str">
        <f t="shared" si="78"/>
        <v/>
      </c>
      <c r="W47" s="329" t="str">
        <f t="shared" si="79"/>
        <v/>
      </c>
      <c r="X47" s="329" t="str" cm="1">
        <f t="array" ref="X47">IF(W47&gt; C$63*3+1,"",IF(OR(W47=0, W47=C$63*3+1),"cantiliver",_xlfn.SWITCH(MOD(W47-1,3),0,"start",1,"middel",2,"end","")))</f>
        <v/>
      </c>
      <c r="Y47" s="330"/>
      <c r="Z47" s="329" t="str" cm="1">
        <f t="array" ref="Z47">IF(W47=C$63*3+1,D$39,IF(W47&gt;C$63*3,"", IF(Y47&gt;0,INDEX(F$43:F$62,V47),INDEX(D$43:D$62,V47))))</f>
        <v/>
      </c>
      <c r="AA47" s="329" t="str" cm="1">
        <f t="array" ref="AA47">IF(W47=3*C$63+1,E$39-D$17,IF(W47&gt;3*C$63,"", INDEX(E$43:E$62,V47)-D$17))</f>
        <v/>
      </c>
      <c r="AB47" s="339" t="str">
        <f t="shared" si="80"/>
        <v/>
      </c>
      <c r="AC47" s="331" t="e" cm="1">
        <f t="array" ref="AC47">[1]!PureBendingDesign(AB47)*G$8/G$18</f>
        <v>#VALUE!</v>
      </c>
      <c r="AD47" s="331"/>
      <c r="AE47" s="472" t="str" cm="1">
        <f t="array" ref="AE47">IF(W47=C$63*3+1,D$39,IF(W47&gt;C$63*3,"", INDEX(D$43:D$62,V47)))</f>
        <v/>
      </c>
      <c r="AF47" s="472" t="e">
        <f t="shared" si="5"/>
        <v>#VALUE!</v>
      </c>
      <c r="AG47" s="472" t="e">
        <f t="shared" si="6"/>
        <v>#VALUE!</v>
      </c>
      <c r="AH47" s="329" t="str">
        <f t="shared" si="7"/>
        <v/>
      </c>
      <c r="AI47" s="332" t="str">
        <f t="shared" si="8"/>
        <v/>
      </c>
      <c r="AK47" s="261">
        <f t="shared" si="104"/>
        <v>7</v>
      </c>
      <c r="AL47" s="299">
        <f t="shared" si="99"/>
        <v>226.08</v>
      </c>
      <c r="AM47" s="302">
        <f t="shared" si="105"/>
        <v>2</v>
      </c>
      <c r="AN47" s="302">
        <f t="shared" si="100"/>
        <v>12</v>
      </c>
      <c r="AO47" s="299">
        <f t="shared" si="106"/>
        <v>2</v>
      </c>
      <c r="AP47" s="299">
        <f t="shared" si="101"/>
        <v>2</v>
      </c>
      <c r="AQ47" s="290">
        <f t="shared" si="102"/>
        <v>452.16</v>
      </c>
      <c r="AS47" s="328"/>
      <c r="AT47" s="329"/>
      <c r="AU47" s="330"/>
      <c r="AV47" s="330"/>
      <c r="AW47" s="330"/>
      <c r="AX47" s="336"/>
      <c r="AY47" s="329"/>
      <c r="AZ47" s="329"/>
      <c r="BA47" s="336"/>
      <c r="BB47" s="336"/>
      <c r="BC47" s="336"/>
      <c r="BD47" s="329"/>
      <c r="BE47" s="336"/>
      <c r="BF47" s="336"/>
      <c r="BG47" s="338"/>
      <c r="BH47" s="336"/>
      <c r="BI47" s="336"/>
      <c r="BJ47" s="337"/>
      <c r="BL47" s="269" t="str">
        <f t="shared" si="44"/>
        <v/>
      </c>
      <c r="BM47" s="269" t="str">
        <f t="shared" si="74"/>
        <v/>
      </c>
      <c r="BN47" s="270">
        <f t="shared" ref="BN47" si="123">IFERROR((BN48+BN46)/2,0)</f>
        <v>0</v>
      </c>
      <c r="BO47" s="269" t="str" cm="1">
        <f t="array" ref="BO47">IFERROR((INDEX(S$43:S$62,BM47)+INDEX(T$43:T$62,BM47))*INDEX(C$43:C$62,BM47)*INDEX(C$43:C$62,BM47)/8,"")</f>
        <v/>
      </c>
    </row>
    <row r="48" spans="1:67" x14ac:dyDescent="0.3">
      <c r="B48" s="262">
        <v>6</v>
      </c>
      <c r="C48" s="424">
        <v>3380</v>
      </c>
      <c r="D48" s="425">
        <v>120</v>
      </c>
      <c r="E48" s="425">
        <v>500</v>
      </c>
      <c r="F48" s="426">
        <v>895</v>
      </c>
      <c r="G48" s="427">
        <f t="shared" si="122"/>
        <v>1.5</v>
      </c>
      <c r="H48" s="427">
        <v>8.15</v>
      </c>
      <c r="I48" s="426">
        <v>1700</v>
      </c>
      <c r="J48" s="426" t="b">
        <v>1</v>
      </c>
      <c r="K48" s="426">
        <v>1502</v>
      </c>
      <c r="L48" s="426" t="b">
        <v>1</v>
      </c>
      <c r="M48" s="427">
        <f t="shared" si="108"/>
        <v>7.7499999999999999E-3</v>
      </c>
      <c r="N48" s="427">
        <f t="shared" si="109"/>
        <v>4.0000000000000001E-3</v>
      </c>
      <c r="O48" s="428">
        <f t="shared" si="117"/>
        <v>0.66469428007889553</v>
      </c>
      <c r="P48" s="428">
        <f t="shared" si="118"/>
        <v>0.70374753451676519</v>
      </c>
      <c r="Q48" s="322">
        <f t="shared" si="111"/>
        <v>1250000000</v>
      </c>
      <c r="R48" s="322">
        <f t="shared" si="112"/>
        <v>369822.48520710057</v>
      </c>
      <c r="S48" s="429">
        <f t="shared" si="113"/>
        <v>37.239048441814596</v>
      </c>
      <c r="T48" s="430">
        <f t="shared" si="114"/>
        <v>13.996858067061146</v>
      </c>
      <c r="V48" s="328" t="str">
        <f t="shared" si="78"/>
        <v/>
      </c>
      <c r="W48" s="329" t="str">
        <f t="shared" si="79"/>
        <v/>
      </c>
      <c r="X48" s="329" t="str" cm="1">
        <f t="array" ref="X48">IF(W48&gt; C$63*3+1,"",IF(OR(W48=0, W48=C$63*3+1),"cantiliver",_xlfn.SWITCH(MOD(W48-1,3),0,"start",1,"middel",2,"end","")))</f>
        <v/>
      </c>
      <c r="Y48" s="330"/>
      <c r="Z48" s="329" t="str" cm="1">
        <f t="array" ref="Z48">IF(W48=C$63*3+1,D$39,IF(W48&gt;C$63*3,"", IF(Y48&gt;0,INDEX(F$43:F$62,V48),INDEX(D$43:D$62,V48))))</f>
        <v/>
      </c>
      <c r="AA48" s="329" t="str" cm="1">
        <f t="array" ref="AA48">IF(W48=3*C$63+1,E$39-D$17,IF(W48&gt;3*C$63,"", INDEX(E$43:E$62,V48)-D$17))</f>
        <v/>
      </c>
      <c r="AB48" s="339" t="str">
        <f t="shared" si="80"/>
        <v/>
      </c>
      <c r="AC48" s="331" t="e" cm="1">
        <f t="array" ref="AC48">[1]!PureBendingDesign(AB48)*G$8/G$18</f>
        <v>#VALUE!</v>
      </c>
      <c r="AD48" s="331"/>
      <c r="AE48" s="472" t="str" cm="1">
        <f t="array" ref="AE48">IF(W48=C$63*3+1,D$39,IF(W48&gt;C$63*3,"", INDEX(D$43:D$62,V48)))</f>
        <v/>
      </c>
      <c r="AF48" s="472" t="e">
        <f t="shared" si="5"/>
        <v>#VALUE!</v>
      </c>
      <c r="AG48" s="472" t="e">
        <f t="shared" si="6"/>
        <v>#VALUE!</v>
      </c>
      <c r="AH48" s="329" t="str">
        <f t="shared" si="7"/>
        <v/>
      </c>
      <c r="AI48" s="332" t="str">
        <f t="shared" si="8"/>
        <v/>
      </c>
      <c r="AK48" s="261">
        <f t="shared" si="104"/>
        <v>8</v>
      </c>
      <c r="AL48" s="299">
        <f t="shared" si="99"/>
        <v>325.87756309805894</v>
      </c>
      <c r="AM48" s="302">
        <f t="shared" si="105"/>
        <v>3</v>
      </c>
      <c r="AN48" s="302">
        <f t="shared" si="100"/>
        <v>12</v>
      </c>
      <c r="AO48" s="299">
        <f t="shared" si="106"/>
        <v>2</v>
      </c>
      <c r="AP48" s="299">
        <f t="shared" si="101"/>
        <v>2</v>
      </c>
      <c r="AQ48" s="290">
        <f t="shared" si="102"/>
        <v>452.16</v>
      </c>
      <c r="AS48" s="328"/>
      <c r="AT48" s="329"/>
      <c r="AU48" s="330"/>
      <c r="AV48" s="330"/>
      <c r="AW48" s="330"/>
      <c r="AX48" s="336"/>
      <c r="AY48" s="329"/>
      <c r="AZ48" s="329"/>
      <c r="BA48" s="336"/>
      <c r="BB48" s="336"/>
      <c r="BC48" s="336"/>
      <c r="BD48" s="329"/>
      <c r="BE48" s="336"/>
      <c r="BF48" s="336"/>
      <c r="BG48" s="338"/>
      <c r="BH48" s="336"/>
      <c r="BI48" s="336"/>
      <c r="BJ48" s="337"/>
      <c r="BL48" s="269" t="str">
        <f t="shared" si="44"/>
        <v/>
      </c>
      <c r="BM48" s="269" t="str">
        <f t="shared" si="74"/>
        <v/>
      </c>
      <c r="BN48" s="270" cm="1">
        <f t="array" ref="BN48">IFERROR(INDEX(C$43:C$62,BM48)+BN45,0)</f>
        <v>0</v>
      </c>
      <c r="BO48" s="271">
        <f t="shared" ref="BO48:BO49" si="124">IFERROR(Y50,"")</f>
        <v>0</v>
      </c>
    </row>
    <row r="49" spans="2:67" x14ac:dyDescent="0.3">
      <c r="B49" s="262">
        <v>7</v>
      </c>
      <c r="C49" s="424">
        <v>2000</v>
      </c>
      <c r="D49" s="425">
        <v>120</v>
      </c>
      <c r="E49" s="425">
        <v>500</v>
      </c>
      <c r="F49" s="426">
        <v>895</v>
      </c>
      <c r="G49" s="427">
        <f t="shared" si="122"/>
        <v>1.5</v>
      </c>
      <c r="H49" s="427">
        <v>8.15</v>
      </c>
      <c r="I49" s="426">
        <v>1700</v>
      </c>
      <c r="J49" s="426" t="b">
        <v>1</v>
      </c>
      <c r="K49" s="426">
        <v>1503</v>
      </c>
      <c r="L49" s="426" t="b">
        <v>1</v>
      </c>
      <c r="M49" s="427">
        <f t="shared" si="108"/>
        <v>7.7499999999999999E-3</v>
      </c>
      <c r="N49" s="427">
        <f t="shared" si="109"/>
        <v>4.0000000000000001E-3</v>
      </c>
      <c r="O49" s="428">
        <f t="shared" si="117"/>
        <v>0.43333333333333335</v>
      </c>
      <c r="P49" s="428">
        <f t="shared" si="118"/>
        <v>0.499</v>
      </c>
      <c r="Q49" s="322">
        <f t="shared" si="111"/>
        <v>1250000000</v>
      </c>
      <c r="R49" s="322">
        <f t="shared" si="112"/>
        <v>625000</v>
      </c>
      <c r="S49" s="429">
        <f t="shared" si="113"/>
        <v>29.640300783333334</v>
      </c>
      <c r="T49" s="430">
        <f t="shared" si="114"/>
        <v>9.5146474666666681</v>
      </c>
      <c r="V49" s="328" t="str">
        <f t="shared" si="78"/>
        <v/>
      </c>
      <c r="W49" s="329" t="str">
        <f t="shared" si="79"/>
        <v/>
      </c>
      <c r="X49" s="329" t="str" cm="1">
        <f t="array" ref="X49">IF(W49&gt; C$63*3+1,"",IF(OR(W49=0, W49=C$63*3+1),"cantiliver",_xlfn.SWITCH(MOD(W49-1,3),0,"start",1,"middel",2,"end","")))</f>
        <v/>
      </c>
      <c r="Y49" s="330"/>
      <c r="Z49" s="329" t="str" cm="1">
        <f t="array" ref="Z49">IF(W49=C$63*3+1,D$39,IF(W49&gt;C$63*3,"", IF(Y49&gt;0,INDEX(F$43:F$62,V49),INDEX(D$43:D$62,V49))))</f>
        <v/>
      </c>
      <c r="AA49" s="329" t="str" cm="1">
        <f t="array" ref="AA49">IF(W49=3*C$63+1,E$39-D$17,IF(W49&gt;3*C$63,"", INDEX(E$43:E$62,V49)-D$17))</f>
        <v/>
      </c>
      <c r="AB49" s="339" t="str">
        <f t="shared" si="80"/>
        <v/>
      </c>
      <c r="AC49" s="331" t="e" cm="1">
        <f t="array" ref="AC49">[1]!PureBendingDesign(AB49)*G$8/G$18</f>
        <v>#VALUE!</v>
      </c>
      <c r="AD49" s="331"/>
      <c r="AE49" s="472" t="str" cm="1">
        <f t="array" ref="AE49">IF(W49=C$63*3+1,D$39,IF(W49&gt;C$63*3,"", INDEX(D$43:D$62,V49)))</f>
        <v/>
      </c>
      <c r="AF49" s="472" t="e">
        <f t="shared" si="5"/>
        <v>#VALUE!</v>
      </c>
      <c r="AG49" s="472" t="e">
        <f t="shared" si="6"/>
        <v>#VALUE!</v>
      </c>
      <c r="AH49" s="329" t="str">
        <f t="shared" si="7"/>
        <v/>
      </c>
      <c r="AI49" s="332" t="str">
        <f t="shared" si="8"/>
        <v/>
      </c>
      <c r="AK49" s="261">
        <f t="shared" si="104"/>
        <v>9</v>
      </c>
      <c r="AL49" s="299">
        <f t="shared" si="99"/>
        <v>353.7386299569464</v>
      </c>
      <c r="AM49" s="302">
        <f t="shared" si="105"/>
        <v>3</v>
      </c>
      <c r="AN49" s="302">
        <f t="shared" si="100"/>
        <v>12</v>
      </c>
      <c r="AO49" s="299">
        <f t="shared" si="106"/>
        <v>2</v>
      </c>
      <c r="AP49" s="315">
        <f t="shared" si="101"/>
        <v>2</v>
      </c>
      <c r="AQ49" s="290">
        <f t="shared" si="102"/>
        <v>452.16</v>
      </c>
      <c r="AS49" s="328"/>
      <c r="AT49" s="329"/>
      <c r="AU49" s="330"/>
      <c r="AV49" s="330"/>
      <c r="AW49" s="330"/>
      <c r="AX49" s="336"/>
      <c r="AY49" s="329"/>
      <c r="AZ49" s="329"/>
      <c r="BA49" s="336"/>
      <c r="BB49" s="336"/>
      <c r="BC49" s="336"/>
      <c r="BD49" s="329"/>
      <c r="BE49" s="336"/>
      <c r="BF49" s="336"/>
      <c r="BG49" s="338"/>
      <c r="BH49" s="336"/>
      <c r="BI49" s="336"/>
      <c r="BJ49" s="337"/>
      <c r="BL49" s="269" t="str">
        <f t="shared" si="44"/>
        <v/>
      </c>
      <c r="BM49" s="269" t="str">
        <f t="shared" si="74"/>
        <v/>
      </c>
      <c r="BN49" s="270">
        <f t="shared" ref="BN49" si="125">IFERROR(BN48,0)</f>
        <v>0</v>
      </c>
      <c r="BO49" s="271">
        <f t="shared" si="124"/>
        <v>0</v>
      </c>
    </row>
    <row r="50" spans="2:67" x14ac:dyDescent="0.3">
      <c r="B50" s="262">
        <v>8</v>
      </c>
      <c r="C50" s="424">
        <v>3500</v>
      </c>
      <c r="D50" s="425">
        <v>120</v>
      </c>
      <c r="E50" s="425">
        <v>500</v>
      </c>
      <c r="F50" s="426">
        <v>895</v>
      </c>
      <c r="G50" s="427">
        <f t="shared" si="122"/>
        <v>1.5</v>
      </c>
      <c r="H50" s="427">
        <v>8.15</v>
      </c>
      <c r="I50" s="426">
        <v>1700</v>
      </c>
      <c r="J50" s="426" t="b">
        <v>1</v>
      </c>
      <c r="K50" s="426">
        <v>1504</v>
      </c>
      <c r="L50" s="426" t="b">
        <v>1</v>
      </c>
      <c r="M50" s="427">
        <f t="shared" si="108"/>
        <v>7.7499999999999999E-3</v>
      </c>
      <c r="N50" s="427">
        <f t="shared" si="109"/>
        <v>4.0000000000000001E-3</v>
      </c>
      <c r="O50" s="428">
        <f t="shared" si="117"/>
        <v>0.67619047619047623</v>
      </c>
      <c r="P50" s="428">
        <f t="shared" si="118"/>
        <v>0.71352380952380945</v>
      </c>
      <c r="Q50" s="322">
        <f t="shared" si="111"/>
        <v>1250000000</v>
      </c>
      <c r="R50" s="322">
        <f t="shared" si="112"/>
        <v>357142.85714285716</v>
      </c>
      <c r="S50" s="429">
        <f t="shared" si="113"/>
        <v>37.625900266666669</v>
      </c>
      <c r="T50" s="430">
        <f t="shared" si="114"/>
        <v>14.225047161904763</v>
      </c>
      <c r="V50" s="328" t="str">
        <f t="shared" si="78"/>
        <v/>
      </c>
      <c r="W50" s="329" t="str">
        <f t="shared" si="79"/>
        <v/>
      </c>
      <c r="X50" s="329" t="str" cm="1">
        <f t="array" ref="X50">IF(W50&gt; C$63*3+1,"",IF(OR(W50=0, W50=C$63*3+1),"cantiliver",_xlfn.SWITCH(MOD(W50-1,3),0,"start",1,"middel",2,"end","")))</f>
        <v/>
      </c>
      <c r="Y50" s="330"/>
      <c r="Z50" s="329" t="str" cm="1">
        <f t="array" ref="Z50">IF(W50=C$63*3+1,D$39,IF(W50&gt;C$63*3,"", IF(Y50&gt;0,INDEX(F$43:F$62,V50),INDEX(D$43:D$62,V50))))</f>
        <v/>
      </c>
      <c r="AA50" s="329" t="str" cm="1">
        <f t="array" ref="AA50">IF(W50=3*C$63+1,E$39-D$17,IF(W50&gt;3*C$63,"", INDEX(E$43:E$62,V50)-D$17))</f>
        <v/>
      </c>
      <c r="AB50" s="339" t="str">
        <f t="shared" si="80"/>
        <v/>
      </c>
      <c r="AC50" s="331" t="e" cm="1">
        <f t="array" ref="AC50">[1]!PureBendingDesign(AB50)*G$8/G$18</f>
        <v>#VALUE!</v>
      </c>
      <c r="AD50" s="331"/>
      <c r="AE50" s="472" t="str" cm="1">
        <f t="array" ref="AE50">IF(W50=C$63*3+1,D$39,IF(W50&gt;C$63*3,"", INDEX(D$43:D$62,V50)))</f>
        <v/>
      </c>
      <c r="AF50" s="472" t="e">
        <f t="shared" si="5"/>
        <v>#VALUE!</v>
      </c>
      <c r="AG50" s="472" t="e">
        <f t="shared" si="6"/>
        <v>#VALUE!</v>
      </c>
      <c r="AH50" s="329" t="str">
        <f t="shared" si="7"/>
        <v/>
      </c>
      <c r="AI50" s="332" t="str">
        <f t="shared" si="8"/>
        <v/>
      </c>
      <c r="AK50" s="261">
        <f t="shared" si="104"/>
        <v>10</v>
      </c>
      <c r="AL50" s="299">
        <f t="shared" si="99"/>
        <v>226.08</v>
      </c>
      <c r="AM50" s="302">
        <f t="shared" si="105"/>
        <v>2</v>
      </c>
      <c r="AN50" s="302">
        <f t="shared" si="100"/>
        <v>12</v>
      </c>
      <c r="AO50" s="299">
        <f t="shared" si="106"/>
        <v>2</v>
      </c>
      <c r="AP50" s="299">
        <f t="shared" si="101"/>
        <v>2</v>
      </c>
      <c r="AQ50" s="290">
        <f t="shared" si="102"/>
        <v>452.16</v>
      </c>
      <c r="AS50" s="328"/>
      <c r="AT50" s="329"/>
      <c r="AU50" s="330"/>
      <c r="AV50" s="330"/>
      <c r="AW50" s="330"/>
      <c r="AX50" s="336"/>
      <c r="AY50" s="329"/>
      <c r="AZ50" s="329"/>
      <c r="BA50" s="336"/>
      <c r="BB50" s="336"/>
      <c r="BC50" s="336"/>
      <c r="BD50" s="329"/>
      <c r="BE50" s="336"/>
      <c r="BF50" s="336"/>
      <c r="BG50" s="338"/>
      <c r="BH50" s="336"/>
      <c r="BI50" s="336"/>
      <c r="BJ50" s="337"/>
      <c r="BL50" s="269" t="str">
        <f t="shared" si="44"/>
        <v/>
      </c>
      <c r="BM50" s="269" t="str">
        <f t="shared" si="74"/>
        <v/>
      </c>
      <c r="BN50" s="270">
        <f t="shared" ref="BN50" si="126">IFERROR((BN51+BN49)/2,0)</f>
        <v>0</v>
      </c>
      <c r="BO50" s="269" t="str" cm="1">
        <f t="array" ref="BO50">IFERROR((INDEX(S$43:S$62,BM50)+INDEX(T$43:T$62,BM50))*INDEX(C$43:C$62,BM50)*INDEX(C$43:C$62,BM50)/8,"")</f>
        <v/>
      </c>
    </row>
    <row r="51" spans="2:67" x14ac:dyDescent="0.3">
      <c r="B51" s="262">
        <v>9</v>
      </c>
      <c r="C51" s="424">
        <v>2000</v>
      </c>
      <c r="D51" s="425">
        <v>120</v>
      </c>
      <c r="E51" s="425">
        <v>500</v>
      </c>
      <c r="F51" s="426">
        <v>895</v>
      </c>
      <c r="G51" s="427">
        <f t="shared" si="122"/>
        <v>1.5</v>
      </c>
      <c r="H51" s="427">
        <v>8.15</v>
      </c>
      <c r="I51" s="426">
        <v>1700</v>
      </c>
      <c r="J51" s="426" t="b">
        <v>1</v>
      </c>
      <c r="K51" s="426">
        <v>1505</v>
      </c>
      <c r="L51" s="426" t="b">
        <v>1</v>
      </c>
      <c r="M51" s="427">
        <f t="shared" si="108"/>
        <v>7.7499999999999999E-3</v>
      </c>
      <c r="N51" s="427">
        <f t="shared" si="109"/>
        <v>4.0000000000000001E-3</v>
      </c>
      <c r="O51" s="428">
        <f t="shared" si="117"/>
        <v>0.43333333333333335</v>
      </c>
      <c r="P51" s="428">
        <f t="shared" si="118"/>
        <v>0.49833333333333341</v>
      </c>
      <c r="Q51" s="322">
        <f t="shared" si="111"/>
        <v>1250000000</v>
      </c>
      <c r="R51" s="322">
        <f t="shared" si="112"/>
        <v>625000</v>
      </c>
      <c r="S51" s="429">
        <f t="shared" si="113"/>
        <v>29.640242916666665</v>
      </c>
      <c r="T51" s="430">
        <f t="shared" si="114"/>
        <v>9.5146133333333349</v>
      </c>
      <c r="V51" s="328" t="str">
        <f t="shared" si="78"/>
        <v/>
      </c>
      <c r="W51" s="329" t="str">
        <f t="shared" si="79"/>
        <v/>
      </c>
      <c r="X51" s="329" t="str" cm="1">
        <f t="array" ref="X51">IF(W51&gt; C$63*3+1,"",IF(OR(W51=0, W51=C$63*3+1),"cantiliver",_xlfn.SWITCH(MOD(W51-1,3),0,"start",1,"middel",2,"end","")))</f>
        <v/>
      </c>
      <c r="Y51" s="330"/>
      <c r="Z51" s="329" t="str" cm="1">
        <f t="array" ref="Z51">IF(W51=C$63*3+1,D$39,IF(W51&gt;C$63*3,"", IF(Y51&gt;0,INDEX(F$43:F$62,V51),INDEX(D$43:D$62,V51))))</f>
        <v/>
      </c>
      <c r="AA51" s="329" t="str" cm="1">
        <f t="array" ref="AA51">IF(W51=3*C$63+1,E$39-D$17,IF(W51&gt;3*C$63,"", INDEX(E$43:E$62,V51)-D$17))</f>
        <v/>
      </c>
      <c r="AB51" s="339" t="str">
        <f t="shared" si="80"/>
        <v/>
      </c>
      <c r="AC51" s="331" t="e" cm="1">
        <f t="array" ref="AC51">[1]!PureBendingDesign(AB51)*G$8/G$18</f>
        <v>#VALUE!</v>
      </c>
      <c r="AD51" s="331"/>
      <c r="AE51" s="472" t="str" cm="1">
        <f t="array" ref="AE51">IF(W51=C$63*3+1,D$39,IF(W51&gt;C$63*3,"", INDEX(D$43:D$62,V51)))</f>
        <v/>
      </c>
      <c r="AF51" s="472" t="e">
        <f t="shared" si="5"/>
        <v>#VALUE!</v>
      </c>
      <c r="AG51" s="472" t="e">
        <f t="shared" si="6"/>
        <v>#VALUE!</v>
      </c>
      <c r="AH51" s="329" t="str">
        <f t="shared" si="7"/>
        <v/>
      </c>
      <c r="AI51" s="332" t="str">
        <f t="shared" si="8"/>
        <v/>
      </c>
      <c r="AK51" s="261" t="str">
        <f t="shared" si="104"/>
        <v/>
      </c>
      <c r="AL51" s="299" t="str">
        <f t="shared" si="99"/>
        <v/>
      </c>
      <c r="AM51" s="302" t="str">
        <f t="shared" si="105"/>
        <v/>
      </c>
      <c r="AN51" s="302" t="str">
        <f t="shared" si="100"/>
        <v/>
      </c>
      <c r="AO51" s="299" t="str">
        <f t="shared" si="106"/>
        <v/>
      </c>
      <c r="AP51" s="299" t="str">
        <f t="shared" si="101"/>
        <v/>
      </c>
      <c r="AQ51" s="290" t="str">
        <f t="shared" si="102"/>
        <v/>
      </c>
      <c r="AS51" s="328"/>
      <c r="AT51" s="329"/>
      <c r="AU51" s="330"/>
      <c r="AV51" s="330"/>
      <c r="AW51" s="330"/>
      <c r="AX51" s="336"/>
      <c r="AY51" s="329"/>
      <c r="AZ51" s="329"/>
      <c r="BA51" s="336"/>
      <c r="BB51" s="336"/>
      <c r="BC51" s="336"/>
      <c r="BD51" s="329"/>
      <c r="BE51" s="336"/>
      <c r="BF51" s="336"/>
      <c r="BG51" s="338"/>
      <c r="BH51" s="336"/>
      <c r="BI51" s="336"/>
      <c r="BJ51" s="337"/>
      <c r="BL51" s="269" t="str">
        <f t="shared" si="44"/>
        <v/>
      </c>
      <c r="BM51" s="269" t="str">
        <f t="shared" si="74"/>
        <v/>
      </c>
      <c r="BN51" s="270" cm="1">
        <f t="array" ref="BN51">IFERROR(INDEX(C$43:C$62,BM51)+BN48,0)</f>
        <v>0</v>
      </c>
      <c r="BO51" s="271">
        <f t="shared" ref="BO51:BO52" si="127">IFERROR(Y53,"")</f>
        <v>0</v>
      </c>
    </row>
    <row r="52" spans="2:67" x14ac:dyDescent="0.3">
      <c r="B52" s="262">
        <v>10</v>
      </c>
      <c r="C52" s="424"/>
      <c r="D52" s="425"/>
      <c r="E52" s="425"/>
      <c r="F52" s="426"/>
      <c r="G52" s="427"/>
      <c r="H52" s="427"/>
      <c r="I52" s="426"/>
      <c r="J52" s="426"/>
      <c r="K52" s="426"/>
      <c r="L52" s="426"/>
      <c r="M52" s="427"/>
      <c r="N52" s="427"/>
      <c r="O52" s="428">
        <f t="shared" si="117"/>
        <v>1</v>
      </c>
      <c r="P52" s="428">
        <f t="shared" si="118"/>
        <v>1</v>
      </c>
      <c r="Q52" s="322">
        <f t="shared" si="111"/>
        <v>0</v>
      </c>
      <c r="R52" s="322">
        <f t="shared" si="112"/>
        <v>0</v>
      </c>
      <c r="S52" s="429">
        <f t="shared" si="113"/>
        <v>0</v>
      </c>
      <c r="T52" s="430">
        <f t="shared" si="114"/>
        <v>0</v>
      </c>
      <c r="V52" s="328" t="str">
        <f t="shared" si="78"/>
        <v/>
      </c>
      <c r="W52" s="329" t="str">
        <f t="shared" si="79"/>
        <v/>
      </c>
      <c r="X52" s="329" t="str" cm="1">
        <f t="array" ref="X52">IF(W52&gt; C$63*3+1,"",IF(OR(W52=0, W52=C$63*3+1),"cantiliver",_xlfn.SWITCH(MOD(W52-1,3),0,"start",1,"middel",2,"end","")))</f>
        <v/>
      </c>
      <c r="Y52" s="330"/>
      <c r="Z52" s="329" t="str" cm="1">
        <f t="array" ref="Z52">IF(W52=C$63*3+1,D$39,IF(W52&gt;C$63*3,"", IF(Y52&gt;0,INDEX(F$43:F$62,V52),INDEX(D$43:D$62,V52))))</f>
        <v/>
      </c>
      <c r="AA52" s="329" t="str" cm="1">
        <f t="array" ref="AA52">IF(W52=3*C$63+1,E$39-D$17,IF(W52&gt;3*C$63,"", INDEX(E$43:E$62,V52)-D$17))</f>
        <v/>
      </c>
      <c r="AB52" s="339" t="str">
        <f t="shared" si="80"/>
        <v/>
      </c>
      <c r="AC52" s="331" t="e" cm="1">
        <f t="array" ref="AC52">[1]!PureBendingDesign(AB52)*G$8/G$18</f>
        <v>#VALUE!</v>
      </c>
      <c r="AD52" s="331"/>
      <c r="AE52" s="472" t="str" cm="1">
        <f t="array" ref="AE52">IF(W52=C$63*3+1,D$39,IF(W52&gt;C$63*3,"", INDEX(D$43:D$62,V52)))</f>
        <v/>
      </c>
      <c r="AF52" s="472" t="e">
        <f t="shared" si="5"/>
        <v>#VALUE!</v>
      </c>
      <c r="AG52" s="472" t="e">
        <f t="shared" si="6"/>
        <v>#VALUE!</v>
      </c>
      <c r="AH52" s="329" t="str">
        <f t="shared" si="7"/>
        <v/>
      </c>
      <c r="AI52" s="332" t="str">
        <f t="shared" si="8"/>
        <v/>
      </c>
      <c r="AK52" s="261" t="str">
        <f t="shared" si="104"/>
        <v/>
      </c>
      <c r="AL52" s="299" t="str">
        <f t="shared" si="99"/>
        <v/>
      </c>
      <c r="AM52" s="302" t="str">
        <f t="shared" si="105"/>
        <v/>
      </c>
      <c r="AN52" s="302" t="str">
        <f t="shared" si="100"/>
        <v/>
      </c>
      <c r="AO52" s="299" t="str">
        <f t="shared" si="106"/>
        <v/>
      </c>
      <c r="AP52" s="299" t="str">
        <f t="shared" si="101"/>
        <v/>
      </c>
      <c r="AQ52" s="290" t="str">
        <f t="shared" si="102"/>
        <v/>
      </c>
      <c r="AS52" s="328"/>
      <c r="AT52" s="329"/>
      <c r="AU52" s="330"/>
      <c r="AV52" s="330"/>
      <c r="AW52" s="330"/>
      <c r="AX52" s="336"/>
      <c r="AY52" s="329"/>
      <c r="AZ52" s="329"/>
      <c r="BA52" s="336"/>
      <c r="BB52" s="336"/>
      <c r="BC52" s="336"/>
      <c r="BD52" s="329"/>
      <c r="BE52" s="336"/>
      <c r="BF52" s="336"/>
      <c r="BG52" s="338"/>
      <c r="BH52" s="336"/>
      <c r="BI52" s="336"/>
      <c r="BJ52" s="337"/>
      <c r="BL52" s="269" t="str">
        <f t="shared" si="44"/>
        <v/>
      </c>
      <c r="BM52" s="269" t="str">
        <f t="shared" si="74"/>
        <v/>
      </c>
      <c r="BN52" s="270">
        <f t="shared" ref="BN52" si="128">IFERROR(BN51,0)</f>
        <v>0</v>
      </c>
      <c r="BO52" s="271">
        <f t="shared" si="127"/>
        <v>0</v>
      </c>
    </row>
    <row r="53" spans="2:67" x14ac:dyDescent="0.3">
      <c r="B53" s="262">
        <v>11</v>
      </c>
      <c r="C53" s="424"/>
      <c r="D53" s="425"/>
      <c r="E53" s="425"/>
      <c r="F53" s="426"/>
      <c r="G53" s="427"/>
      <c r="H53" s="427"/>
      <c r="I53" s="426"/>
      <c r="J53" s="426"/>
      <c r="K53" s="426"/>
      <c r="L53" s="426"/>
      <c r="M53" s="427"/>
      <c r="N53" s="427"/>
      <c r="O53" s="428">
        <f t="shared" si="117"/>
        <v>1</v>
      </c>
      <c r="P53" s="428">
        <f t="shared" si="118"/>
        <v>1</v>
      </c>
      <c r="Q53" s="322">
        <f t="shared" si="111"/>
        <v>0</v>
      </c>
      <c r="R53" s="322">
        <f t="shared" si="112"/>
        <v>0</v>
      </c>
      <c r="S53" s="429">
        <f t="shared" si="113"/>
        <v>0</v>
      </c>
      <c r="T53" s="430">
        <f t="shared" si="114"/>
        <v>0</v>
      </c>
      <c r="V53" s="328" t="str">
        <f t="shared" si="78"/>
        <v/>
      </c>
      <c r="W53" s="329" t="str">
        <f t="shared" si="79"/>
        <v/>
      </c>
      <c r="X53" s="329" t="str" cm="1">
        <f t="array" ref="X53">IF(W53&gt; C$63*3+1,"",IF(OR(W53=0, W53=C$63*3+1),"cantiliver",_xlfn.SWITCH(MOD(W53-1,3),0,"start",1,"middel",2,"end","")))</f>
        <v/>
      </c>
      <c r="Y53" s="330"/>
      <c r="Z53" s="329" t="str" cm="1">
        <f t="array" ref="Z53">IF(W53=C$63*3+1,D$39,IF(W53&gt;C$63*3,"", IF(Y53&gt;0,INDEX(F$43:F$62,V53),INDEX(D$43:D$62,V53))))</f>
        <v/>
      </c>
      <c r="AA53" s="329" t="str" cm="1">
        <f t="array" ref="AA53">IF(W53=3*C$63+1,E$39-D$17,IF(W53&gt;3*C$63,"", INDEX(E$43:E$62,V53)-D$17))</f>
        <v/>
      </c>
      <c r="AB53" s="339" t="str">
        <f t="shared" si="80"/>
        <v/>
      </c>
      <c r="AC53" s="331" t="e" cm="1">
        <f t="array" ref="AC53">[1]!PureBendingDesign(AB53)*G$8/G$18</f>
        <v>#VALUE!</v>
      </c>
      <c r="AD53" s="331"/>
      <c r="AE53" s="472" t="str" cm="1">
        <f t="array" ref="AE53">IF(W53=C$63*3+1,D$39,IF(W53&gt;C$63*3,"", INDEX(D$43:D$62,V53)))</f>
        <v/>
      </c>
      <c r="AF53" s="472" t="e">
        <f t="shared" si="5"/>
        <v>#VALUE!</v>
      </c>
      <c r="AG53" s="472" t="e">
        <f t="shared" si="6"/>
        <v>#VALUE!</v>
      </c>
      <c r="AH53" s="329" t="str">
        <f t="shared" si="7"/>
        <v/>
      </c>
      <c r="AI53" s="332" t="str">
        <f t="shared" si="8"/>
        <v/>
      </c>
      <c r="AK53" s="261" t="str">
        <f t="shared" si="104"/>
        <v/>
      </c>
      <c r="AL53" s="299" t="str">
        <f t="shared" si="99"/>
        <v/>
      </c>
      <c r="AM53" s="302" t="str">
        <f t="shared" si="105"/>
        <v/>
      </c>
      <c r="AN53" s="302" t="str">
        <f t="shared" si="100"/>
        <v/>
      </c>
      <c r="AO53" s="299" t="str">
        <f t="shared" si="106"/>
        <v/>
      </c>
      <c r="AP53" s="299" t="str">
        <f t="shared" si="101"/>
        <v/>
      </c>
      <c r="AQ53" s="290" t="str">
        <f t="shared" si="102"/>
        <v/>
      </c>
      <c r="AS53" s="261"/>
      <c r="AT53" s="299"/>
      <c r="AU53" s="302"/>
      <c r="AV53" s="302"/>
      <c r="AW53" s="299"/>
      <c r="AX53" s="299"/>
      <c r="AY53" s="299"/>
      <c r="AZ53" s="299"/>
      <c r="BA53" s="299"/>
      <c r="BB53" s="299"/>
      <c r="BC53" s="299"/>
      <c r="BD53" s="299"/>
      <c r="BE53" s="299"/>
      <c r="BF53" s="299"/>
      <c r="BG53" s="299"/>
      <c r="BH53" s="299"/>
      <c r="BI53" s="299"/>
      <c r="BJ53" s="290"/>
      <c r="BL53" s="269" t="str">
        <f t="shared" si="44"/>
        <v/>
      </c>
      <c r="BM53" s="269" t="str">
        <f t="shared" si="74"/>
        <v/>
      </c>
      <c r="BN53" s="270">
        <f t="shared" ref="BN53" si="129">IFERROR((BN54+BN52)/2,0)</f>
        <v>0</v>
      </c>
      <c r="BO53" s="269" t="str" cm="1">
        <f t="array" ref="BO53">IFERROR((INDEX(S$43:S$62,BM53)+INDEX(T$43:T$62,BM53))*INDEX(C$43:C$62,BM53)*INDEX(C$43:C$62,BM53)/8,"")</f>
        <v/>
      </c>
    </row>
    <row r="54" spans="2:67" x14ac:dyDescent="0.3">
      <c r="B54" s="262">
        <v>12</v>
      </c>
      <c r="C54" s="424"/>
      <c r="D54" s="425"/>
      <c r="E54" s="425"/>
      <c r="F54" s="426"/>
      <c r="G54" s="427"/>
      <c r="H54" s="427"/>
      <c r="I54" s="426"/>
      <c r="J54" s="426"/>
      <c r="K54" s="426"/>
      <c r="L54" s="426"/>
      <c r="M54" s="427"/>
      <c r="N54" s="427"/>
      <c r="O54" s="428">
        <f t="shared" si="117"/>
        <v>1</v>
      </c>
      <c r="P54" s="428">
        <f t="shared" si="118"/>
        <v>1</v>
      </c>
      <c r="Q54" s="322">
        <f t="shared" si="111"/>
        <v>0</v>
      </c>
      <c r="R54" s="322">
        <f t="shared" si="112"/>
        <v>0</v>
      </c>
      <c r="S54" s="429">
        <f t="shared" si="113"/>
        <v>0</v>
      </c>
      <c r="T54" s="430">
        <f t="shared" si="114"/>
        <v>0</v>
      </c>
      <c r="V54" s="328" t="str">
        <f t="shared" si="78"/>
        <v/>
      </c>
      <c r="W54" s="329" t="str">
        <f t="shared" si="79"/>
        <v/>
      </c>
      <c r="X54" s="329" t="str" cm="1">
        <f t="array" ref="X54">IF(W54&gt; C$63*3+1,"",IF(OR(W54=0, W54=C$63*3+1),"cantiliver",_xlfn.SWITCH(MOD(W54-1,3),0,"start",1,"middel",2,"end","")))</f>
        <v/>
      </c>
      <c r="Y54" s="330"/>
      <c r="Z54" s="329" t="str" cm="1">
        <f t="array" ref="Z54">IF(W54=C$63*3+1,D$39,IF(W54&gt;C$63*3,"", IF(Y54&gt;0,INDEX(F$43:F$62,V54),INDEX(D$43:D$62,V54))))</f>
        <v/>
      </c>
      <c r="AA54" s="329" t="str" cm="1">
        <f t="array" ref="AA54">IF(W54=3*C$63+1,E$39-D$17,IF(W54&gt;3*C$63,"", INDEX(E$43:E$62,V54)-D$17))</f>
        <v/>
      </c>
      <c r="AB54" s="339" t="str">
        <f t="shared" si="80"/>
        <v/>
      </c>
      <c r="AC54" s="331" t="e" cm="1">
        <f t="array" ref="AC54">[1]!PureBendingDesign(AB54)*G$8/G$18</f>
        <v>#VALUE!</v>
      </c>
      <c r="AD54" s="331"/>
      <c r="AE54" s="472" t="str" cm="1">
        <f t="array" ref="AE54">IF(W54=C$63*3+1,D$39,IF(W54&gt;C$63*3,"", INDEX(D$43:D$62,V54)))</f>
        <v/>
      </c>
      <c r="AF54" s="472" t="e">
        <f t="shared" si="5"/>
        <v>#VALUE!</v>
      </c>
      <c r="AG54" s="472" t="e">
        <f t="shared" si="6"/>
        <v>#VALUE!</v>
      </c>
      <c r="AH54" s="329" t="str">
        <f t="shared" si="7"/>
        <v/>
      </c>
      <c r="AI54" s="332" t="str">
        <f t="shared" si="8"/>
        <v/>
      </c>
      <c r="AK54" s="261" t="str">
        <f t="shared" si="104"/>
        <v/>
      </c>
      <c r="AL54" s="299" t="str">
        <f t="shared" si="99"/>
        <v/>
      </c>
      <c r="AM54" s="302" t="str">
        <f t="shared" si="105"/>
        <v/>
      </c>
      <c r="AN54" s="302" t="str">
        <f t="shared" si="100"/>
        <v/>
      </c>
      <c r="AO54" s="299" t="str">
        <f t="shared" si="106"/>
        <v/>
      </c>
      <c r="AP54" s="299" t="str">
        <f t="shared" si="101"/>
        <v/>
      </c>
      <c r="AQ54" s="290" t="str">
        <f t="shared" si="102"/>
        <v/>
      </c>
      <c r="AS54" s="261"/>
      <c r="AT54" s="299"/>
      <c r="AU54" s="302"/>
      <c r="AV54" s="302"/>
      <c r="AW54" s="299"/>
      <c r="AX54" s="302"/>
      <c r="AY54" s="299"/>
      <c r="AZ54" s="299"/>
      <c r="BA54" s="299"/>
      <c r="BB54" s="298"/>
      <c r="BC54" s="298"/>
      <c r="BD54" s="298"/>
      <c r="BE54" s="298"/>
      <c r="BF54" s="298"/>
      <c r="BG54" s="298"/>
      <c r="BH54" s="298"/>
      <c r="BI54" s="298"/>
      <c r="BJ54" s="258"/>
      <c r="BL54" s="269" t="str">
        <f t="shared" si="44"/>
        <v/>
      </c>
      <c r="BM54" s="269" t="str">
        <f t="shared" si="74"/>
        <v/>
      </c>
      <c r="BN54" s="270" cm="1">
        <f t="array" ref="BN54">IFERROR(INDEX(C$43:C$62,BM54)+BN51,0)</f>
        <v>0</v>
      </c>
      <c r="BO54" s="271">
        <f t="shared" ref="BO54:BO55" si="130">IFERROR(Y56,"")</f>
        <v>0</v>
      </c>
    </row>
    <row r="55" spans="2:67" x14ac:dyDescent="0.3">
      <c r="B55" s="262">
        <v>13</v>
      </c>
      <c r="C55" s="424"/>
      <c r="D55" s="425"/>
      <c r="E55" s="425"/>
      <c r="F55" s="426"/>
      <c r="G55" s="427"/>
      <c r="H55" s="427"/>
      <c r="I55" s="426"/>
      <c r="J55" s="426"/>
      <c r="K55" s="426"/>
      <c r="L55" s="426"/>
      <c r="M55" s="427"/>
      <c r="N55" s="427"/>
      <c r="O55" s="428">
        <f t="shared" si="117"/>
        <v>1</v>
      </c>
      <c r="P55" s="428">
        <f t="shared" si="118"/>
        <v>1</v>
      </c>
      <c r="Q55" s="322">
        <f t="shared" si="111"/>
        <v>0</v>
      </c>
      <c r="R55" s="322">
        <f t="shared" si="112"/>
        <v>0</v>
      </c>
      <c r="S55" s="429">
        <f t="shared" si="113"/>
        <v>0</v>
      </c>
      <c r="T55" s="430">
        <f t="shared" si="114"/>
        <v>0</v>
      </c>
      <c r="V55" s="328" t="str">
        <f t="shared" si="78"/>
        <v/>
      </c>
      <c r="W55" s="329" t="str">
        <f t="shared" si="79"/>
        <v/>
      </c>
      <c r="X55" s="329" t="str" cm="1">
        <f t="array" ref="X55">IF(W55&gt; C$63*3+1,"",IF(OR(W55=0, W55=C$63*3+1),"cantiliver",_xlfn.SWITCH(MOD(W55-1,3),0,"start",1,"middel",2,"end","")))</f>
        <v/>
      </c>
      <c r="Y55" s="330"/>
      <c r="Z55" s="329" t="str" cm="1">
        <f t="array" ref="Z55">IF(W55=C$63*3+1,D$39,IF(W55&gt;C$63*3,"", IF(Y55&gt;0,INDEX(F$43:F$62,V55),INDEX(D$43:D$62,V55))))</f>
        <v/>
      </c>
      <c r="AA55" s="329" t="str" cm="1">
        <f t="array" ref="AA55">IF(W55=3*C$63+1,E$39-D$17,IF(W55&gt;3*C$63,"", INDEX(E$43:E$62,V55)-D$17))</f>
        <v/>
      </c>
      <c r="AB55" s="339" t="str">
        <f t="shared" si="80"/>
        <v/>
      </c>
      <c r="AC55" s="331" t="e" cm="1">
        <f t="array" ref="AC55">[1]!PureBendingDesign(AB55)*G$8/G$18</f>
        <v>#VALUE!</v>
      </c>
      <c r="AD55" s="331"/>
      <c r="AE55" s="472" t="str" cm="1">
        <f t="array" ref="AE55">IF(W55=C$63*3+1,D$39,IF(W55&gt;C$63*3,"", INDEX(D$43:D$62,V55)))</f>
        <v/>
      </c>
      <c r="AF55" s="472" t="e">
        <f t="shared" si="5"/>
        <v>#VALUE!</v>
      </c>
      <c r="AG55" s="472" t="e">
        <f t="shared" si="6"/>
        <v>#VALUE!</v>
      </c>
      <c r="AH55" s="329" t="str">
        <f t="shared" si="7"/>
        <v/>
      </c>
      <c r="AI55" s="332" t="str">
        <f t="shared" si="8"/>
        <v/>
      </c>
      <c r="AK55" s="261" t="str">
        <f t="shared" si="104"/>
        <v/>
      </c>
      <c r="AL55" s="299" t="str">
        <f t="shared" si="99"/>
        <v/>
      </c>
      <c r="AM55" s="302" t="str">
        <f t="shared" si="105"/>
        <v/>
      </c>
      <c r="AN55" s="302" t="str">
        <f t="shared" si="100"/>
        <v/>
      </c>
      <c r="AO55" s="299" t="str">
        <f t="shared" si="106"/>
        <v/>
      </c>
      <c r="AP55" s="299" t="str">
        <f t="shared" si="101"/>
        <v/>
      </c>
      <c r="AQ55" s="290" t="str">
        <f t="shared" si="102"/>
        <v/>
      </c>
      <c r="AS55" s="261"/>
      <c r="AT55" s="299"/>
      <c r="AU55" s="302"/>
      <c r="AV55" s="302"/>
      <c r="AW55" s="299"/>
      <c r="AX55" s="302"/>
      <c r="AY55" s="299"/>
      <c r="AZ55" s="299"/>
      <c r="BA55" s="299"/>
      <c r="BB55" s="298"/>
      <c r="BC55" s="298"/>
      <c r="BD55" s="298"/>
      <c r="BE55" s="298"/>
      <c r="BF55" s="298"/>
      <c r="BG55" s="298"/>
      <c r="BH55" s="298"/>
      <c r="BI55" s="298"/>
      <c r="BJ55" s="258"/>
      <c r="BL55" s="269" t="str">
        <f t="shared" si="44"/>
        <v/>
      </c>
      <c r="BM55" s="269" t="str">
        <f t="shared" si="74"/>
        <v/>
      </c>
      <c r="BN55" s="270">
        <f t="shared" ref="BN55" si="131">IFERROR(BN54,0)</f>
        <v>0</v>
      </c>
      <c r="BO55" s="271">
        <f t="shared" si="130"/>
        <v>0</v>
      </c>
    </row>
    <row r="56" spans="2:67" x14ac:dyDescent="0.3">
      <c r="B56" s="262">
        <v>14</v>
      </c>
      <c r="C56" s="424"/>
      <c r="D56" s="425"/>
      <c r="E56" s="425"/>
      <c r="F56" s="426"/>
      <c r="G56" s="427"/>
      <c r="H56" s="427"/>
      <c r="I56" s="426"/>
      <c r="J56" s="426"/>
      <c r="K56" s="426"/>
      <c r="L56" s="426"/>
      <c r="M56" s="427"/>
      <c r="N56" s="427"/>
      <c r="O56" s="428">
        <f t="shared" si="117"/>
        <v>1</v>
      </c>
      <c r="P56" s="428">
        <f t="shared" si="118"/>
        <v>1</v>
      </c>
      <c r="Q56" s="322">
        <f t="shared" si="111"/>
        <v>0</v>
      </c>
      <c r="R56" s="322">
        <f t="shared" si="112"/>
        <v>0</v>
      </c>
      <c r="S56" s="429">
        <f t="shared" si="113"/>
        <v>0</v>
      </c>
      <c r="T56" s="430">
        <f t="shared" si="114"/>
        <v>0</v>
      </c>
      <c r="V56" s="328" t="str">
        <f t="shared" si="78"/>
        <v/>
      </c>
      <c r="W56" s="329" t="str">
        <f t="shared" si="79"/>
        <v/>
      </c>
      <c r="X56" s="329" t="str" cm="1">
        <f t="array" ref="X56">IF(W56&gt; C$63*3+1,"",IF(OR(W56=0, W56=C$63*3+1),"cantiliver",_xlfn.SWITCH(MOD(W56-1,3),0,"start",1,"middel",2,"end","")))</f>
        <v/>
      </c>
      <c r="Y56" s="330"/>
      <c r="Z56" s="329" t="str" cm="1">
        <f t="array" ref="Z56">IF(W56=C$63*3+1,D$39,IF(W56&gt;C$63*3,"", IF(Y56&gt;0,INDEX(F$43:F$62,V56),INDEX(D$43:D$62,V56))))</f>
        <v/>
      </c>
      <c r="AA56" s="329" t="str" cm="1">
        <f t="array" ref="AA56">IF(W56=3*C$63+1,E$39-D$17,IF(W56&gt;3*C$63,"", INDEX(E$43:E$62,V56)-D$17))</f>
        <v/>
      </c>
      <c r="AB56" s="339" t="str">
        <f t="shared" si="80"/>
        <v/>
      </c>
      <c r="AC56" s="331" t="e" cm="1">
        <f t="array" ref="AC56">[1]!PureBendingDesign(AB56)*G$8/G$18</f>
        <v>#VALUE!</v>
      </c>
      <c r="AD56" s="331"/>
      <c r="AE56" s="472" t="str" cm="1">
        <f t="array" ref="AE56">IF(W56=C$63*3+1,D$39,IF(W56&gt;C$63*3,"", INDEX(D$43:D$62,V56)))</f>
        <v/>
      </c>
      <c r="AF56" s="472" t="e">
        <f t="shared" si="5"/>
        <v>#VALUE!</v>
      </c>
      <c r="AG56" s="472" t="e">
        <f t="shared" si="6"/>
        <v>#VALUE!</v>
      </c>
      <c r="AH56" s="329" t="str">
        <f t="shared" si="7"/>
        <v/>
      </c>
      <c r="AI56" s="332" t="str">
        <f t="shared" si="8"/>
        <v/>
      </c>
      <c r="AK56" s="261" t="str">
        <f t="shared" si="104"/>
        <v/>
      </c>
      <c r="AL56" s="299" t="str">
        <f t="shared" si="99"/>
        <v/>
      </c>
      <c r="AM56" s="302" t="str">
        <f t="shared" si="105"/>
        <v/>
      </c>
      <c r="AN56" s="302" t="str">
        <f t="shared" si="100"/>
        <v/>
      </c>
      <c r="AO56" s="299" t="str">
        <f t="shared" si="106"/>
        <v/>
      </c>
      <c r="AP56" s="299" t="str">
        <f t="shared" si="101"/>
        <v/>
      </c>
      <c r="AQ56" s="290" t="str">
        <f t="shared" si="102"/>
        <v/>
      </c>
      <c r="AS56" s="261"/>
      <c r="AT56" s="299"/>
      <c r="AU56" s="302"/>
      <c r="AV56" s="302"/>
      <c r="AW56" s="299"/>
      <c r="AX56" s="302"/>
      <c r="AY56" s="299"/>
      <c r="AZ56" s="299"/>
      <c r="BA56" s="299"/>
      <c r="BB56" s="298"/>
      <c r="BC56" s="298"/>
      <c r="BD56" s="298"/>
      <c r="BE56" s="298"/>
      <c r="BF56" s="298"/>
      <c r="BG56" s="298"/>
      <c r="BH56" s="298"/>
      <c r="BI56" s="298"/>
      <c r="BJ56" s="258"/>
      <c r="BL56" s="269" t="str">
        <f t="shared" si="44"/>
        <v/>
      </c>
      <c r="BM56" s="269" t="str">
        <f t="shared" si="74"/>
        <v/>
      </c>
      <c r="BN56" s="270">
        <f t="shared" ref="BN56" si="132">IFERROR((BN57+BN55)/2,0)</f>
        <v>0</v>
      </c>
      <c r="BO56" s="269" t="str" cm="1">
        <f t="array" ref="BO56">IFERROR((INDEX(S$43:S$62,BM56)+INDEX(T$43:T$62,BM56))*INDEX(C$43:C$62,BM56)*INDEX(C$43:C$62,BM56)/8,"")</f>
        <v/>
      </c>
    </row>
    <row r="57" spans="2:67" x14ac:dyDescent="0.3">
      <c r="B57" s="262">
        <v>15</v>
      </c>
      <c r="C57" s="424"/>
      <c r="D57" s="425"/>
      <c r="E57" s="425"/>
      <c r="F57" s="426"/>
      <c r="G57" s="427"/>
      <c r="H57" s="427"/>
      <c r="I57" s="426"/>
      <c r="J57" s="426"/>
      <c r="K57" s="426"/>
      <c r="L57" s="426"/>
      <c r="M57" s="427"/>
      <c r="N57" s="427"/>
      <c r="O57" s="428">
        <f t="shared" si="117"/>
        <v>1</v>
      </c>
      <c r="P57" s="428">
        <f t="shared" si="118"/>
        <v>1</v>
      </c>
      <c r="Q57" s="322">
        <f t="shared" si="111"/>
        <v>0</v>
      </c>
      <c r="R57" s="322">
        <f t="shared" si="112"/>
        <v>0</v>
      </c>
      <c r="S57" s="429">
        <f t="shared" si="113"/>
        <v>0</v>
      </c>
      <c r="T57" s="430">
        <f t="shared" si="114"/>
        <v>0</v>
      </c>
      <c r="V57" s="328" t="str">
        <f t="shared" si="78"/>
        <v/>
      </c>
      <c r="W57" s="329" t="str">
        <f t="shared" si="79"/>
        <v/>
      </c>
      <c r="X57" s="329" t="str" cm="1">
        <f t="array" ref="X57">IF(W57&gt; C$63*3+1,"",IF(OR(W57=0, W57=C$63*3+1),"cantiliver",_xlfn.SWITCH(MOD(W57-1,3),0,"start",1,"middel",2,"end","")))</f>
        <v/>
      </c>
      <c r="Y57" s="330"/>
      <c r="Z57" s="329" t="str" cm="1">
        <f t="array" ref="Z57">IF(W57=C$63*3+1,D$39,IF(W57&gt;C$63*3,"", IF(Y57&gt;0,INDEX(F$43:F$62,V57),INDEX(D$43:D$62,V57))))</f>
        <v/>
      </c>
      <c r="AA57" s="329" t="str" cm="1">
        <f t="array" ref="AA57">IF(W57=3*C$63+1,E$39-D$17,IF(W57&gt;3*C$63,"", INDEX(E$43:E$62,V57)-D$17))</f>
        <v/>
      </c>
      <c r="AB57" s="339" t="str">
        <f t="shared" si="80"/>
        <v/>
      </c>
      <c r="AC57" s="331" t="e" cm="1">
        <f t="array" ref="AC57">[1]!PureBendingDesign(AB57)*G$8/G$18</f>
        <v>#VALUE!</v>
      </c>
      <c r="AD57" s="331"/>
      <c r="AE57" s="472" t="str" cm="1">
        <f t="array" ref="AE57">IF(W57=C$63*3+1,D$39,IF(W57&gt;C$63*3,"", INDEX(D$43:D$62,V57)))</f>
        <v/>
      </c>
      <c r="AF57" s="472" t="e">
        <f t="shared" si="5"/>
        <v>#VALUE!</v>
      </c>
      <c r="AG57" s="472" t="e">
        <f t="shared" si="6"/>
        <v>#VALUE!</v>
      </c>
      <c r="AH57" s="329" t="str">
        <f t="shared" si="7"/>
        <v/>
      </c>
      <c r="AI57" s="332" t="str">
        <f t="shared" si="8"/>
        <v/>
      </c>
      <c r="AK57" s="261" t="str">
        <f t="shared" si="104"/>
        <v/>
      </c>
      <c r="AL57" s="299" t="str">
        <f t="shared" si="99"/>
        <v/>
      </c>
      <c r="AM57" s="302" t="str">
        <f t="shared" si="105"/>
        <v/>
      </c>
      <c r="AN57" s="302" t="str">
        <f t="shared" si="100"/>
        <v/>
      </c>
      <c r="AO57" s="299" t="str">
        <f t="shared" si="106"/>
        <v/>
      </c>
      <c r="AP57" s="299" t="str">
        <f t="shared" si="101"/>
        <v/>
      </c>
      <c r="AQ57" s="290" t="str">
        <f t="shared" si="102"/>
        <v/>
      </c>
      <c r="AS57" s="261"/>
      <c r="AT57" s="299"/>
      <c r="AU57" s="302"/>
      <c r="AV57" s="302"/>
      <c r="AW57" s="299"/>
      <c r="AX57" s="302"/>
      <c r="AY57" s="299"/>
      <c r="AZ57" s="299"/>
      <c r="BA57" s="299"/>
      <c r="BB57" s="298"/>
      <c r="BC57" s="298"/>
      <c r="BD57" s="298"/>
      <c r="BE57" s="298"/>
      <c r="BF57" s="298"/>
      <c r="BG57" s="298"/>
      <c r="BH57" s="298"/>
      <c r="BI57" s="298"/>
      <c r="BJ57" s="258"/>
      <c r="BL57" s="269" t="str">
        <f t="shared" si="44"/>
        <v/>
      </c>
      <c r="BM57" s="269" t="str">
        <f t="shared" si="74"/>
        <v/>
      </c>
      <c r="BN57" s="270" cm="1">
        <f t="array" ref="BN57">IFERROR(INDEX(C$43:C$62,BM57)+BN54,0)</f>
        <v>0</v>
      </c>
      <c r="BO57" s="271">
        <f t="shared" ref="BO57:BO58" si="133">IFERROR(Y59,"")</f>
        <v>0</v>
      </c>
    </row>
    <row r="58" spans="2:67" x14ac:dyDescent="0.3">
      <c r="B58" s="262">
        <v>16</v>
      </c>
      <c r="C58" s="424"/>
      <c r="D58" s="425"/>
      <c r="E58" s="425"/>
      <c r="F58" s="426"/>
      <c r="G58" s="427"/>
      <c r="H58" s="427"/>
      <c r="I58" s="426"/>
      <c r="J58" s="426"/>
      <c r="K58" s="426"/>
      <c r="L58" s="426"/>
      <c r="M58" s="427"/>
      <c r="N58" s="427"/>
      <c r="O58" s="428">
        <f t="shared" si="117"/>
        <v>1</v>
      </c>
      <c r="P58" s="428">
        <f t="shared" si="118"/>
        <v>1</v>
      </c>
      <c r="Q58" s="322">
        <f t="shared" si="111"/>
        <v>0</v>
      </c>
      <c r="R58" s="322">
        <f t="shared" si="112"/>
        <v>0</v>
      </c>
      <c r="S58" s="429">
        <f t="shared" si="113"/>
        <v>0</v>
      </c>
      <c r="T58" s="430">
        <f t="shared" si="114"/>
        <v>0</v>
      </c>
      <c r="V58" s="328" t="str">
        <f t="shared" si="78"/>
        <v/>
      </c>
      <c r="W58" s="329" t="str">
        <f t="shared" si="79"/>
        <v/>
      </c>
      <c r="X58" s="329" t="str" cm="1">
        <f t="array" ref="X58">IF(W58&gt; C$63*3+1,"",IF(OR(W58=0, W58=C$63*3+1),"cantiliver",_xlfn.SWITCH(MOD(W58-1,3),0,"start",1,"middel",2,"end","")))</f>
        <v/>
      </c>
      <c r="Y58" s="330"/>
      <c r="Z58" s="329" t="str" cm="1">
        <f t="array" ref="Z58">IF(W58=C$63*3+1,D$39,IF(W58&gt;C$63*3,"", IF(Y58&gt;0,INDEX(F$43:F$62,V58),INDEX(D$43:D$62,V58))))</f>
        <v/>
      </c>
      <c r="AA58" s="329" t="str" cm="1">
        <f t="array" ref="AA58">IF(W58=3*C$63+1,E$39-D$17,IF(W58&gt;3*C$63,"", INDEX(E$43:E$62,V58)-D$17))</f>
        <v/>
      </c>
      <c r="AB58" s="339" t="str">
        <f t="shared" si="80"/>
        <v/>
      </c>
      <c r="AC58" s="331" t="e" cm="1">
        <f t="array" ref="AC58">[1]!PureBendingDesign(AB58)*G$8/G$18</f>
        <v>#VALUE!</v>
      </c>
      <c r="AD58" s="331"/>
      <c r="AE58" s="472" t="str" cm="1">
        <f t="array" ref="AE58">IF(W58=C$63*3+1,D$39,IF(W58&gt;C$63*3,"", INDEX(D$43:D$62,V58)))</f>
        <v/>
      </c>
      <c r="AF58" s="472" t="e">
        <f t="shared" si="5"/>
        <v>#VALUE!</v>
      </c>
      <c r="AG58" s="472" t="e">
        <f t="shared" si="6"/>
        <v>#VALUE!</v>
      </c>
      <c r="AH58" s="329" t="str">
        <f t="shared" si="7"/>
        <v/>
      </c>
      <c r="AI58" s="332" t="str">
        <f t="shared" si="8"/>
        <v/>
      </c>
      <c r="AK58" s="261" t="str">
        <f t="shared" si="104"/>
        <v/>
      </c>
      <c r="AL58" s="299" t="str">
        <f t="shared" si="99"/>
        <v/>
      </c>
      <c r="AM58" s="302" t="str">
        <f t="shared" si="105"/>
        <v/>
      </c>
      <c r="AN58" s="302" t="str">
        <f t="shared" si="100"/>
        <v/>
      </c>
      <c r="AO58" s="299" t="str">
        <f t="shared" si="106"/>
        <v/>
      </c>
      <c r="AP58" s="299" t="str">
        <f t="shared" si="101"/>
        <v/>
      </c>
      <c r="AQ58" s="290" t="str">
        <f t="shared" si="102"/>
        <v/>
      </c>
      <c r="AS58" s="261"/>
      <c r="AT58" s="299"/>
      <c r="AU58" s="302"/>
      <c r="AV58" s="302"/>
      <c r="AW58" s="299"/>
      <c r="AX58" s="302"/>
      <c r="AY58" s="299"/>
      <c r="AZ58" s="299"/>
      <c r="BA58" s="299"/>
      <c r="BB58" s="298"/>
      <c r="BC58" s="298"/>
      <c r="BD58" s="298"/>
      <c r="BE58" s="298"/>
      <c r="BF58" s="298"/>
      <c r="BG58" s="298"/>
      <c r="BH58" s="298"/>
      <c r="BI58" s="298"/>
      <c r="BJ58" s="258"/>
      <c r="BL58" s="269" t="str">
        <f t="shared" si="44"/>
        <v/>
      </c>
      <c r="BM58" s="269" t="str">
        <f t="shared" si="74"/>
        <v/>
      </c>
      <c r="BN58" s="270">
        <f t="shared" ref="BN58" si="134">IFERROR(BN57,0)</f>
        <v>0</v>
      </c>
      <c r="BO58" s="271">
        <f t="shared" si="133"/>
        <v>0</v>
      </c>
    </row>
    <row r="59" spans="2:67" x14ac:dyDescent="0.3">
      <c r="B59" s="262">
        <v>17</v>
      </c>
      <c r="C59" s="424"/>
      <c r="D59" s="425"/>
      <c r="E59" s="425"/>
      <c r="F59" s="426"/>
      <c r="G59" s="427"/>
      <c r="H59" s="427"/>
      <c r="I59" s="426"/>
      <c r="J59" s="426"/>
      <c r="K59" s="426"/>
      <c r="L59" s="426"/>
      <c r="M59" s="427"/>
      <c r="N59" s="427"/>
      <c r="O59" s="428">
        <f t="shared" si="117"/>
        <v>1</v>
      </c>
      <c r="P59" s="428">
        <f t="shared" si="118"/>
        <v>1</v>
      </c>
      <c r="Q59" s="322">
        <f t="shared" si="111"/>
        <v>0</v>
      </c>
      <c r="R59" s="322">
        <f t="shared" si="112"/>
        <v>0</v>
      </c>
      <c r="S59" s="429">
        <f t="shared" si="113"/>
        <v>0</v>
      </c>
      <c r="T59" s="430">
        <f t="shared" si="114"/>
        <v>0</v>
      </c>
      <c r="V59" s="328" t="str">
        <f t="shared" si="78"/>
        <v/>
      </c>
      <c r="W59" s="329" t="str">
        <f t="shared" si="79"/>
        <v/>
      </c>
      <c r="X59" s="329" t="str" cm="1">
        <f t="array" ref="X59">IF(W59&gt; C$63*3+1,"",IF(OR(W59=0, W59=C$63*3+1),"cantiliver",_xlfn.SWITCH(MOD(W59-1,3),0,"start",1,"middel",2,"end","")))</f>
        <v/>
      </c>
      <c r="Y59" s="330"/>
      <c r="Z59" s="329" t="str" cm="1">
        <f t="array" ref="Z59">IF(W59=C$63*3+1,D$39,IF(W59&gt;C$63*3,"", IF(Y59&gt;0,INDEX(F$43:F$62,V59),INDEX(D$43:D$62,V59))))</f>
        <v/>
      </c>
      <c r="AA59" s="329" t="str" cm="1">
        <f t="array" ref="AA59">IF(W59=3*C$63+1,E$39-D$17,IF(W59&gt;3*C$63,"", INDEX(E$43:E$62,V59)-D$17))</f>
        <v/>
      </c>
      <c r="AB59" s="339" t="str">
        <f t="shared" si="80"/>
        <v/>
      </c>
      <c r="AC59" s="331" t="e" cm="1">
        <f t="array" ref="AC59">[1]!PureBendingDesign(AB59)*G$8/G$18</f>
        <v>#VALUE!</v>
      </c>
      <c r="AD59" s="331"/>
      <c r="AE59" s="472" t="str" cm="1">
        <f t="array" ref="AE59">IF(W59=C$63*3+1,D$39,IF(W59&gt;C$63*3,"", INDEX(D$43:D$62,V59)))</f>
        <v/>
      </c>
      <c r="AF59" s="472" t="e">
        <f t="shared" si="5"/>
        <v>#VALUE!</v>
      </c>
      <c r="AG59" s="472" t="e">
        <f t="shared" si="6"/>
        <v>#VALUE!</v>
      </c>
      <c r="AH59" s="329" t="str">
        <f t="shared" si="7"/>
        <v/>
      </c>
      <c r="AI59" s="332" t="str">
        <f t="shared" si="8"/>
        <v/>
      </c>
      <c r="AK59" s="261" t="str">
        <f t="shared" si="104"/>
        <v/>
      </c>
      <c r="AL59" s="299" t="str">
        <f t="shared" si="99"/>
        <v/>
      </c>
      <c r="AM59" s="302" t="str">
        <f t="shared" si="105"/>
        <v/>
      </c>
      <c r="AN59" s="302" t="str">
        <f t="shared" si="100"/>
        <v/>
      </c>
      <c r="AO59" s="299" t="str">
        <f t="shared" si="106"/>
        <v/>
      </c>
      <c r="AP59" s="299" t="str">
        <f t="shared" si="101"/>
        <v/>
      </c>
      <c r="AQ59" s="290" t="str">
        <f t="shared" si="102"/>
        <v/>
      </c>
      <c r="AS59" s="261"/>
      <c r="AT59" s="299"/>
      <c r="AU59" s="302"/>
      <c r="AV59" s="302"/>
      <c r="AW59" s="299"/>
      <c r="AX59" s="302"/>
      <c r="AY59" s="299"/>
      <c r="AZ59" s="299"/>
      <c r="BA59" s="299"/>
      <c r="BB59" s="298"/>
      <c r="BC59" s="298"/>
      <c r="BD59" s="298"/>
      <c r="BE59" s="298"/>
      <c r="BF59" s="298"/>
      <c r="BG59" s="298"/>
      <c r="BH59" s="298"/>
      <c r="BI59" s="298"/>
      <c r="BJ59" s="258"/>
      <c r="BL59" s="269" t="str">
        <f t="shared" si="44"/>
        <v/>
      </c>
      <c r="BM59" s="269" t="str">
        <f t="shared" si="74"/>
        <v/>
      </c>
      <c r="BN59" s="270">
        <f t="shared" ref="BN59" si="135">IFERROR((BN60+BN58)/2,0)</f>
        <v>0</v>
      </c>
      <c r="BO59" s="269" t="str" cm="1">
        <f t="array" ref="BO59">IFERROR((INDEX(S$43:S$62,BM59)+INDEX(T$43:T$62,BM59))*INDEX(C$43:C$62,BM59)*INDEX(C$43:C$62,BM59)/8,"")</f>
        <v/>
      </c>
    </row>
    <row r="60" spans="2:67" x14ac:dyDescent="0.3">
      <c r="B60" s="262">
        <v>18</v>
      </c>
      <c r="C60" s="424"/>
      <c r="D60" s="425"/>
      <c r="E60" s="425"/>
      <c r="F60" s="426"/>
      <c r="G60" s="427"/>
      <c r="H60" s="427"/>
      <c r="I60" s="426"/>
      <c r="J60" s="426"/>
      <c r="K60" s="426"/>
      <c r="L60" s="426"/>
      <c r="M60" s="427"/>
      <c r="N60" s="427"/>
      <c r="O60" s="428">
        <f t="shared" si="117"/>
        <v>1</v>
      </c>
      <c r="P60" s="428">
        <f t="shared" si="118"/>
        <v>1</v>
      </c>
      <c r="Q60" s="322">
        <f t="shared" si="111"/>
        <v>0</v>
      </c>
      <c r="R60" s="322">
        <f t="shared" si="112"/>
        <v>0</v>
      </c>
      <c r="S60" s="429">
        <f t="shared" si="113"/>
        <v>0</v>
      </c>
      <c r="T60" s="430">
        <f t="shared" si="114"/>
        <v>0</v>
      </c>
      <c r="V60" s="328" t="str">
        <f t="shared" si="78"/>
        <v/>
      </c>
      <c r="W60" s="329" t="str">
        <f t="shared" si="79"/>
        <v/>
      </c>
      <c r="X60" s="329" t="str" cm="1">
        <f t="array" ref="X60">IF(W60&gt; C$63*3+1,"",IF(OR(W60=0, W60=C$63*3+1),"cantiliver",_xlfn.SWITCH(MOD(W60-1,3),0,"start",1,"middel",2,"end","")))</f>
        <v/>
      </c>
      <c r="Y60" s="330"/>
      <c r="Z60" s="329" t="str" cm="1">
        <f t="array" ref="Z60">IF(W60=C$63*3+1,D$39,IF(W60&gt;C$63*3,"", IF(Y60&gt;0,INDEX(F$43:F$62,V60),INDEX(D$43:D$62,V60))))</f>
        <v/>
      </c>
      <c r="AA60" s="329" t="str" cm="1">
        <f t="array" ref="AA60">IF(W60=3*C$63+1,E$39-D$17,IF(W60&gt;3*C$63,"", INDEX(E$43:E$62,V60)-D$17))</f>
        <v/>
      </c>
      <c r="AB60" s="339" t="str">
        <f t="shared" si="80"/>
        <v/>
      </c>
      <c r="AC60" s="331" t="e" cm="1">
        <f t="array" ref="AC60">[1]!PureBendingDesign(AB60)*G$8/G$18</f>
        <v>#VALUE!</v>
      </c>
      <c r="AD60" s="331"/>
      <c r="AE60" s="472" t="str" cm="1">
        <f t="array" ref="AE60">IF(W60=C$63*3+1,D$39,IF(W60&gt;C$63*3,"", INDEX(D$43:D$62,V60)))</f>
        <v/>
      </c>
      <c r="AF60" s="472" t="e">
        <f t="shared" si="5"/>
        <v>#VALUE!</v>
      </c>
      <c r="AG60" s="472" t="e">
        <f t="shared" si="6"/>
        <v>#VALUE!</v>
      </c>
      <c r="AH60" s="329" t="str">
        <f t="shared" si="7"/>
        <v/>
      </c>
      <c r="AI60" s="332" t="str">
        <f t="shared" si="8"/>
        <v/>
      </c>
      <c r="AK60" s="261" t="str">
        <f t="shared" si="104"/>
        <v/>
      </c>
      <c r="AL60" s="299" t="str">
        <f t="shared" si="99"/>
        <v/>
      </c>
      <c r="AM60" s="302" t="str">
        <f t="shared" si="105"/>
        <v/>
      </c>
      <c r="AN60" s="302" t="str">
        <f t="shared" si="100"/>
        <v/>
      </c>
      <c r="AO60" s="299" t="str">
        <f t="shared" si="106"/>
        <v/>
      </c>
      <c r="AP60" s="299" t="str">
        <f t="shared" si="101"/>
        <v/>
      </c>
      <c r="AQ60" s="290" t="str">
        <f t="shared" si="102"/>
        <v/>
      </c>
      <c r="AS60" s="261"/>
      <c r="AT60" s="299"/>
      <c r="AU60" s="302"/>
      <c r="AV60" s="302"/>
      <c r="AW60" s="299"/>
      <c r="AX60" s="302"/>
      <c r="AY60" s="299"/>
      <c r="AZ60" s="299"/>
      <c r="BA60" s="299"/>
      <c r="BB60" s="298"/>
      <c r="BC60" s="298"/>
      <c r="BD60" s="298"/>
      <c r="BE60" s="298"/>
      <c r="BF60" s="298"/>
      <c r="BG60" s="298"/>
      <c r="BH60" s="298"/>
      <c r="BI60" s="298"/>
      <c r="BJ60" s="258"/>
      <c r="BL60" s="269" t="str">
        <f t="shared" si="44"/>
        <v/>
      </c>
      <c r="BM60" s="269" t="str">
        <f t="shared" si="74"/>
        <v/>
      </c>
      <c r="BN60" s="270" cm="1">
        <f t="array" ref="BN60">IFERROR(INDEX(C$43:C$62,BM60)+BN57,0)</f>
        <v>0</v>
      </c>
      <c r="BO60" s="271">
        <f t="shared" ref="BO60:BO61" si="136">IFERROR(Y62,"")</f>
        <v>0</v>
      </c>
    </row>
    <row r="61" spans="2:67" x14ac:dyDescent="0.3">
      <c r="B61" s="262">
        <v>19</v>
      </c>
      <c r="C61" s="424"/>
      <c r="D61" s="425"/>
      <c r="E61" s="425"/>
      <c r="F61" s="426"/>
      <c r="G61" s="427"/>
      <c r="H61" s="427"/>
      <c r="I61" s="426"/>
      <c r="J61" s="426"/>
      <c r="K61" s="426"/>
      <c r="L61" s="426"/>
      <c r="M61" s="427"/>
      <c r="N61" s="427"/>
      <c r="O61" s="428">
        <f t="shared" si="117"/>
        <v>1</v>
      </c>
      <c r="P61" s="428">
        <f t="shared" si="118"/>
        <v>1</v>
      </c>
      <c r="Q61" s="322">
        <f t="shared" si="111"/>
        <v>0</v>
      </c>
      <c r="R61" s="322">
        <f t="shared" si="112"/>
        <v>0</v>
      </c>
      <c r="S61" s="429">
        <f t="shared" si="113"/>
        <v>0</v>
      </c>
      <c r="T61" s="430">
        <f t="shared" si="114"/>
        <v>0</v>
      </c>
      <c r="V61" s="328" t="str">
        <f t="shared" si="78"/>
        <v/>
      </c>
      <c r="W61" s="329" t="str">
        <f t="shared" si="79"/>
        <v/>
      </c>
      <c r="X61" s="329" t="str" cm="1">
        <f t="array" ref="X61">IF(W61&gt; C$63*3+1,"",IF(OR(W61=0, W61=C$63*3+1),"cantiliver",_xlfn.SWITCH(MOD(W61-1,3),0,"start",1,"middel",2,"end","")))</f>
        <v/>
      </c>
      <c r="Y61" s="330"/>
      <c r="Z61" s="329" t="str" cm="1">
        <f t="array" ref="Z61">IF(W61=C$63*3+1,D$39,IF(W61&gt;C$63*3,"", IF(Y61&gt;0,INDEX(F$43:F$62,V61),INDEX(D$43:D$62,V61))))</f>
        <v/>
      </c>
      <c r="AA61" s="329" t="str" cm="1">
        <f t="array" ref="AA61">IF(W61=3*C$63+1,E$39-D$17,IF(W61&gt;3*C$63,"", INDEX(E$43:E$62,V61)-D$17))</f>
        <v/>
      </c>
      <c r="AB61" s="339" t="str">
        <f t="shared" si="80"/>
        <v/>
      </c>
      <c r="AC61" s="331" t="e" cm="1">
        <f t="array" ref="AC61">[1]!PureBendingDesign(AB61)*G$8/G$18</f>
        <v>#VALUE!</v>
      </c>
      <c r="AD61" s="331"/>
      <c r="AE61" s="472" t="str" cm="1">
        <f t="array" ref="AE61">IF(W61=C$63*3+1,D$39,IF(W61&gt;C$63*3,"", INDEX(D$43:D$62,V61)))</f>
        <v/>
      </c>
      <c r="AF61" s="472" t="e">
        <f t="shared" si="5"/>
        <v>#VALUE!</v>
      </c>
      <c r="AG61" s="472" t="e">
        <f t="shared" si="6"/>
        <v>#VALUE!</v>
      </c>
      <c r="AH61" s="329" t="str">
        <f t="shared" si="7"/>
        <v/>
      </c>
      <c r="AI61" s="332" t="str">
        <f t="shared" si="8"/>
        <v/>
      </c>
      <c r="AK61" s="261" t="str">
        <f t="shared" si="104"/>
        <v/>
      </c>
      <c r="AL61" s="299" t="str">
        <f t="shared" si="99"/>
        <v/>
      </c>
      <c r="AM61" s="302" t="str">
        <f>IFERROR(CEILING(AL61/AN61/AN61/3.14*4*0.95,1),"")</f>
        <v/>
      </c>
      <c r="AN61" s="302" t="str">
        <f t="shared" si="100"/>
        <v/>
      </c>
      <c r="AO61" s="299"/>
      <c r="AP61" s="299"/>
      <c r="AQ61" s="290"/>
      <c r="AS61" s="261"/>
      <c r="AT61" s="299"/>
      <c r="AU61" s="302"/>
      <c r="AV61" s="302"/>
      <c r="AW61" s="299"/>
      <c r="AX61" s="302"/>
      <c r="AY61" s="299"/>
      <c r="AZ61" s="299"/>
      <c r="BA61" s="299"/>
      <c r="BB61" s="298"/>
      <c r="BC61" s="298"/>
      <c r="BD61" s="298"/>
      <c r="BE61" s="298"/>
      <c r="BF61" s="298"/>
      <c r="BG61" s="298"/>
      <c r="BH61" s="298"/>
      <c r="BI61" s="298"/>
      <c r="BJ61" s="258"/>
      <c r="BL61" s="269" t="str">
        <f t="shared" si="44"/>
        <v/>
      </c>
      <c r="BM61" s="269" t="str">
        <f t="shared" si="74"/>
        <v/>
      </c>
      <c r="BN61" s="270">
        <f t="shared" ref="BN61" si="137">IFERROR(BN60,0)</f>
        <v>0</v>
      </c>
      <c r="BO61" s="271">
        <f t="shared" si="136"/>
        <v>0</v>
      </c>
    </row>
    <row r="62" spans="2:67" x14ac:dyDescent="0.3">
      <c r="B62" s="262">
        <v>20</v>
      </c>
      <c r="C62" s="424"/>
      <c r="D62" s="425"/>
      <c r="E62" s="425"/>
      <c r="F62" s="426"/>
      <c r="G62" s="427"/>
      <c r="H62" s="427"/>
      <c r="I62" s="426"/>
      <c r="J62" s="426"/>
      <c r="K62" s="426"/>
      <c r="L62" s="426"/>
      <c r="M62" s="427"/>
      <c r="N62" s="427"/>
      <c r="O62" s="428">
        <f t="shared" si="117"/>
        <v>1</v>
      </c>
      <c r="P62" s="428">
        <f t="shared" si="118"/>
        <v>1</v>
      </c>
      <c r="Q62" s="322">
        <f t="shared" si="111"/>
        <v>0</v>
      </c>
      <c r="R62" s="322">
        <f t="shared" si="112"/>
        <v>0</v>
      </c>
      <c r="S62" s="429">
        <f t="shared" si="113"/>
        <v>0</v>
      </c>
      <c r="T62" s="430">
        <f t="shared" si="114"/>
        <v>0</v>
      </c>
      <c r="V62" s="328" t="str">
        <f t="shared" si="78"/>
        <v/>
      </c>
      <c r="W62" s="329" t="str">
        <f t="shared" si="79"/>
        <v/>
      </c>
      <c r="X62" s="329" t="str" cm="1">
        <f t="array" ref="X62">IF(W62&gt; C$63*3+1,"",IF(OR(W62=0, W62=C$63*3+1),"cantiliver",_xlfn.SWITCH(MOD(W62-1,3),0,"start",1,"middel",2,"end","")))</f>
        <v/>
      </c>
      <c r="Y62" s="330"/>
      <c r="Z62" s="329" t="str" cm="1">
        <f t="array" ref="Z62">IF(W62=C$63*3+1,D$39,IF(W62&gt;C$63*3,"", IF(Y62&gt;0,INDEX(F$43:F$62,V62),INDEX(D$43:D$62,V62))))</f>
        <v/>
      </c>
      <c r="AA62" s="329" t="str" cm="1">
        <f t="array" ref="AA62">IF(W62=3*C$63+1,E$39-D$17,IF(W62&gt;3*C$63,"", INDEX(E$43:E$62,V62)-D$17))</f>
        <v/>
      </c>
      <c r="AB62" s="339" t="str">
        <f t="shared" si="80"/>
        <v/>
      </c>
      <c r="AC62" s="331" t="e" cm="1">
        <f t="array" ref="AC62">[1]!PureBendingDesign(AB62)*G$8/G$18</f>
        <v>#VALUE!</v>
      </c>
      <c r="AD62" s="331"/>
      <c r="AE62" s="472" t="str" cm="1">
        <f t="array" ref="AE62">IF(W62=C$63*3+1,D$39,IF(W62&gt;C$63*3,"", INDEX(D$43:D$62,V62)))</f>
        <v/>
      </c>
      <c r="AF62" s="472" t="e">
        <f t="shared" si="5"/>
        <v>#VALUE!</v>
      </c>
      <c r="AG62" s="472" t="e">
        <f t="shared" si="6"/>
        <v>#VALUE!</v>
      </c>
      <c r="AH62" s="329" t="str">
        <f t="shared" si="7"/>
        <v/>
      </c>
      <c r="AI62" s="332" t="str">
        <f t="shared" si="8"/>
        <v/>
      </c>
      <c r="AK62" s="261" t="str">
        <f t="shared" si="104"/>
        <v/>
      </c>
      <c r="AL62" s="299" t="str">
        <f t="shared" si="99"/>
        <v/>
      </c>
      <c r="AM62" s="302" t="str">
        <f t="shared" si="105"/>
        <v/>
      </c>
      <c r="AN62" s="302" t="str">
        <f t="shared" si="100"/>
        <v/>
      </c>
      <c r="AO62" s="299"/>
      <c r="AP62" s="299"/>
      <c r="AQ62" s="290"/>
      <c r="AS62" s="261"/>
      <c r="AT62" s="299"/>
      <c r="AU62" s="302"/>
      <c r="AV62" s="302"/>
      <c r="AW62" s="299"/>
      <c r="AX62" s="302"/>
      <c r="AY62" s="299"/>
      <c r="AZ62" s="299"/>
      <c r="BA62" s="299"/>
      <c r="BB62" s="298"/>
      <c r="BC62" s="298"/>
      <c r="BD62" s="298"/>
      <c r="BE62" s="298"/>
      <c r="BF62" s="298"/>
      <c r="BG62" s="298"/>
      <c r="BH62" s="298"/>
      <c r="BI62" s="298"/>
      <c r="BJ62" s="258"/>
      <c r="BL62" s="269" t="str">
        <f t="shared" si="44"/>
        <v/>
      </c>
      <c r="BM62" s="269" t="str">
        <f t="shared" si="74"/>
        <v/>
      </c>
      <c r="BN62" s="270">
        <f t="shared" ref="BN62" si="138">IFERROR((BN63+BN61)/2,0)</f>
        <v>0</v>
      </c>
      <c r="BO62" s="269" t="str" cm="1">
        <f t="array" ref="BO62">IFERROR((INDEX(S$43:S$62,BM62)+INDEX(T$43:T$62,BM62))*INDEX(C$43:C$62,BM62)*INDEX(C$43:C$62,BM62)/8,"")</f>
        <v/>
      </c>
    </row>
    <row r="63" spans="2:67" x14ac:dyDescent="0.3">
      <c r="B63" s="261" t="s">
        <v>277</v>
      </c>
      <c r="C63" s="323">
        <f>COUNT(C43:C62)</f>
        <v>9</v>
      </c>
      <c r="D63" s="299"/>
      <c r="E63" s="299"/>
      <c r="F63" s="299"/>
      <c r="G63" s="299"/>
      <c r="H63" s="299"/>
      <c r="I63" s="299"/>
      <c r="J63" s="299"/>
      <c r="K63" s="299"/>
      <c r="L63" s="299"/>
      <c r="M63" s="299"/>
      <c r="N63" s="299"/>
      <c r="O63" s="299"/>
      <c r="P63" s="299"/>
      <c r="Q63" s="299"/>
      <c r="R63" s="299"/>
      <c r="S63" s="299"/>
      <c r="T63" s="290"/>
      <c r="V63" s="328" t="str">
        <f t="shared" si="78"/>
        <v/>
      </c>
      <c r="W63" s="329" t="str">
        <f t="shared" si="79"/>
        <v/>
      </c>
      <c r="X63" s="329" t="str" cm="1">
        <f t="array" ref="X63">IF(W63&gt; C$63*3+1,"",IF(OR(W63=0, W63=C$63*3+1),"cantiliver",_xlfn.SWITCH(MOD(W63-1,3),0,"start",1,"middel",2,"end","")))</f>
        <v/>
      </c>
      <c r="Y63" s="330"/>
      <c r="Z63" s="329" t="str" cm="1">
        <f t="array" ref="Z63">IF(W63=C$63*3+1,D$39,IF(W63&gt;C$63*3,"", IF(Y63&gt;0,INDEX(F$43:F$62,V63),INDEX(D$43:D$62,V63))))</f>
        <v/>
      </c>
      <c r="AA63" s="329" t="str" cm="1">
        <f t="array" ref="AA63">IF(W63=3*C$63+1,E$39-D$17,IF(W63&gt;3*C$63,"", INDEX(E$43:E$62,V63)-D$17))</f>
        <v/>
      </c>
      <c r="AB63" s="339" t="str">
        <f t="shared" si="80"/>
        <v/>
      </c>
      <c r="AC63" s="331" t="e" cm="1">
        <f t="array" ref="AC63">[1]!PureBendingDesign(AB63)*G$8/G$18</f>
        <v>#VALUE!</v>
      </c>
      <c r="AD63" s="331"/>
      <c r="AE63" s="472" t="str" cm="1">
        <f t="array" ref="AE63">IF(W63=C$63*3+1,D$39,IF(W63&gt;C$63*3,"", INDEX(D$43:D$62,V63)))</f>
        <v/>
      </c>
      <c r="AF63" s="472" t="e">
        <f t="shared" si="5"/>
        <v>#VALUE!</v>
      </c>
      <c r="AG63" s="472" t="e">
        <f t="shared" si="6"/>
        <v>#VALUE!</v>
      </c>
      <c r="AH63" s="329" t="str">
        <f t="shared" si="7"/>
        <v/>
      </c>
      <c r="AI63" s="332" t="str">
        <f t="shared" si="8"/>
        <v/>
      </c>
      <c r="AK63" s="261"/>
      <c r="AL63" s="299"/>
      <c r="AM63" s="302"/>
      <c r="AN63" s="302"/>
      <c r="AO63" s="299"/>
      <c r="AP63" s="299"/>
      <c r="AQ63" s="290"/>
      <c r="AS63" s="261"/>
      <c r="AT63" s="299"/>
      <c r="AU63" s="302"/>
      <c r="AV63" s="302"/>
      <c r="AW63" s="299"/>
      <c r="AX63" s="302"/>
      <c r="AY63" s="299"/>
      <c r="AZ63" s="299"/>
      <c r="BA63" s="299"/>
      <c r="BB63" s="298"/>
      <c r="BC63" s="298"/>
      <c r="BD63" s="298"/>
      <c r="BE63" s="298"/>
      <c r="BF63" s="298"/>
      <c r="BG63" s="298"/>
      <c r="BH63" s="298"/>
      <c r="BI63" s="298"/>
      <c r="BJ63" s="258"/>
      <c r="BL63" s="269" t="str">
        <f t="shared" si="44"/>
        <v/>
      </c>
      <c r="BM63" s="269" t="str">
        <f t="shared" si="74"/>
        <v/>
      </c>
      <c r="BN63" s="270" cm="1">
        <f t="array" ref="BN63">IFERROR(INDEX(C$43:C$62,BM63)+BN60,0)</f>
        <v>0</v>
      </c>
      <c r="BO63" s="271">
        <f t="shared" ref="BO63:BO64" si="139">IFERROR(Y65,"")</f>
        <v>0</v>
      </c>
    </row>
    <row r="64" spans="2:67" x14ac:dyDescent="0.3">
      <c r="B64" s="260"/>
      <c r="C64" s="298"/>
      <c r="D64" s="298"/>
      <c r="E64" s="298"/>
      <c r="F64" s="298"/>
      <c r="G64" s="299"/>
      <c r="H64" s="299"/>
      <c r="I64" s="299"/>
      <c r="J64" s="299"/>
      <c r="K64" s="299"/>
      <c r="L64" s="299"/>
      <c r="M64" s="299"/>
      <c r="N64" s="299"/>
      <c r="O64" s="299"/>
      <c r="P64" s="299"/>
      <c r="Q64" s="299"/>
      <c r="R64" s="299"/>
      <c r="S64" s="299"/>
      <c r="T64" s="290"/>
      <c r="V64" s="328" t="str">
        <f t="shared" si="78"/>
        <v/>
      </c>
      <c r="W64" s="329" t="str">
        <f t="shared" si="79"/>
        <v/>
      </c>
      <c r="X64" s="329" t="str" cm="1">
        <f t="array" ref="X64">IF(W64&gt; C$63*3+1,"",IF(OR(W64=0, W64=C$63*3+1),"cantiliver",_xlfn.SWITCH(MOD(W64-1,3),0,"start",1,"middel",2,"end","")))</f>
        <v/>
      </c>
      <c r="Y64" s="330"/>
      <c r="Z64" s="329" t="str" cm="1">
        <f t="array" ref="Z64">IF(W64=C$63*3+1,D$39,IF(W64&gt;C$63*3,"", IF(Y64&gt;0,INDEX(F$43:F$62,V64),INDEX(D$43:D$62,V64))))</f>
        <v/>
      </c>
      <c r="AA64" s="329" t="str" cm="1">
        <f t="array" ref="AA64">IF(W64=3*C$63+1,E$39-D$17,IF(W64&gt;3*C$63,"", INDEX(E$43:E$62,V64)-D$17))</f>
        <v/>
      </c>
      <c r="AB64" s="339" t="str">
        <f t="shared" si="80"/>
        <v/>
      </c>
      <c r="AC64" s="331" t="e" cm="1">
        <f t="array" ref="AC64">[1]!PureBendingDesign(AB64)*G$8/G$18</f>
        <v>#VALUE!</v>
      </c>
      <c r="AD64" s="331"/>
      <c r="AE64" s="472" t="str" cm="1">
        <f t="array" ref="AE64">IF(W64=C$63*3+1,D$39,IF(W64&gt;C$63*3,"", INDEX(D$43:D$62,V64)))</f>
        <v/>
      </c>
      <c r="AF64" s="472" t="e">
        <f t="shared" si="5"/>
        <v>#VALUE!</v>
      </c>
      <c r="AG64" s="472" t="e">
        <f t="shared" si="6"/>
        <v>#VALUE!</v>
      </c>
      <c r="AH64" s="329" t="str">
        <f t="shared" si="7"/>
        <v/>
      </c>
      <c r="AI64" s="332" t="str">
        <f t="shared" si="8"/>
        <v/>
      </c>
      <c r="AK64" s="261"/>
      <c r="AL64" s="299"/>
      <c r="AM64" s="302"/>
      <c r="AN64" s="302"/>
      <c r="AO64" s="299"/>
      <c r="AP64" s="299"/>
      <c r="AQ64" s="290"/>
      <c r="AS64" s="261"/>
      <c r="AT64" s="299"/>
      <c r="AU64" s="302"/>
      <c r="AV64" s="302"/>
      <c r="AW64" s="299"/>
      <c r="AX64" s="299"/>
      <c r="AY64" s="299"/>
      <c r="AZ64" s="299"/>
      <c r="BA64" s="299"/>
      <c r="BB64" s="298"/>
      <c r="BC64" s="298"/>
      <c r="BD64" s="298"/>
      <c r="BE64" s="298"/>
      <c r="BF64" s="298"/>
      <c r="BG64" s="298"/>
      <c r="BH64" s="298"/>
      <c r="BI64" s="298"/>
      <c r="BJ64" s="258"/>
      <c r="BL64" s="269" t="str">
        <f t="shared" ref="BL64" si="140">IF(BL63&lt;3*C$63-1,BL63+1,"")</f>
        <v/>
      </c>
      <c r="BM64" s="269" t="str">
        <f t="shared" ref="BM64" si="141">IFERROR(ROUNDDOWN(BL64/3,0)+1,"")</f>
        <v/>
      </c>
      <c r="BN64" s="270">
        <f t="shared" ref="BN64" si="142">IFERROR(BN63,0)</f>
        <v>0</v>
      </c>
      <c r="BO64" s="271">
        <f t="shared" si="139"/>
        <v>0</v>
      </c>
    </row>
    <row r="65" spans="1:67" x14ac:dyDescent="0.3">
      <c r="B65" s="260"/>
      <c r="C65" s="298"/>
      <c r="D65" s="298"/>
      <c r="E65" s="298"/>
      <c r="F65" s="298"/>
      <c r="G65" s="299"/>
      <c r="H65" s="299"/>
      <c r="I65" s="299"/>
      <c r="J65" s="299"/>
      <c r="K65" s="299"/>
      <c r="L65" s="299"/>
      <c r="M65" s="299"/>
      <c r="N65" s="299"/>
      <c r="O65" s="299"/>
      <c r="P65" s="299"/>
      <c r="Q65" s="299"/>
      <c r="R65" s="299"/>
      <c r="S65" s="299"/>
      <c r="T65" s="290"/>
      <c r="V65" s="328" t="str">
        <f t="shared" si="78"/>
        <v/>
      </c>
      <c r="W65" s="329" t="str">
        <f t="shared" si="79"/>
        <v/>
      </c>
      <c r="X65" s="329" t="str" cm="1">
        <f t="array" ref="X65">IF(W65&gt; C$63*3+1,"",IF(OR(W65=0, W65=C$63*3+1),"cantiliver",_xlfn.SWITCH(MOD(W65-1,3),0,"start",1,"middel",2,"end","")))</f>
        <v/>
      </c>
      <c r="Y65" s="330"/>
      <c r="Z65" s="329" t="str" cm="1">
        <f t="array" ref="Z65">IF(W65=C$63*3+1,D$39,IF(W65&gt;C$63*3,"", IF(Y65&gt;0,INDEX(F$43:F$62,V65),INDEX(D$43:D$62,V65))))</f>
        <v/>
      </c>
      <c r="AA65" s="329" t="str" cm="1">
        <f t="array" ref="AA65">IF(W65=3*C$63+1,E$39-D$17,IF(W65&gt;3*C$63,"", INDEX(E$43:E$62,V65)-D$17))</f>
        <v/>
      </c>
      <c r="AB65" s="339" t="str">
        <f t="shared" si="80"/>
        <v/>
      </c>
      <c r="AC65" s="331" t="e" cm="1">
        <f t="array" ref="AC65">[1]!PureBendingDesign(AB65)*G$8/G$18</f>
        <v>#VALUE!</v>
      </c>
      <c r="AD65" s="331"/>
      <c r="AE65" s="472" t="str" cm="1">
        <f t="array" ref="AE65">IF(W65=C$63*3+1,D$39,IF(W65&gt;C$63*3,"", INDEX(D$43:D$62,V65)))</f>
        <v/>
      </c>
      <c r="AF65" s="472" t="e">
        <f t="shared" si="5"/>
        <v>#VALUE!</v>
      </c>
      <c r="AG65" s="472" t="e">
        <f t="shared" si="6"/>
        <v>#VALUE!</v>
      </c>
      <c r="AH65" s="329" t="str">
        <f t="shared" si="7"/>
        <v/>
      </c>
      <c r="AI65" s="332" t="str">
        <f t="shared" si="8"/>
        <v/>
      </c>
      <c r="AK65" s="261"/>
      <c r="AL65" s="299"/>
      <c r="AM65" s="302"/>
      <c r="AN65" s="302"/>
      <c r="AO65" s="299"/>
      <c r="AP65" s="299"/>
      <c r="AQ65" s="290"/>
      <c r="AS65" s="261"/>
      <c r="AT65" s="299"/>
      <c r="AU65" s="302"/>
      <c r="AV65" s="302"/>
      <c r="AW65" s="299"/>
      <c r="AX65" s="299"/>
      <c r="AY65" s="299"/>
      <c r="AZ65" s="299"/>
      <c r="BA65" s="299"/>
      <c r="BB65" s="298"/>
      <c r="BC65" s="298"/>
      <c r="BD65" s="298"/>
      <c r="BE65" s="298"/>
      <c r="BF65" s="298"/>
      <c r="BG65" s="298"/>
      <c r="BH65" s="298"/>
      <c r="BI65" s="298"/>
      <c r="BJ65" s="258"/>
      <c r="BL65" s="269" t="str">
        <f t="shared" si="44"/>
        <v/>
      </c>
      <c r="BM65" s="269" t="str">
        <f t="shared" si="74"/>
        <v/>
      </c>
      <c r="BN65" s="270"/>
      <c r="BO65" s="269" t="str" cm="1">
        <f t="array" ref="BO65">IFERROR((INDEX(S$43:S$62,BM65)+INDEX(T$43:T$62,BM65))*INDEX(C$43:C$62,BM65)*INDEX(C$43:C$62,BM65)/8,"")</f>
        <v/>
      </c>
    </row>
    <row r="66" spans="1:67" ht="15" thickBot="1" x14ac:dyDescent="0.35">
      <c r="B66" s="286"/>
      <c r="C66" s="287"/>
      <c r="D66" s="287"/>
      <c r="E66" s="287"/>
      <c r="F66" s="287"/>
      <c r="G66" s="288"/>
      <c r="H66" s="288"/>
      <c r="I66" s="288"/>
      <c r="J66" s="288"/>
      <c r="K66" s="288"/>
      <c r="L66" s="288"/>
      <c r="M66" s="288"/>
      <c r="N66" s="288"/>
      <c r="O66" s="288"/>
      <c r="P66" s="288"/>
      <c r="Q66" s="288"/>
      <c r="R66" s="288"/>
      <c r="S66" s="288"/>
      <c r="T66" s="304"/>
      <c r="V66" s="333" t="str">
        <f t="shared" si="78"/>
        <v/>
      </c>
      <c r="W66" s="334" t="str">
        <f t="shared" si="79"/>
        <v/>
      </c>
      <c r="X66" s="334" t="str" cm="1">
        <f t="array" ref="X66">IF(W66&gt; C$63*3+1,"",IF(OR(W66=0, W66=C$63*3+1),"cantiliver",_xlfn.SWITCH(MOD(W66-1,3),0,"start",1,"middel",2,"end","")))</f>
        <v/>
      </c>
      <c r="Y66" s="438"/>
      <c r="Z66" s="334" t="str" cm="1">
        <f t="array" ref="Z66">IF(W66=C$63*3+1,D$39,IF(W66&gt;C$63*3,"", IF(Y66&gt;0,INDEX(F$43:F$62,V66),INDEX(D$43:D$62,V66))))</f>
        <v/>
      </c>
      <c r="AA66" s="334" t="str" cm="1">
        <f t="array" ref="AA66">IF(W66=3*C$63+1,E$39-D$17,IF(W66&gt;3*C$63,"", INDEX(E$43:E$62,V66)-D$17))</f>
        <v/>
      </c>
      <c r="AB66" s="342" t="str">
        <f t="shared" si="80"/>
        <v/>
      </c>
      <c r="AC66" s="331" t="e" cm="1">
        <f t="array" ref="AC66">[1]!PureBendingDesign(AB66)*G$8/G$18</f>
        <v>#VALUE!</v>
      </c>
      <c r="AD66" s="335"/>
      <c r="AE66" s="472" t="str" cm="1">
        <f t="array" ref="AE66">IF(W66=C$63*3+1,D$39,IF(W66&gt;C$63*3,"", INDEX(D$43:D$62,V66)))</f>
        <v/>
      </c>
      <c r="AF66" s="472" t="e">
        <f t="shared" si="5"/>
        <v>#VALUE!</v>
      </c>
      <c r="AG66" s="472" t="e">
        <f t="shared" si="6"/>
        <v>#VALUE!</v>
      </c>
      <c r="AH66" s="329" t="str">
        <f t="shared" si="7"/>
        <v/>
      </c>
      <c r="AI66" s="332" t="str">
        <f t="shared" si="8"/>
        <v/>
      </c>
      <c r="AK66" s="312"/>
      <c r="AL66" s="288"/>
      <c r="AM66" s="313"/>
      <c r="AN66" s="313"/>
      <c r="AO66" s="288"/>
      <c r="AP66" s="288"/>
      <c r="AQ66" s="304"/>
      <c r="AS66" s="312"/>
      <c r="AT66" s="288"/>
      <c r="AU66" s="313"/>
      <c r="AV66" s="313"/>
      <c r="AW66" s="288"/>
      <c r="AX66" s="288"/>
      <c r="AY66" s="288"/>
      <c r="AZ66" s="288"/>
      <c r="BA66" s="288"/>
      <c r="BB66" s="287"/>
      <c r="BC66" s="287"/>
      <c r="BD66" s="287"/>
      <c r="BE66" s="287"/>
      <c r="BF66" s="287"/>
      <c r="BG66" s="287"/>
      <c r="BH66" s="287"/>
      <c r="BI66" s="287"/>
      <c r="BJ66" s="289"/>
      <c r="BL66" s="269" t="str">
        <f t="shared" si="44"/>
        <v/>
      </c>
      <c r="BM66" s="269" t="str">
        <f t="shared" si="74"/>
        <v/>
      </c>
      <c r="BN66" s="270"/>
      <c r="BO66" s="271"/>
    </row>
    <row r="67" spans="1:67" x14ac:dyDescent="0.3">
      <c r="AK67" s="267"/>
      <c r="AL67" s="267"/>
      <c r="AM67" s="268"/>
      <c r="AN67" s="268"/>
      <c r="AO67" s="267"/>
      <c r="AP67" s="267"/>
      <c r="AQ67" s="267"/>
    </row>
    <row r="68" spans="1:67" x14ac:dyDescent="0.3">
      <c r="AK68" s="267"/>
      <c r="AL68" s="267"/>
      <c r="AM68" s="268"/>
      <c r="AN68" s="268"/>
      <c r="AO68" s="267"/>
      <c r="AP68" s="267"/>
      <c r="AQ68" s="267"/>
    </row>
    <row r="69" spans="1:67" x14ac:dyDescent="0.3">
      <c r="AK69" s="267"/>
      <c r="AL69" s="267"/>
      <c r="AM69" s="268"/>
      <c r="AN69" s="268"/>
      <c r="AO69" s="267"/>
      <c r="AP69" s="267"/>
      <c r="AQ69" s="267"/>
    </row>
    <row r="70" spans="1:67" x14ac:dyDescent="0.3">
      <c r="AK70" s="267"/>
      <c r="AL70" s="267"/>
      <c r="AM70" s="268"/>
      <c r="AN70" s="268"/>
      <c r="AO70" s="267"/>
      <c r="AP70" s="267"/>
      <c r="AQ70" s="267"/>
    </row>
    <row r="71" spans="1:67" x14ac:dyDescent="0.3">
      <c r="AK71" s="267"/>
      <c r="AL71" s="267"/>
      <c r="AM71" s="268"/>
      <c r="AN71" s="268"/>
      <c r="AO71" s="267"/>
      <c r="AP71" s="267"/>
      <c r="AQ71" s="267"/>
    </row>
    <row r="72" spans="1:67" x14ac:dyDescent="0.3">
      <c r="AK72" s="267"/>
      <c r="AL72" s="267"/>
      <c r="AM72" s="268"/>
      <c r="AN72" s="268"/>
      <c r="AO72" s="267"/>
      <c r="AP72" s="267"/>
      <c r="AQ72" s="267"/>
    </row>
    <row r="73" spans="1:67" x14ac:dyDescent="0.3">
      <c r="A73" s="269" t="s">
        <v>288</v>
      </c>
      <c r="AK73" s="267"/>
      <c r="AL73" s="267"/>
      <c r="AM73" s="268"/>
      <c r="AN73" s="268"/>
      <c r="AO73" s="267"/>
      <c r="AP73" s="267"/>
      <c r="AQ73" s="267"/>
    </row>
    <row r="74" spans="1:67" x14ac:dyDescent="0.3">
      <c r="AK74" s="267"/>
      <c r="AL74" s="267"/>
      <c r="AM74" s="268"/>
      <c r="AN74" s="268"/>
      <c r="AO74" s="267"/>
      <c r="AP74" s="267"/>
      <c r="AQ74" s="267"/>
    </row>
    <row r="75" spans="1:67" x14ac:dyDescent="0.3">
      <c r="AK75" s="267"/>
      <c r="AL75" s="267"/>
      <c r="AM75" s="268"/>
      <c r="AN75" s="268"/>
      <c r="AO75" s="267"/>
      <c r="AP75" s="267"/>
      <c r="AQ75" s="267"/>
    </row>
    <row r="76" spans="1:67" x14ac:dyDescent="0.3">
      <c r="AK76" s="267"/>
      <c r="AL76" s="267"/>
      <c r="AM76" s="268"/>
      <c r="AN76" s="268"/>
      <c r="AO76" s="267"/>
      <c r="AP76" s="267"/>
      <c r="AQ76" s="267"/>
    </row>
    <row r="77" spans="1:67" x14ac:dyDescent="0.3">
      <c r="AK77" s="267"/>
      <c r="AL77" s="267"/>
      <c r="AM77" s="268"/>
      <c r="AN77" s="268"/>
      <c r="AO77" s="267"/>
      <c r="AP77" s="267"/>
      <c r="AQ77" s="267"/>
    </row>
    <row r="78" spans="1:67" x14ac:dyDescent="0.3">
      <c r="AK78" s="267"/>
      <c r="AL78" s="267"/>
      <c r="AM78" s="268"/>
      <c r="AN78" s="268"/>
      <c r="AO78" s="267"/>
      <c r="AP78" s="267"/>
      <c r="AQ78" s="267"/>
    </row>
    <row r="79" spans="1:67" x14ac:dyDescent="0.3">
      <c r="AK79" s="267"/>
      <c r="AL79" s="267"/>
      <c r="AM79" s="268"/>
      <c r="AN79" s="268"/>
      <c r="AO79" s="267"/>
      <c r="AP79" s="267"/>
      <c r="AQ79" s="267"/>
    </row>
    <row r="80" spans="1:67" x14ac:dyDescent="0.3">
      <c r="AK80" s="267"/>
      <c r="AL80" s="267"/>
      <c r="AM80" s="268"/>
      <c r="AN80" s="268"/>
      <c r="AO80" s="267"/>
      <c r="AP80" s="267"/>
      <c r="AQ80" s="267"/>
    </row>
    <row r="81" spans="37:43" x14ac:dyDescent="0.3">
      <c r="AK81" s="267"/>
      <c r="AL81" s="267"/>
      <c r="AM81" s="268"/>
      <c r="AN81" s="268"/>
      <c r="AO81" s="267"/>
      <c r="AP81" s="267"/>
      <c r="AQ81" s="267"/>
    </row>
    <row r="82" spans="37:43" x14ac:dyDescent="0.3">
      <c r="AK82" s="267"/>
      <c r="AL82" s="267"/>
      <c r="AM82" s="268"/>
      <c r="AN82" s="268"/>
      <c r="AO82" s="267"/>
      <c r="AP82" s="267"/>
      <c r="AQ82" s="267"/>
    </row>
    <row r="83" spans="37:43" x14ac:dyDescent="0.3">
      <c r="AK83" s="267"/>
      <c r="AL83" s="267"/>
      <c r="AM83" s="268"/>
      <c r="AN83" s="268"/>
      <c r="AO83" s="267"/>
      <c r="AP83" s="267"/>
      <c r="AQ83" s="267"/>
    </row>
    <row r="84" spans="37:43" x14ac:dyDescent="0.3">
      <c r="AK84" s="267"/>
      <c r="AL84" s="267"/>
      <c r="AM84" s="268"/>
      <c r="AN84" s="268"/>
      <c r="AO84" s="267"/>
      <c r="AP84" s="267"/>
      <c r="AQ84" s="267"/>
    </row>
    <row r="85" spans="37:43" x14ac:dyDescent="0.3">
      <c r="AK85" s="267"/>
      <c r="AL85" s="267"/>
      <c r="AM85" s="268"/>
      <c r="AN85" s="268"/>
      <c r="AO85" s="267"/>
      <c r="AP85" s="267"/>
      <c r="AQ85" s="267"/>
    </row>
    <row r="86" spans="37:43" x14ac:dyDescent="0.3">
      <c r="AK86" s="267"/>
      <c r="AL86" s="267"/>
      <c r="AM86" s="268"/>
      <c r="AN86" s="268"/>
      <c r="AO86" s="267"/>
      <c r="AP86" s="267"/>
      <c r="AQ86" s="267"/>
    </row>
    <row r="87" spans="37:43" x14ac:dyDescent="0.3">
      <c r="AK87" s="267"/>
      <c r="AL87" s="267"/>
      <c r="AM87" s="268"/>
      <c r="AN87" s="268"/>
      <c r="AO87" s="267"/>
      <c r="AP87" s="267"/>
      <c r="AQ87" s="267"/>
    </row>
    <row r="88" spans="37:43" x14ac:dyDescent="0.3">
      <c r="AK88" s="267"/>
      <c r="AL88" s="267"/>
      <c r="AM88" s="268"/>
      <c r="AN88" s="268"/>
      <c r="AO88" s="267"/>
      <c r="AP88" s="267"/>
      <c r="AQ88" s="267"/>
    </row>
    <row r="89" spans="37:43" x14ac:dyDescent="0.3">
      <c r="AK89" s="267"/>
      <c r="AL89" s="267"/>
      <c r="AM89" s="268"/>
      <c r="AN89" s="268"/>
      <c r="AO89" s="267"/>
      <c r="AP89" s="267"/>
      <c r="AQ89" s="267"/>
    </row>
    <row r="90" spans="37:43" x14ac:dyDescent="0.3">
      <c r="AK90" s="267"/>
      <c r="AL90" s="267"/>
      <c r="AM90" s="268"/>
      <c r="AN90" s="268"/>
      <c r="AO90" s="267"/>
      <c r="AP90" s="267"/>
      <c r="AQ90" s="267"/>
    </row>
    <row r="91" spans="37:43" x14ac:dyDescent="0.3">
      <c r="AK91" s="267"/>
      <c r="AL91" s="267"/>
      <c r="AM91" s="268"/>
      <c r="AN91" s="268"/>
      <c r="AO91" s="267"/>
      <c r="AP91" s="267"/>
      <c r="AQ91" s="267"/>
    </row>
    <row r="92" spans="37:43" x14ac:dyDescent="0.3">
      <c r="AK92" s="267"/>
      <c r="AL92" s="267"/>
      <c r="AM92" s="268"/>
      <c r="AN92" s="268"/>
      <c r="AO92" s="267"/>
      <c r="AP92" s="267"/>
      <c r="AQ92" s="267"/>
    </row>
    <row r="93" spans="37:43" x14ac:dyDescent="0.3">
      <c r="AK93" s="267"/>
      <c r="AL93" s="267"/>
      <c r="AM93" s="268"/>
      <c r="AN93" s="268"/>
      <c r="AO93" s="267"/>
      <c r="AP93" s="267"/>
      <c r="AQ93" s="267"/>
    </row>
    <row r="94" spans="37:43" x14ac:dyDescent="0.3">
      <c r="AK94" s="267"/>
      <c r="AL94" s="267"/>
      <c r="AM94" s="268"/>
      <c r="AN94" s="268"/>
      <c r="AO94" s="267"/>
      <c r="AP94" s="267"/>
      <c r="AQ94" s="267"/>
    </row>
    <row r="95" spans="37:43" x14ac:dyDescent="0.3">
      <c r="AK95" s="267"/>
      <c r="AL95" s="267"/>
      <c r="AM95" s="268"/>
      <c r="AN95" s="268"/>
      <c r="AO95" s="267"/>
      <c r="AP95" s="267"/>
      <c r="AQ95" s="267"/>
    </row>
    <row r="96" spans="37:43" x14ac:dyDescent="0.3">
      <c r="AK96" s="267"/>
      <c r="AL96" s="267"/>
      <c r="AM96" s="268"/>
      <c r="AN96" s="268"/>
      <c r="AO96" s="267"/>
      <c r="AP96" s="267"/>
      <c r="AQ96" s="267"/>
    </row>
    <row r="97" spans="26:44" x14ac:dyDescent="0.3">
      <c r="AK97" s="267"/>
      <c r="AL97" s="267"/>
      <c r="AM97" s="268"/>
      <c r="AN97" s="268"/>
      <c r="AO97" s="267"/>
      <c r="AP97" s="267"/>
      <c r="AQ97" s="267"/>
    </row>
    <row r="98" spans="26:44" x14ac:dyDescent="0.3">
      <c r="AK98" s="267"/>
      <c r="AL98" s="267"/>
      <c r="AM98" s="268"/>
      <c r="AN98" s="268"/>
      <c r="AO98" s="267"/>
      <c r="AP98" s="267"/>
      <c r="AQ98" s="267"/>
    </row>
    <row r="99" spans="26:44" x14ac:dyDescent="0.3">
      <c r="AK99" s="267"/>
      <c r="AL99" s="267"/>
      <c r="AM99" s="268"/>
      <c r="AN99" s="268"/>
      <c r="AO99" s="267"/>
      <c r="AP99" s="267"/>
      <c r="AQ99" s="267"/>
    </row>
    <row r="100" spans="26:44" x14ac:dyDescent="0.3">
      <c r="AK100" s="267"/>
      <c r="AL100" s="267"/>
      <c r="AM100" s="268"/>
      <c r="AN100" s="268"/>
      <c r="AO100" s="267"/>
      <c r="AP100" s="267"/>
      <c r="AQ100" s="267"/>
    </row>
    <row r="101" spans="26:44" x14ac:dyDescent="0.3">
      <c r="AK101" s="267"/>
      <c r="AL101" s="267"/>
      <c r="AM101" s="268"/>
      <c r="AN101" s="268"/>
      <c r="AO101" s="267"/>
      <c r="AP101" s="267"/>
      <c r="AQ101" s="267"/>
    </row>
    <row r="102" spans="26:44" x14ac:dyDescent="0.3">
      <c r="AK102" s="267"/>
      <c r="AL102" s="267"/>
      <c r="AM102" s="268"/>
      <c r="AN102" s="268"/>
      <c r="AO102" s="267"/>
      <c r="AP102" s="267"/>
      <c r="AQ102" s="267"/>
    </row>
    <row r="103" spans="26:44" x14ac:dyDescent="0.3">
      <c r="Z103" s="270"/>
      <c r="AK103" s="267"/>
      <c r="AL103" s="267"/>
      <c r="AM103" s="268"/>
      <c r="AN103" s="268"/>
      <c r="AO103" s="267"/>
      <c r="AP103" s="267"/>
      <c r="AQ103" s="267"/>
    </row>
    <row r="104" spans="26:44" x14ac:dyDescent="0.3">
      <c r="Z104" s="270"/>
      <c r="AK104" s="267"/>
      <c r="AL104" s="267"/>
      <c r="AM104" s="268"/>
      <c r="AN104" s="268"/>
      <c r="AO104" s="267"/>
      <c r="AP104" s="267"/>
      <c r="AQ104" s="267"/>
    </row>
    <row r="105" spans="26:44" x14ac:dyDescent="0.3">
      <c r="Z105" s="270"/>
      <c r="AK105" s="267"/>
      <c r="AL105" s="267"/>
      <c r="AM105" s="268"/>
      <c r="AN105" s="268"/>
      <c r="AO105" s="267"/>
      <c r="AP105" s="267"/>
      <c r="AQ105" s="267"/>
    </row>
    <row r="106" spans="26:44" x14ac:dyDescent="0.3">
      <c r="Z106" s="270"/>
      <c r="AK106" s="267"/>
      <c r="AL106" s="267"/>
      <c r="AM106" s="268"/>
      <c r="AN106" s="268"/>
      <c r="AO106" s="267"/>
      <c r="AP106" s="267"/>
      <c r="AQ106" s="267"/>
    </row>
    <row r="107" spans="26:44" x14ac:dyDescent="0.3">
      <c r="Z107" s="270"/>
      <c r="AK107" s="267"/>
      <c r="AL107" s="267"/>
      <c r="AM107" s="268"/>
      <c r="AN107" s="268"/>
      <c r="AO107" s="267"/>
      <c r="AP107" s="267"/>
      <c r="AQ107" s="267"/>
    </row>
    <row r="108" spans="26:44" x14ac:dyDescent="0.3">
      <c r="Z108" s="270"/>
      <c r="AK108" s="267"/>
      <c r="AL108" s="267"/>
      <c r="AM108" s="268"/>
      <c r="AN108" s="268"/>
      <c r="AO108" s="267"/>
      <c r="AP108" s="267"/>
      <c r="AQ108" s="267"/>
    </row>
    <row r="109" spans="26:44" x14ac:dyDescent="0.3">
      <c r="Z109" s="270"/>
      <c r="AK109" s="267"/>
      <c r="AL109" s="267"/>
      <c r="AM109" s="268"/>
      <c r="AN109" s="268"/>
      <c r="AO109" s="267"/>
      <c r="AP109" s="267"/>
      <c r="AQ109" s="267"/>
    </row>
    <row r="110" spans="26:44" x14ac:dyDescent="0.3">
      <c r="Z110" s="270"/>
      <c r="AK110" s="267"/>
      <c r="AL110" s="267"/>
      <c r="AM110" s="268"/>
      <c r="AN110" s="268"/>
      <c r="AO110" s="267"/>
      <c r="AP110" s="267"/>
      <c r="AQ110" s="314"/>
      <c r="AR110" s="272"/>
    </row>
    <row r="111" spans="26:44" x14ac:dyDescent="0.3">
      <c r="Z111" s="270"/>
      <c r="AK111" s="267"/>
      <c r="AL111" s="267"/>
      <c r="AM111" s="268"/>
      <c r="AN111" s="268"/>
      <c r="AO111" s="267"/>
      <c r="AP111" s="267"/>
      <c r="AQ111" s="314"/>
      <c r="AR111" s="272"/>
    </row>
    <row r="112" spans="26:44" x14ac:dyDescent="0.3">
      <c r="Z112" s="270"/>
      <c r="AK112" s="267"/>
      <c r="AL112" s="267"/>
      <c r="AM112" s="268"/>
      <c r="AN112" s="268"/>
      <c r="AO112" s="267"/>
      <c r="AP112" s="267"/>
      <c r="AQ112" s="314"/>
      <c r="AR112" s="272"/>
    </row>
    <row r="113" spans="26:44" x14ac:dyDescent="0.3">
      <c r="Z113" s="270"/>
      <c r="AK113" s="267"/>
      <c r="AL113" s="267"/>
      <c r="AM113" s="268"/>
      <c r="AN113" s="268"/>
      <c r="AO113" s="267"/>
      <c r="AP113" s="267"/>
      <c r="AQ113" s="314"/>
      <c r="AR113" s="272"/>
    </row>
    <row r="114" spans="26:44" x14ac:dyDescent="0.3">
      <c r="Z114" s="270"/>
      <c r="AK114" s="267"/>
      <c r="AL114" s="267"/>
      <c r="AM114" s="268"/>
      <c r="AN114" s="268"/>
      <c r="AO114" s="267"/>
      <c r="AP114" s="267"/>
      <c r="AQ114" s="314"/>
      <c r="AR114" s="272"/>
    </row>
    <row r="115" spans="26:44" x14ac:dyDescent="0.3">
      <c r="Z115" s="270"/>
      <c r="AK115" s="267"/>
      <c r="AL115" s="267"/>
      <c r="AM115" s="268"/>
      <c r="AN115" s="268"/>
      <c r="AO115" s="267"/>
      <c r="AP115" s="267"/>
      <c r="AQ115" s="314"/>
      <c r="AR115" s="272"/>
    </row>
    <row r="116" spans="26:44" x14ac:dyDescent="0.3">
      <c r="Z116" s="270"/>
      <c r="AK116" s="267"/>
      <c r="AL116" s="267"/>
      <c r="AM116" s="268"/>
      <c r="AN116" s="268"/>
      <c r="AO116" s="267"/>
      <c r="AP116" s="267"/>
      <c r="AQ116" s="314"/>
      <c r="AR116" s="272"/>
    </row>
    <row r="117" spans="26:44" x14ac:dyDescent="0.3">
      <c r="Z117" s="270"/>
      <c r="AK117" s="267"/>
      <c r="AL117" s="267"/>
      <c r="AM117" s="268"/>
      <c r="AN117" s="268"/>
      <c r="AO117" s="267"/>
      <c r="AP117" s="267"/>
      <c r="AQ117" s="314"/>
      <c r="AR117" s="272"/>
    </row>
    <row r="118" spans="26:44" x14ac:dyDescent="0.3">
      <c r="Z118" s="270"/>
      <c r="AK118" s="267"/>
      <c r="AL118" s="267"/>
      <c r="AM118" s="268"/>
      <c r="AN118" s="268"/>
      <c r="AO118" s="267"/>
      <c r="AP118" s="267"/>
      <c r="AQ118" s="314"/>
      <c r="AR118" s="272"/>
    </row>
    <row r="119" spans="26:44" x14ac:dyDescent="0.3">
      <c r="Z119" s="270"/>
      <c r="AK119" s="267"/>
      <c r="AL119" s="267"/>
      <c r="AM119" s="268"/>
      <c r="AN119" s="268"/>
      <c r="AO119" s="267"/>
      <c r="AP119" s="267"/>
      <c r="AQ119" s="314"/>
      <c r="AR119" s="272"/>
    </row>
    <row r="120" spans="26:44" x14ac:dyDescent="0.3">
      <c r="Z120" s="270"/>
      <c r="AK120" s="267"/>
      <c r="AL120" s="267"/>
      <c r="AM120" s="268"/>
      <c r="AN120" s="268"/>
      <c r="AO120" s="267"/>
      <c r="AP120" s="267"/>
      <c r="AQ120" s="314"/>
      <c r="AR120" s="272"/>
    </row>
    <row r="121" spans="26:44" x14ac:dyDescent="0.3">
      <c r="Z121" s="270"/>
      <c r="AK121" s="267"/>
      <c r="AL121" s="267"/>
      <c r="AM121" s="268"/>
      <c r="AN121" s="268"/>
      <c r="AO121" s="267"/>
      <c r="AP121" s="267"/>
      <c r="AQ121" s="314"/>
      <c r="AR121" s="272"/>
    </row>
    <row r="122" spans="26:44" x14ac:dyDescent="0.3">
      <c r="Z122" s="270"/>
      <c r="AK122" s="267"/>
      <c r="AL122" s="267"/>
      <c r="AM122" s="268"/>
      <c r="AN122" s="268"/>
      <c r="AO122" s="267"/>
      <c r="AP122" s="267"/>
      <c r="AQ122" s="314"/>
      <c r="AR122" s="272"/>
    </row>
    <row r="123" spans="26:44" x14ac:dyDescent="0.3">
      <c r="Z123" s="270"/>
      <c r="AK123" s="267"/>
      <c r="AL123" s="267"/>
      <c r="AM123" s="268"/>
      <c r="AN123" s="268"/>
      <c r="AO123" s="267"/>
      <c r="AP123" s="267"/>
      <c r="AQ123" s="314"/>
      <c r="AR123" s="272"/>
    </row>
    <row r="124" spans="26:44" x14ac:dyDescent="0.3">
      <c r="Z124" s="270"/>
      <c r="AQ124" s="272"/>
      <c r="AR124" s="272"/>
    </row>
    <row r="125" spans="26:44" x14ac:dyDescent="0.3">
      <c r="Z125" s="270"/>
      <c r="AQ125" s="272"/>
      <c r="AR125" s="272"/>
    </row>
    <row r="126" spans="26:44" x14ac:dyDescent="0.3">
      <c r="Z126" s="270"/>
      <c r="AA126" s="270"/>
      <c r="AC126" s="270"/>
      <c r="AD126" s="270"/>
      <c r="AE126" s="270"/>
      <c r="AF126" s="270"/>
      <c r="AG126" s="270"/>
      <c r="AH126" s="270"/>
      <c r="AI126" s="270"/>
      <c r="AJ126" s="270"/>
      <c r="AK126" s="270"/>
      <c r="AL126" s="270"/>
      <c r="AO126" s="270"/>
      <c r="AP126" s="270"/>
      <c r="AQ126" s="272"/>
      <c r="AR126" s="272"/>
    </row>
    <row r="127" spans="26:44" x14ac:dyDescent="0.3">
      <c r="Z127" s="270"/>
      <c r="AA127" s="270"/>
      <c r="AC127" s="270"/>
      <c r="AD127" s="270"/>
      <c r="AE127" s="270"/>
      <c r="AF127" s="270"/>
      <c r="AG127" s="270"/>
      <c r="AH127" s="270"/>
      <c r="AI127" s="270"/>
      <c r="AJ127" s="270"/>
      <c r="AK127" s="270"/>
      <c r="AL127" s="270"/>
      <c r="AO127" s="270"/>
      <c r="AP127" s="270"/>
      <c r="AQ127" s="272"/>
      <c r="AR127" s="272"/>
    </row>
    <row r="128" spans="26:44" x14ac:dyDescent="0.3">
      <c r="Z128" s="270"/>
      <c r="AA128" s="270"/>
      <c r="AC128" s="270"/>
      <c r="AD128" s="270"/>
      <c r="AE128" s="270"/>
      <c r="AF128" s="270"/>
      <c r="AG128" s="270"/>
      <c r="AH128" s="270"/>
      <c r="AI128" s="270"/>
      <c r="AJ128" s="270"/>
      <c r="AK128" s="270"/>
      <c r="AL128" s="270"/>
      <c r="AO128" s="270"/>
      <c r="AP128" s="270"/>
      <c r="AQ128" s="272"/>
      <c r="AR128" s="272"/>
    </row>
    <row r="129" spans="19:44" x14ac:dyDescent="0.3">
      <c r="Z129" s="270"/>
      <c r="AA129" s="270"/>
      <c r="AC129" s="270"/>
      <c r="AD129" s="270"/>
      <c r="AE129" s="270"/>
      <c r="AF129" s="270"/>
      <c r="AG129" s="270"/>
      <c r="AH129" s="270"/>
      <c r="AI129" s="270"/>
      <c r="AJ129" s="270"/>
      <c r="AK129" s="270"/>
      <c r="AL129" s="270"/>
      <c r="AO129" s="270"/>
      <c r="AP129" s="270"/>
      <c r="AQ129" s="272"/>
      <c r="AR129" s="272"/>
    </row>
    <row r="130" spans="19:44" x14ac:dyDescent="0.3">
      <c r="Z130" s="270"/>
      <c r="AA130" s="270"/>
      <c r="AC130" s="270"/>
      <c r="AD130" s="270"/>
      <c r="AE130" s="270"/>
      <c r="AF130" s="270"/>
      <c r="AG130" s="270"/>
      <c r="AH130" s="270"/>
      <c r="AI130" s="270"/>
      <c r="AJ130" s="270"/>
      <c r="AK130" s="270"/>
      <c r="AL130" s="270"/>
      <c r="AO130" s="270"/>
      <c r="AP130" s="270"/>
      <c r="AQ130" s="272"/>
      <c r="AR130" s="272"/>
    </row>
    <row r="131" spans="19:44" x14ac:dyDescent="0.3">
      <c r="Z131" s="270"/>
      <c r="AA131" s="270"/>
      <c r="AC131" s="270"/>
      <c r="AD131" s="270"/>
      <c r="AE131" s="270"/>
      <c r="AF131" s="270"/>
      <c r="AG131" s="270"/>
      <c r="AH131" s="270"/>
      <c r="AI131" s="270"/>
      <c r="AJ131" s="270"/>
      <c r="AK131" s="270"/>
      <c r="AL131" s="270"/>
      <c r="AO131" s="270"/>
      <c r="AP131" s="270"/>
      <c r="AQ131" s="272"/>
      <c r="AR131" s="272"/>
    </row>
    <row r="132" spans="19:44" x14ac:dyDescent="0.3">
      <c r="Z132" s="270"/>
      <c r="AA132" s="270"/>
      <c r="AC132" s="270"/>
      <c r="AD132" s="270"/>
      <c r="AE132" s="270"/>
      <c r="AF132" s="270"/>
      <c r="AG132" s="270"/>
      <c r="AH132" s="270"/>
      <c r="AI132" s="270"/>
      <c r="AJ132" s="270"/>
      <c r="AK132" s="270"/>
      <c r="AL132" s="270"/>
      <c r="AO132" s="270"/>
      <c r="AP132" s="270"/>
      <c r="AQ132" s="272"/>
      <c r="AR132" s="272"/>
    </row>
    <row r="133" spans="19:44" x14ac:dyDescent="0.3">
      <c r="Z133" s="270"/>
      <c r="AA133" s="270"/>
      <c r="AC133" s="270"/>
      <c r="AD133" s="270"/>
      <c r="AE133" s="270"/>
      <c r="AF133" s="270"/>
      <c r="AG133" s="270"/>
      <c r="AH133" s="270"/>
      <c r="AI133" s="270"/>
      <c r="AJ133" s="270"/>
      <c r="AK133" s="270"/>
      <c r="AL133" s="270"/>
      <c r="AO133" s="270"/>
      <c r="AP133" s="270"/>
      <c r="AQ133" s="272"/>
      <c r="AR133" s="272"/>
    </row>
    <row r="134" spans="19:44" x14ac:dyDescent="0.3">
      <c r="Z134" s="270"/>
      <c r="AA134" s="270"/>
      <c r="AC134" s="270"/>
      <c r="AD134" s="270"/>
      <c r="AE134" s="270"/>
      <c r="AF134" s="270"/>
      <c r="AG134" s="270"/>
      <c r="AH134" s="270"/>
      <c r="AI134" s="270"/>
      <c r="AJ134" s="270"/>
      <c r="AK134" s="270"/>
      <c r="AL134" s="270"/>
      <c r="AO134" s="270"/>
      <c r="AP134" s="270"/>
      <c r="AQ134" s="272"/>
      <c r="AR134" s="272"/>
    </row>
    <row r="135" spans="19:44" x14ac:dyDescent="0.3">
      <c r="Z135" s="270"/>
      <c r="AA135" s="270"/>
      <c r="AC135" s="270"/>
      <c r="AD135" s="270"/>
      <c r="AE135" s="270"/>
      <c r="AF135" s="270"/>
      <c r="AG135" s="270"/>
      <c r="AH135" s="270"/>
      <c r="AI135" s="270"/>
      <c r="AJ135" s="270"/>
      <c r="AK135" s="270"/>
      <c r="AL135" s="270"/>
      <c r="AO135" s="270"/>
      <c r="AP135" s="270"/>
      <c r="AQ135" s="272"/>
      <c r="AR135" s="272"/>
    </row>
    <row r="136" spans="19:44" x14ac:dyDescent="0.3">
      <c r="Z136" s="270"/>
      <c r="AA136" s="270"/>
      <c r="AC136" s="270"/>
      <c r="AD136" s="270"/>
      <c r="AE136" s="270"/>
      <c r="AF136" s="270"/>
      <c r="AG136" s="270"/>
      <c r="AH136" s="270"/>
      <c r="AI136" s="270"/>
      <c r="AJ136" s="270"/>
      <c r="AK136" s="270"/>
      <c r="AL136" s="270"/>
      <c r="AO136" s="270"/>
      <c r="AP136" s="270"/>
      <c r="AQ136" s="272"/>
      <c r="AR136" s="272"/>
    </row>
    <row r="137" spans="19:44" x14ac:dyDescent="0.3">
      <c r="S137" s="268"/>
      <c r="T137" s="268"/>
      <c r="U137" s="268"/>
      <c r="V137" s="268"/>
      <c r="W137" s="268"/>
      <c r="X137" s="270"/>
      <c r="Z137" s="270"/>
      <c r="AA137" s="270"/>
      <c r="AC137" s="270"/>
      <c r="AD137" s="270"/>
      <c r="AE137" s="270"/>
      <c r="AF137" s="270"/>
      <c r="AG137" s="270"/>
      <c r="AH137" s="270"/>
      <c r="AI137" s="270"/>
      <c r="AJ137" s="270"/>
      <c r="AK137" s="270"/>
      <c r="AL137" s="270"/>
      <c r="AO137" s="270"/>
      <c r="AP137" s="270"/>
      <c r="AQ137" s="272"/>
      <c r="AR137" s="272"/>
    </row>
    <row r="138" spans="19:44" x14ac:dyDescent="0.3">
      <c r="U138" s="268"/>
      <c r="V138" s="268"/>
      <c r="W138" s="268"/>
      <c r="X138" s="270"/>
      <c r="Z138" s="270"/>
      <c r="AA138" s="270"/>
      <c r="AC138" s="270"/>
      <c r="AD138" s="270"/>
      <c r="AE138" s="270"/>
      <c r="AF138" s="270"/>
      <c r="AG138" s="270"/>
      <c r="AH138" s="270"/>
      <c r="AI138" s="270"/>
      <c r="AJ138" s="270"/>
      <c r="AK138" s="270"/>
      <c r="AL138" s="270"/>
      <c r="AO138" s="270"/>
      <c r="AP138" s="270"/>
      <c r="AQ138" s="272"/>
      <c r="AR138" s="272"/>
    </row>
    <row r="146" spans="19:24" x14ac:dyDescent="0.3">
      <c r="S146" s="268"/>
      <c r="U146" s="268"/>
      <c r="V146" s="268"/>
      <c r="W146" s="268"/>
      <c r="X146" s="270"/>
    </row>
    <row r="147" spans="19:24" x14ac:dyDescent="0.3">
      <c r="S147" s="268"/>
      <c r="U147" s="268"/>
      <c r="V147" s="268"/>
      <c r="W147" s="268"/>
      <c r="X147" s="270"/>
    </row>
    <row r="148" spans="19:24" x14ac:dyDescent="0.3">
      <c r="S148" s="268"/>
      <c r="U148" s="268"/>
      <c r="V148" s="268"/>
      <c r="W148" s="268"/>
      <c r="X148" s="270"/>
    </row>
    <row r="149" spans="19:24" x14ac:dyDescent="0.3">
      <c r="S149" s="268"/>
      <c r="U149" s="268"/>
      <c r="V149" s="268"/>
      <c r="W149" s="268"/>
      <c r="X149" s="270"/>
    </row>
    <row r="150" spans="19:24" x14ac:dyDescent="0.3">
      <c r="S150" s="268"/>
      <c r="U150" s="268"/>
      <c r="V150" s="268"/>
      <c r="W150" s="268"/>
      <c r="X150" s="270"/>
    </row>
    <row r="151" spans="19:24" x14ac:dyDescent="0.3">
      <c r="S151" s="268"/>
      <c r="U151" s="268"/>
      <c r="V151" s="268"/>
      <c r="W151" s="268"/>
      <c r="X151" s="270"/>
    </row>
    <row r="152" spans="19:24" x14ac:dyDescent="0.3">
      <c r="S152" s="268"/>
      <c r="U152" s="268"/>
      <c r="V152" s="268"/>
      <c r="W152" s="268"/>
      <c r="X152" s="270"/>
    </row>
    <row r="153" spans="19:24" x14ac:dyDescent="0.3">
      <c r="S153" s="268"/>
      <c r="U153" s="268"/>
      <c r="V153" s="268"/>
      <c r="W153" s="268"/>
      <c r="X153" s="270"/>
    </row>
    <row r="154" spans="19:24" x14ac:dyDescent="0.3">
      <c r="S154" s="268"/>
      <c r="U154" s="268"/>
      <c r="V154" s="268"/>
      <c r="W154" s="268"/>
      <c r="X154" s="270"/>
    </row>
    <row r="155" spans="19:24" x14ac:dyDescent="0.3">
      <c r="S155" s="268"/>
      <c r="U155" s="268"/>
      <c r="V155" s="268"/>
      <c r="W155" s="268"/>
      <c r="X155" s="270"/>
    </row>
    <row r="156" spans="19:24" x14ac:dyDescent="0.3">
      <c r="S156" s="268"/>
      <c r="U156" s="268"/>
      <c r="V156" s="268"/>
      <c r="W156" s="268"/>
      <c r="X156" s="270"/>
    </row>
    <row r="157" spans="19:24" x14ac:dyDescent="0.3">
      <c r="S157" s="268"/>
      <c r="U157" s="268"/>
      <c r="V157" s="268"/>
      <c r="W157" s="268"/>
      <c r="X157" s="270"/>
    </row>
    <row r="158" spans="19:24" x14ac:dyDescent="0.3">
      <c r="S158" s="268"/>
      <c r="U158" s="268"/>
      <c r="V158" s="268"/>
      <c r="W158" s="268"/>
      <c r="X158" s="270"/>
    </row>
    <row r="159" spans="19:24" x14ac:dyDescent="0.3">
      <c r="S159" s="268"/>
      <c r="U159" s="268"/>
      <c r="V159" s="268"/>
      <c r="W159" s="268"/>
      <c r="X159" s="270"/>
    </row>
    <row r="160" spans="19:24" x14ac:dyDescent="0.3">
      <c r="S160" s="268"/>
      <c r="U160" s="268"/>
      <c r="V160" s="268"/>
      <c r="W160" s="268"/>
      <c r="X160" s="270"/>
    </row>
    <row r="161" spans="19:24" x14ac:dyDescent="0.3">
      <c r="S161" s="268"/>
      <c r="U161" s="268"/>
      <c r="V161" s="268"/>
      <c r="W161" s="268"/>
      <c r="X161" s="270"/>
    </row>
    <row r="162" spans="19:24" x14ac:dyDescent="0.3">
      <c r="S162" s="268"/>
      <c r="U162" s="268"/>
      <c r="V162" s="268"/>
      <c r="W162" s="268"/>
      <c r="X162" s="270"/>
    </row>
    <row r="163" spans="19:24" x14ac:dyDescent="0.3">
      <c r="S163" s="268"/>
      <c r="U163" s="268"/>
      <c r="V163" s="268"/>
      <c r="W163" s="268"/>
      <c r="X163" s="270"/>
    </row>
    <row r="164" spans="19:24" x14ac:dyDescent="0.3">
      <c r="S164" s="268"/>
      <c r="U164" s="268"/>
      <c r="V164" s="268"/>
      <c r="W164" s="268"/>
      <c r="X164" s="270"/>
    </row>
    <row r="165" spans="19:24" x14ac:dyDescent="0.3">
      <c r="S165" s="268"/>
      <c r="U165" s="268"/>
      <c r="V165" s="268"/>
      <c r="W165" s="268"/>
      <c r="X165" s="270"/>
    </row>
    <row r="166" spans="19:24" x14ac:dyDescent="0.3">
      <c r="S166" s="268"/>
      <c r="U166" s="268"/>
      <c r="V166" s="268"/>
      <c r="W166" s="268"/>
      <c r="X166" s="270"/>
    </row>
    <row r="167" spans="19:24" x14ac:dyDescent="0.3">
      <c r="S167" s="268"/>
      <c r="U167" s="268"/>
      <c r="V167" s="268"/>
      <c r="W167" s="268"/>
      <c r="X167" s="270"/>
    </row>
    <row r="168" spans="19:24" x14ac:dyDescent="0.3">
      <c r="S168" s="268"/>
      <c r="U168" s="268"/>
      <c r="V168" s="268"/>
      <c r="W168" s="268"/>
      <c r="X168" s="270"/>
    </row>
    <row r="169" spans="19:24" x14ac:dyDescent="0.3">
      <c r="S169" s="268"/>
      <c r="U169" s="268"/>
      <c r="V169" s="268"/>
      <c r="W169" s="268"/>
      <c r="X169" s="270"/>
    </row>
    <row r="170" spans="19:24" x14ac:dyDescent="0.3">
      <c r="S170" s="268"/>
      <c r="U170" s="268"/>
      <c r="V170" s="268"/>
      <c r="W170" s="268"/>
      <c r="X170" s="270"/>
    </row>
    <row r="171" spans="19:24" x14ac:dyDescent="0.3">
      <c r="S171" s="268"/>
      <c r="U171" s="268"/>
      <c r="V171" s="268"/>
      <c r="W171" s="268"/>
      <c r="X171" s="270"/>
    </row>
    <row r="172" spans="19:24" x14ac:dyDescent="0.3">
      <c r="S172" s="268"/>
      <c r="U172" s="268"/>
      <c r="V172" s="268"/>
      <c r="W172" s="268"/>
      <c r="X172" s="270"/>
    </row>
    <row r="173" spans="19:24" x14ac:dyDescent="0.3">
      <c r="S173" s="268"/>
      <c r="U173" s="268"/>
      <c r="V173" s="268"/>
      <c r="W173" s="268"/>
      <c r="X173" s="270"/>
    </row>
    <row r="174" spans="19:24" x14ac:dyDescent="0.3">
      <c r="S174" s="268"/>
      <c r="U174" s="268"/>
      <c r="V174" s="268"/>
      <c r="W174" s="268"/>
      <c r="X174" s="270"/>
    </row>
    <row r="175" spans="19:24" x14ac:dyDescent="0.3">
      <c r="S175" s="268"/>
      <c r="T175" s="268"/>
      <c r="U175" s="268"/>
      <c r="V175" s="268"/>
      <c r="W175" s="268"/>
      <c r="X175" s="270"/>
    </row>
    <row r="176" spans="19:24" x14ac:dyDescent="0.3">
      <c r="S176" s="268"/>
      <c r="T176" s="268"/>
      <c r="U176" s="268"/>
      <c r="V176" s="268"/>
      <c r="W176" s="268"/>
      <c r="X176" s="270"/>
    </row>
    <row r="177" spans="19:24" x14ac:dyDescent="0.3">
      <c r="S177" s="268"/>
      <c r="T177" s="268"/>
      <c r="U177" s="268"/>
      <c r="V177" s="268"/>
      <c r="W177" s="268"/>
      <c r="X177" s="270"/>
    </row>
    <row r="178" spans="19:24" x14ac:dyDescent="0.3">
      <c r="S178" s="268"/>
      <c r="T178" s="268"/>
      <c r="U178" s="268"/>
      <c r="V178" s="268"/>
      <c r="W178" s="268"/>
      <c r="X178" s="270"/>
    </row>
    <row r="179" spans="19:24" x14ac:dyDescent="0.3">
      <c r="S179" s="268"/>
      <c r="T179" s="268"/>
      <c r="U179" s="268"/>
      <c r="V179" s="268"/>
      <c r="W179" s="268"/>
      <c r="X179" s="270"/>
    </row>
    <row r="180" spans="19:24" x14ac:dyDescent="0.3">
      <c r="S180" s="268"/>
      <c r="T180" s="268"/>
      <c r="U180" s="268"/>
      <c r="V180" s="268"/>
      <c r="W180" s="268"/>
      <c r="X180" s="270"/>
    </row>
    <row r="181" spans="19:24" x14ac:dyDescent="0.3">
      <c r="S181" s="268"/>
      <c r="T181" s="268"/>
      <c r="U181" s="268"/>
      <c r="V181" s="268"/>
      <c r="W181" s="268"/>
      <c r="X181" s="270"/>
    </row>
    <row r="182" spans="19:24" x14ac:dyDescent="0.3">
      <c r="S182" s="268"/>
      <c r="T182" s="268"/>
      <c r="U182" s="268"/>
      <c r="V182" s="268"/>
      <c r="W182" s="268"/>
      <c r="X182" s="270"/>
    </row>
    <row r="183" spans="19:24" x14ac:dyDescent="0.3">
      <c r="S183" s="268"/>
      <c r="T183" s="268"/>
      <c r="U183" s="268"/>
      <c r="V183" s="268"/>
      <c r="W183" s="268"/>
      <c r="X183" s="270"/>
    </row>
    <row r="184" spans="19:24" x14ac:dyDescent="0.3">
      <c r="S184" s="268"/>
      <c r="T184" s="268"/>
      <c r="U184" s="268"/>
      <c r="V184" s="268"/>
      <c r="W184" s="268"/>
      <c r="X184" s="270"/>
    </row>
    <row r="185" spans="19:24" x14ac:dyDescent="0.3">
      <c r="S185" s="268"/>
      <c r="T185" s="268"/>
      <c r="U185" s="268"/>
      <c r="V185" s="268"/>
      <c r="W185" s="268"/>
      <c r="X185" s="270"/>
    </row>
  </sheetData>
  <mergeCells count="30">
    <mergeCell ref="B17:C17"/>
    <mergeCell ref="G41:H41"/>
    <mergeCell ref="AW13:AX13"/>
    <mergeCell ref="AS3:BJ3"/>
    <mergeCell ref="B15:C15"/>
    <mergeCell ref="V3:AI3"/>
    <mergeCell ref="I5:K13"/>
    <mergeCell ref="B3:T3"/>
    <mergeCell ref="AK3:AQ3"/>
    <mergeCell ref="AK5:AL5"/>
    <mergeCell ref="AK6:AL6"/>
    <mergeCell ref="AK7:AL7"/>
    <mergeCell ref="B4:D4"/>
    <mergeCell ref="F4:G4"/>
    <mergeCell ref="B9:C9"/>
    <mergeCell ref="B10:C10"/>
    <mergeCell ref="B14:C14"/>
    <mergeCell ref="F13:G13"/>
    <mergeCell ref="B5:C5"/>
    <mergeCell ref="B6:C6"/>
    <mergeCell ref="B7:C7"/>
    <mergeCell ref="B8:C8"/>
    <mergeCell ref="G40:N40"/>
    <mergeCell ref="Q40:R40"/>
    <mergeCell ref="B18:C18"/>
    <mergeCell ref="M41:N41"/>
    <mergeCell ref="K41:L41"/>
    <mergeCell ref="I41:J41"/>
    <mergeCell ref="C41:F41"/>
    <mergeCell ref="B36:C36"/>
  </mergeCells>
  <phoneticPr fontId="31" type="noConversion"/>
  <pageMargins left="0.7" right="0.7" top="0.75" bottom="0.75" header="0.3" footer="0.3"/>
  <pageSetup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5A2BFE-61CF-4A34-94B2-F5E3175688C0}">
  <sheetPr codeName="Sheet3"/>
  <dimension ref="B1:V141"/>
  <sheetViews>
    <sheetView topLeftCell="A130" zoomScale="114" zoomScaleNormal="85" workbookViewId="0">
      <selection activeCell="I120" sqref="I120"/>
    </sheetView>
  </sheetViews>
  <sheetFormatPr defaultRowHeight="14.4" x14ac:dyDescent="0.3"/>
  <cols>
    <col min="1" max="1" width="1" style="280" customWidth="1"/>
    <col min="2" max="4" width="9.33203125" style="280" customWidth="1"/>
    <col min="5" max="5" width="9.33203125" style="281" customWidth="1"/>
    <col min="6" max="11" width="9.33203125" style="280" customWidth="1"/>
    <col min="12" max="16384" width="8.88671875" style="280"/>
  </cols>
  <sheetData>
    <row r="1" spans="2:11" ht="15" thickBot="1" x14ac:dyDescent="0.35"/>
    <row r="2" spans="2:11" ht="15" thickBot="1" x14ac:dyDescent="0.35">
      <c r="B2" s="625" t="s">
        <v>290</v>
      </c>
      <c r="C2" s="626"/>
      <c r="D2" s="626"/>
      <c r="E2" s="626"/>
      <c r="F2" s="626"/>
      <c r="G2" s="626"/>
      <c r="H2" s="626"/>
      <c r="I2" s="626"/>
      <c r="J2" s="626"/>
      <c r="K2" s="627"/>
    </row>
    <row r="3" spans="2:11" x14ac:dyDescent="0.3">
      <c r="B3" s="260"/>
      <c r="C3" s="298"/>
      <c r="D3" s="298"/>
      <c r="E3" s="299"/>
      <c r="F3" s="298"/>
      <c r="G3" s="298"/>
      <c r="H3" s="298"/>
      <c r="I3" s="298"/>
      <c r="J3" s="298"/>
      <c r="K3" s="258"/>
    </row>
    <row r="4" spans="2:11" x14ac:dyDescent="0.3">
      <c r="B4" s="598" t="s">
        <v>76</v>
      </c>
      <c r="C4" s="599"/>
      <c r="D4" s="599"/>
      <c r="E4" s="599"/>
      <c r="F4" s="298"/>
      <c r="G4" s="624" t="s">
        <v>328</v>
      </c>
      <c r="H4" s="624"/>
      <c r="I4" s="624"/>
      <c r="J4" s="624"/>
      <c r="K4" s="258"/>
    </row>
    <row r="5" spans="2:11" x14ac:dyDescent="0.3">
      <c r="B5" s="629" t="s">
        <v>81</v>
      </c>
      <c r="C5" s="630"/>
      <c r="D5" s="630"/>
      <c r="E5" s="346">
        <v>0.8</v>
      </c>
      <c r="F5" s="298"/>
      <c r="G5" s="624"/>
      <c r="H5" s="624"/>
      <c r="I5" s="624"/>
      <c r="J5" s="624"/>
      <c r="K5" s="258"/>
    </row>
    <row r="6" spans="2:11" x14ac:dyDescent="0.3">
      <c r="B6" s="629" t="s">
        <v>82</v>
      </c>
      <c r="C6" s="630"/>
      <c r="D6" s="630"/>
      <c r="E6" s="346">
        <v>0.82499999999999996</v>
      </c>
      <c r="F6" s="298"/>
      <c r="G6" s="624"/>
      <c r="H6" s="624"/>
      <c r="I6" s="624"/>
      <c r="J6" s="624"/>
      <c r="K6" s="258"/>
    </row>
    <row r="7" spans="2:11" x14ac:dyDescent="0.3">
      <c r="B7" s="629" t="s">
        <v>83</v>
      </c>
      <c r="C7" s="630"/>
      <c r="D7" s="630"/>
      <c r="E7" s="346">
        <v>0.8</v>
      </c>
      <c r="F7" s="298"/>
      <c r="G7" s="624"/>
      <c r="H7" s="624"/>
      <c r="I7" s="624"/>
      <c r="J7" s="624"/>
      <c r="K7" s="258"/>
    </row>
    <row r="8" spans="2:11" x14ac:dyDescent="0.3">
      <c r="B8" s="629" t="s">
        <v>80</v>
      </c>
      <c r="C8" s="630"/>
      <c r="D8" s="630"/>
      <c r="E8" s="346">
        <v>0.66666666666666663</v>
      </c>
      <c r="F8" s="298"/>
      <c r="G8" s="624"/>
      <c r="H8" s="624"/>
      <c r="I8" s="624"/>
      <c r="J8" s="624"/>
      <c r="K8" s="258"/>
    </row>
    <row r="9" spans="2:11" x14ac:dyDescent="0.3">
      <c r="B9" s="629" t="s">
        <v>199</v>
      </c>
      <c r="C9" s="630"/>
      <c r="D9" s="630"/>
      <c r="E9" s="346">
        <v>0.7</v>
      </c>
      <c r="F9" s="298"/>
      <c r="G9" s="624"/>
      <c r="H9" s="624"/>
      <c r="I9" s="624"/>
      <c r="J9" s="624"/>
      <c r="K9" s="258"/>
    </row>
    <row r="10" spans="2:11" x14ac:dyDescent="0.3">
      <c r="B10" s="629" t="s">
        <v>198</v>
      </c>
      <c r="C10" s="630"/>
      <c r="D10" s="630"/>
      <c r="E10" s="346">
        <v>0.24</v>
      </c>
      <c r="F10" s="298"/>
      <c r="G10" s="624"/>
      <c r="H10" s="624"/>
      <c r="I10" s="624"/>
      <c r="J10" s="624"/>
      <c r="K10" s="258"/>
    </row>
    <row r="11" spans="2:11" x14ac:dyDescent="0.3">
      <c r="B11" s="629" t="s">
        <v>331</v>
      </c>
      <c r="C11" s="630"/>
      <c r="D11" s="630"/>
      <c r="E11" s="346">
        <v>300</v>
      </c>
      <c r="F11" s="298"/>
      <c r="G11" s="624"/>
      <c r="H11" s="624"/>
      <c r="I11" s="624"/>
      <c r="J11" s="624"/>
      <c r="K11" s="258"/>
    </row>
    <row r="12" spans="2:11" x14ac:dyDescent="0.3">
      <c r="B12" s="629" t="s">
        <v>196</v>
      </c>
      <c r="C12" s="630"/>
      <c r="D12" s="630"/>
      <c r="E12" s="346">
        <v>0.01</v>
      </c>
      <c r="F12" s="298"/>
      <c r="G12" s="298"/>
      <c r="H12" s="298"/>
      <c r="I12" s="298"/>
      <c r="J12" s="298"/>
      <c r="K12" s="258"/>
    </row>
    <row r="13" spans="2:11" x14ac:dyDescent="0.3">
      <c r="B13" s="491" t="s">
        <v>448</v>
      </c>
      <c r="C13" s="492"/>
      <c r="D13" s="298"/>
      <c r="E13" s="346">
        <v>200</v>
      </c>
      <c r="F13" s="298"/>
      <c r="G13" s="298"/>
      <c r="H13" s="298"/>
      <c r="I13" s="298"/>
      <c r="J13" s="298"/>
      <c r="K13" s="258"/>
    </row>
    <row r="14" spans="2:11" x14ac:dyDescent="0.3">
      <c r="B14" s="260"/>
      <c r="C14" s="298"/>
      <c r="D14" s="298"/>
      <c r="E14" s="299"/>
      <c r="F14" s="298"/>
      <c r="G14" s="298"/>
      <c r="H14" s="298"/>
      <c r="I14" s="298"/>
      <c r="J14" s="298"/>
      <c r="K14" s="258"/>
    </row>
    <row r="15" spans="2:11" x14ac:dyDescent="0.3">
      <c r="B15" s="628" t="s">
        <v>77</v>
      </c>
      <c r="C15" s="597"/>
      <c r="D15" s="597"/>
      <c r="E15" s="299"/>
      <c r="F15" s="298"/>
      <c r="G15" s="597" t="s">
        <v>69</v>
      </c>
      <c r="H15" s="597"/>
      <c r="I15" s="597"/>
      <c r="J15" s="299"/>
      <c r="K15" s="258"/>
    </row>
    <row r="16" spans="2:11" x14ac:dyDescent="0.3">
      <c r="B16" s="622" t="s">
        <v>10</v>
      </c>
      <c r="C16" s="623"/>
      <c r="D16" s="283">
        <v>25</v>
      </c>
      <c r="E16" s="299"/>
      <c r="F16" s="298"/>
      <c r="G16" s="594" t="s">
        <v>11</v>
      </c>
      <c r="H16" s="594"/>
      <c r="I16" s="283">
        <v>360</v>
      </c>
      <c r="J16" s="298"/>
      <c r="K16" s="258"/>
    </row>
    <row r="17" spans="2:11" x14ac:dyDescent="0.3">
      <c r="B17" s="622" t="s">
        <v>34</v>
      </c>
      <c r="C17" s="623"/>
      <c r="D17" s="347">
        <v>3.0000000000000001E-3</v>
      </c>
      <c r="E17" s="299"/>
      <c r="F17" s="298"/>
      <c r="G17" s="594" t="s">
        <v>1</v>
      </c>
      <c r="H17" s="594"/>
      <c r="I17" s="284">
        <v>200000</v>
      </c>
      <c r="J17" s="298"/>
      <c r="K17" s="258"/>
    </row>
    <row r="18" spans="2:11" x14ac:dyDescent="0.3">
      <c r="B18" s="622" t="s">
        <v>68</v>
      </c>
      <c r="C18" s="623"/>
      <c r="D18" s="347">
        <v>1.5</v>
      </c>
      <c r="E18" s="299"/>
      <c r="F18" s="298"/>
      <c r="G18" s="594" t="s">
        <v>70</v>
      </c>
      <c r="H18" s="594"/>
      <c r="I18" s="347">
        <v>1.1499999999999999</v>
      </c>
      <c r="J18" s="298"/>
      <c r="K18" s="258"/>
    </row>
    <row r="19" spans="2:11" x14ac:dyDescent="0.3">
      <c r="B19" s="622" t="s">
        <v>75</v>
      </c>
      <c r="C19" s="623"/>
      <c r="D19" s="299">
        <f>D16*E5*E6/D18</f>
        <v>11</v>
      </c>
      <c r="E19" s="299"/>
      <c r="F19" s="298"/>
      <c r="G19" s="594" t="s">
        <v>201</v>
      </c>
      <c r="H19" s="594"/>
      <c r="I19" s="283">
        <v>240</v>
      </c>
      <c r="J19" s="298"/>
      <c r="K19" s="258"/>
    </row>
    <row r="20" spans="2:11" x14ac:dyDescent="0.3">
      <c r="B20" s="622" t="s">
        <v>200</v>
      </c>
      <c r="C20" s="623"/>
      <c r="D20" s="299">
        <f>E9*SQRT(D16/D18)</f>
        <v>2.857738033247041</v>
      </c>
      <c r="E20" s="299"/>
      <c r="F20" s="298"/>
      <c r="G20" s="594" t="s">
        <v>35</v>
      </c>
      <c r="H20" s="594"/>
      <c r="I20" s="299">
        <f>I16/I18</f>
        <v>313.04347826086956</v>
      </c>
      <c r="J20" s="298"/>
      <c r="K20" s="258"/>
    </row>
    <row r="21" spans="2:11" x14ac:dyDescent="0.3">
      <c r="B21" s="622" t="s">
        <v>171</v>
      </c>
      <c r="C21" s="623"/>
      <c r="D21" s="299">
        <f>E10*SQRT(D16/D18)</f>
        <v>0.97979589711327131</v>
      </c>
      <c r="E21" s="299"/>
      <c r="F21" s="298"/>
      <c r="G21" s="594" t="s">
        <v>178</v>
      </c>
      <c r="H21" s="594"/>
      <c r="I21" s="299">
        <f>I19/I18</f>
        <v>208.69565217391306</v>
      </c>
      <c r="J21" s="298"/>
      <c r="K21" s="258"/>
    </row>
    <row r="22" spans="2:11" x14ac:dyDescent="0.3">
      <c r="B22" s="278"/>
      <c r="C22" s="299"/>
      <c r="D22" s="298"/>
      <c r="E22" s="299"/>
      <c r="F22" s="298"/>
      <c r="G22" s="594" t="s">
        <v>334</v>
      </c>
      <c r="H22" s="594"/>
      <c r="I22" s="348">
        <f>I16/I17</f>
        <v>1.8E-3</v>
      </c>
      <c r="J22" s="298"/>
      <c r="K22" s="258"/>
    </row>
    <row r="23" spans="2:11" x14ac:dyDescent="0.3">
      <c r="B23" s="618" t="s">
        <v>236</v>
      </c>
      <c r="C23" s="619"/>
      <c r="D23" s="619"/>
      <c r="E23" s="619"/>
      <c r="F23" s="619"/>
      <c r="G23" s="619"/>
      <c r="H23" s="619"/>
      <c r="I23" s="619"/>
      <c r="J23" s="619"/>
      <c r="K23" s="258"/>
    </row>
    <row r="24" spans="2:11" x14ac:dyDescent="0.3">
      <c r="B24" s="622" t="s">
        <v>291</v>
      </c>
      <c r="C24" s="623"/>
      <c r="D24" s="623"/>
      <c r="E24" s="291">
        <v>7000000</v>
      </c>
      <c r="F24" s="298"/>
      <c r="G24" s="298"/>
      <c r="H24" s="298"/>
      <c r="I24" s="298"/>
      <c r="J24" s="298"/>
      <c r="K24" s="258"/>
    </row>
    <row r="25" spans="2:11" x14ac:dyDescent="0.3">
      <c r="B25" s="622" t="s">
        <v>310</v>
      </c>
      <c r="C25" s="623"/>
      <c r="D25" s="623"/>
      <c r="E25" s="291">
        <v>70000000</v>
      </c>
      <c r="F25" s="298"/>
      <c r="G25" s="594" t="s">
        <v>312</v>
      </c>
      <c r="H25" s="594"/>
      <c r="I25" s="594"/>
      <c r="J25" s="291">
        <v>800000000</v>
      </c>
      <c r="K25" s="258"/>
    </row>
    <row r="26" spans="2:11" x14ac:dyDescent="0.3">
      <c r="B26" s="622" t="s">
        <v>311</v>
      </c>
      <c r="C26" s="623"/>
      <c r="D26" s="623"/>
      <c r="E26" s="291">
        <v>0</v>
      </c>
      <c r="F26" s="298"/>
      <c r="G26" s="594" t="s">
        <v>313</v>
      </c>
      <c r="H26" s="594"/>
      <c r="I26" s="594"/>
      <c r="J26" s="291">
        <v>1600000000</v>
      </c>
      <c r="K26" s="258"/>
    </row>
    <row r="27" spans="2:11" x14ac:dyDescent="0.3">
      <c r="B27" s="260"/>
      <c r="C27" s="298"/>
      <c r="D27" s="298"/>
      <c r="E27" s="298"/>
      <c r="F27" s="298"/>
      <c r="G27" s="298"/>
      <c r="H27" s="298"/>
      <c r="I27" s="298"/>
      <c r="J27" s="298"/>
      <c r="K27" s="258"/>
    </row>
    <row r="28" spans="2:11" x14ac:dyDescent="0.3">
      <c r="B28" s="593" t="s">
        <v>314</v>
      </c>
      <c r="C28" s="594"/>
      <c r="D28" s="594"/>
      <c r="E28" s="298">
        <f>E25/E24</f>
        <v>10</v>
      </c>
      <c r="F28" s="298"/>
      <c r="G28" s="594" t="s">
        <v>317</v>
      </c>
      <c r="H28" s="594"/>
      <c r="I28" s="594"/>
      <c r="J28" s="298">
        <f>J25/E24</f>
        <v>114.28571428571429</v>
      </c>
      <c r="K28" s="258"/>
    </row>
    <row r="29" spans="2:11" x14ac:dyDescent="0.3">
      <c r="B29" s="593" t="s">
        <v>315</v>
      </c>
      <c r="C29" s="594"/>
      <c r="D29" s="594"/>
      <c r="E29" s="298">
        <f>E26/E24</f>
        <v>0</v>
      </c>
      <c r="F29" s="298"/>
      <c r="G29" s="594" t="s">
        <v>316</v>
      </c>
      <c r="H29" s="594"/>
      <c r="I29" s="594"/>
      <c r="J29" s="298">
        <f>J26/E24</f>
        <v>228.57142857142858</v>
      </c>
      <c r="K29" s="258"/>
    </row>
    <row r="30" spans="2:11" x14ac:dyDescent="0.3">
      <c r="B30" s="260"/>
      <c r="C30" s="298"/>
      <c r="D30" s="298"/>
      <c r="E30" s="299"/>
      <c r="F30" s="298"/>
      <c r="G30" s="298"/>
      <c r="H30" s="298"/>
      <c r="I30" s="298"/>
      <c r="J30" s="298"/>
      <c r="K30" s="258"/>
    </row>
    <row r="31" spans="2:11" x14ac:dyDescent="0.3">
      <c r="B31" s="598" t="s">
        <v>293</v>
      </c>
      <c r="C31" s="599"/>
      <c r="D31" s="599"/>
      <c r="E31" s="299"/>
      <c r="F31" s="298"/>
      <c r="G31" s="298"/>
      <c r="H31" s="298"/>
      <c r="I31" s="298"/>
      <c r="J31" s="298"/>
      <c r="K31" s="258"/>
    </row>
    <row r="32" spans="2:11" x14ac:dyDescent="0.3">
      <c r="B32" s="260"/>
      <c r="C32" s="298"/>
      <c r="D32" s="298"/>
      <c r="E32" s="299"/>
      <c r="F32" s="298"/>
      <c r="G32" s="298"/>
      <c r="H32" s="298"/>
      <c r="I32" s="298"/>
      <c r="J32" s="298"/>
      <c r="K32" s="258"/>
    </row>
    <row r="33" spans="2:11" x14ac:dyDescent="0.3">
      <c r="B33" s="620" t="s">
        <v>292</v>
      </c>
      <c r="C33" s="621"/>
      <c r="D33" s="621"/>
      <c r="E33" s="621"/>
      <c r="F33" s="298"/>
      <c r="G33" s="298"/>
      <c r="H33" s="298"/>
      <c r="I33" s="298"/>
      <c r="J33" s="298"/>
      <c r="K33" s="258"/>
    </row>
    <row r="34" spans="2:11" x14ac:dyDescent="0.3">
      <c r="B34" s="616" t="s">
        <v>274</v>
      </c>
      <c r="C34" s="617"/>
      <c r="D34" s="617"/>
      <c r="E34" s="282">
        <v>600</v>
      </c>
      <c r="F34" s="298"/>
      <c r="G34" s="298"/>
      <c r="H34" s="298"/>
      <c r="I34" s="298"/>
      <c r="J34" s="298"/>
      <c r="K34" s="258"/>
    </row>
    <row r="35" spans="2:11" x14ac:dyDescent="0.3">
      <c r="B35" s="616" t="s">
        <v>275</v>
      </c>
      <c r="C35" s="617"/>
      <c r="D35" s="617"/>
      <c r="E35" s="282">
        <v>1200</v>
      </c>
      <c r="F35" s="298"/>
      <c r="G35" s="298"/>
      <c r="H35" s="298"/>
      <c r="I35" s="298"/>
      <c r="J35" s="298"/>
      <c r="K35" s="258"/>
    </row>
    <row r="36" spans="2:11" x14ac:dyDescent="0.3">
      <c r="B36" s="616" t="s">
        <v>72</v>
      </c>
      <c r="C36" s="617"/>
      <c r="D36" s="617"/>
      <c r="E36" s="282">
        <v>25</v>
      </c>
      <c r="F36" s="298"/>
      <c r="G36" s="298"/>
      <c r="H36" s="298"/>
      <c r="I36" s="298"/>
      <c r="J36" s="298"/>
      <c r="K36" s="258"/>
    </row>
    <row r="37" spans="2:11" x14ac:dyDescent="0.3">
      <c r="B37" s="620" t="s">
        <v>327</v>
      </c>
      <c r="C37" s="621"/>
      <c r="D37" s="621"/>
      <c r="E37" s="621"/>
      <c r="F37" s="298"/>
      <c r="G37" s="298"/>
      <c r="H37" s="298"/>
      <c r="I37" s="298"/>
      <c r="J37" s="298"/>
      <c r="K37" s="258"/>
    </row>
    <row r="38" spans="2:11" x14ac:dyDescent="0.3">
      <c r="B38" s="616" t="s">
        <v>298</v>
      </c>
      <c r="C38" s="617"/>
      <c r="D38" s="617"/>
      <c r="E38" s="282" t="b">
        <v>1</v>
      </c>
      <c r="F38" s="298"/>
      <c r="G38" s="298"/>
      <c r="H38" s="298"/>
      <c r="I38" s="298"/>
      <c r="J38" s="298"/>
      <c r="K38" s="258"/>
    </row>
    <row r="39" spans="2:11" x14ac:dyDescent="0.3">
      <c r="B39" s="616" t="s">
        <v>294</v>
      </c>
      <c r="C39" s="617"/>
      <c r="D39" s="617"/>
      <c r="E39" s="282">
        <v>5000</v>
      </c>
      <c r="F39" s="298"/>
      <c r="G39" s="298"/>
      <c r="H39" s="298"/>
      <c r="I39" s="298"/>
      <c r="J39" s="298"/>
      <c r="K39" s="258"/>
    </row>
    <row r="40" spans="2:11" x14ac:dyDescent="0.3">
      <c r="B40" s="260"/>
      <c r="C40" s="298" t="s">
        <v>303</v>
      </c>
      <c r="D40" s="298"/>
      <c r="E40" s="299"/>
      <c r="F40" s="298"/>
      <c r="G40" s="298"/>
      <c r="H40" s="298" t="s">
        <v>304</v>
      </c>
      <c r="I40" s="298"/>
      <c r="J40" s="298"/>
      <c r="K40" s="258"/>
    </row>
    <row r="41" spans="2:11" x14ac:dyDescent="0.3">
      <c r="B41" s="616" t="s">
        <v>295</v>
      </c>
      <c r="C41" s="617"/>
      <c r="D41" s="617"/>
      <c r="E41" s="282">
        <v>2</v>
      </c>
      <c r="F41" s="298"/>
      <c r="G41" s="617" t="s">
        <v>295</v>
      </c>
      <c r="H41" s="617"/>
      <c r="I41" s="617"/>
      <c r="J41" s="282">
        <v>2</v>
      </c>
      <c r="K41" s="258"/>
    </row>
    <row r="42" spans="2:11" x14ac:dyDescent="0.3">
      <c r="B42" s="616" t="s">
        <v>296</v>
      </c>
      <c r="C42" s="617"/>
      <c r="D42" s="617"/>
      <c r="E42" s="282">
        <v>2</v>
      </c>
      <c r="F42" s="298"/>
      <c r="G42" s="617" t="s">
        <v>296</v>
      </c>
      <c r="H42" s="617"/>
      <c r="I42" s="617"/>
      <c r="J42" s="282">
        <v>2</v>
      </c>
      <c r="K42" s="258"/>
    </row>
    <row r="43" spans="2:11" x14ac:dyDescent="0.3">
      <c r="B43" s="616" t="s">
        <v>300</v>
      </c>
      <c r="C43" s="617"/>
      <c r="D43" s="617"/>
      <c r="E43" s="299" cm="1">
        <f t="array" ref="E43">IF(E38,INDEX(C49:E51,E41,E42),INDEX(H49:K51,E41,E42))</f>
        <v>0.85</v>
      </c>
      <c r="F43" s="298"/>
      <c r="G43" s="617" t="s">
        <v>300</v>
      </c>
      <c r="H43" s="617"/>
      <c r="I43" s="617"/>
      <c r="J43" s="299" cm="1">
        <f t="array" ref="J43">IF(E38,INDEX(C49:E51,J41,J42),INDEX(H49:K51,J41,J42))</f>
        <v>0.85</v>
      </c>
      <c r="K43" s="258"/>
    </row>
    <row r="44" spans="2:11" ht="15" thickBot="1" x14ac:dyDescent="0.35">
      <c r="B44" s="631" t="s">
        <v>299</v>
      </c>
      <c r="C44" s="632"/>
      <c r="D44" s="632"/>
      <c r="E44" s="288">
        <f>E39*E43</f>
        <v>4250</v>
      </c>
      <c r="F44" s="287"/>
      <c r="G44" s="632" t="s">
        <v>299</v>
      </c>
      <c r="H44" s="632"/>
      <c r="I44" s="632"/>
      <c r="J44" s="288">
        <f>J43*E39</f>
        <v>4250</v>
      </c>
      <c r="K44" s="289"/>
    </row>
    <row r="46" spans="2:11" x14ac:dyDescent="0.3">
      <c r="B46" s="354"/>
      <c r="C46" s="354"/>
      <c r="D46" s="354"/>
      <c r="G46" s="354"/>
      <c r="H46" s="354"/>
      <c r="I46" s="354"/>
      <c r="J46" s="281"/>
    </row>
    <row r="47" spans="2:11" ht="15" thickBot="1" x14ac:dyDescent="0.35">
      <c r="B47" s="354"/>
      <c r="C47" s="354"/>
      <c r="D47" s="354"/>
      <c r="G47" s="354"/>
      <c r="H47" s="354"/>
      <c r="I47" s="354"/>
      <c r="J47" s="281"/>
    </row>
    <row r="48" spans="2:11" hidden="1" x14ac:dyDescent="0.3">
      <c r="B48" s="349" t="s">
        <v>298</v>
      </c>
      <c r="C48" s="350">
        <v>1</v>
      </c>
      <c r="D48" s="350">
        <v>2</v>
      </c>
      <c r="E48" s="351">
        <v>3</v>
      </c>
      <c r="F48" s="352"/>
      <c r="G48" s="350" t="s">
        <v>297</v>
      </c>
      <c r="H48" s="350">
        <v>1</v>
      </c>
      <c r="I48" s="350">
        <v>2</v>
      </c>
      <c r="J48" s="351">
        <v>3</v>
      </c>
      <c r="K48" s="353">
        <v>4</v>
      </c>
    </row>
    <row r="49" spans="2:14" hidden="1" x14ac:dyDescent="0.3">
      <c r="B49" s="300">
        <v>1</v>
      </c>
      <c r="C49" s="296">
        <v>0.75</v>
      </c>
      <c r="D49" s="296">
        <v>0.8</v>
      </c>
      <c r="E49" s="266">
        <v>0.9</v>
      </c>
      <c r="F49" s="297"/>
      <c r="G49" s="296">
        <v>1</v>
      </c>
      <c r="H49" s="296">
        <v>1.2</v>
      </c>
      <c r="I49" s="296">
        <v>1.3</v>
      </c>
      <c r="J49" s="266">
        <v>1.6</v>
      </c>
      <c r="K49" s="301">
        <v>2.2000000000000002</v>
      </c>
    </row>
    <row r="50" spans="2:14" hidden="1" x14ac:dyDescent="0.3">
      <c r="B50" s="300">
        <v>2</v>
      </c>
      <c r="C50" s="296">
        <v>0.8</v>
      </c>
      <c r="D50" s="296">
        <v>0.85</v>
      </c>
      <c r="E50" s="266">
        <v>0.95</v>
      </c>
      <c r="F50" s="297"/>
      <c r="G50" s="296">
        <v>2</v>
      </c>
      <c r="H50" s="296">
        <v>1.3</v>
      </c>
      <c r="I50" s="296">
        <v>1.5</v>
      </c>
      <c r="J50" s="266">
        <v>1.8</v>
      </c>
      <c r="K50" s="301" t="e">
        <f>1/0</f>
        <v>#DIV/0!</v>
      </c>
    </row>
    <row r="51" spans="2:14" hidden="1" x14ac:dyDescent="0.3">
      <c r="B51" s="358">
        <v>3</v>
      </c>
      <c r="C51" s="359">
        <v>0.9</v>
      </c>
      <c r="D51" s="359">
        <v>0.95</v>
      </c>
      <c r="E51" s="360">
        <v>1</v>
      </c>
      <c r="F51" s="361"/>
      <c r="G51" s="359">
        <v>3</v>
      </c>
      <c r="H51" s="359">
        <v>1.6</v>
      </c>
      <c r="I51" s="359">
        <v>1.8</v>
      </c>
      <c r="J51" s="360" t="e">
        <f>1/0</f>
        <v>#DIV/0!</v>
      </c>
      <c r="K51" s="362" t="e">
        <f>1/0</f>
        <v>#DIV/0!</v>
      </c>
    </row>
    <row r="52" spans="2:14" x14ac:dyDescent="0.3">
      <c r="B52" s="363"/>
      <c r="C52" s="364"/>
      <c r="D52" s="364"/>
      <c r="E52" s="365"/>
      <c r="F52" s="366"/>
      <c r="G52" s="364"/>
      <c r="H52" s="364"/>
      <c r="I52" s="364"/>
      <c r="J52" s="365"/>
      <c r="K52" s="367"/>
    </row>
    <row r="53" spans="2:14" x14ac:dyDescent="0.3">
      <c r="B53" s="616"/>
      <c r="C53" s="617"/>
      <c r="D53" s="617"/>
      <c r="E53" s="299"/>
      <c r="F53" s="298"/>
      <c r="G53" s="617"/>
      <c r="H53" s="617"/>
      <c r="I53" s="617"/>
      <c r="J53" s="298"/>
      <c r="K53" s="258"/>
    </row>
    <row r="54" spans="2:14" x14ac:dyDescent="0.3">
      <c r="B54" s="616" t="s">
        <v>301</v>
      </c>
      <c r="C54" s="617"/>
      <c r="D54" s="617"/>
      <c r="E54" s="299"/>
      <c r="F54" s="298"/>
      <c r="G54" s="617"/>
      <c r="H54" s="617"/>
      <c r="I54" s="617"/>
      <c r="J54" s="298"/>
      <c r="K54" s="258"/>
    </row>
    <row r="55" spans="2:14" x14ac:dyDescent="0.3">
      <c r="B55" s="616" t="s">
        <v>302</v>
      </c>
      <c r="C55" s="617"/>
      <c r="D55" s="617"/>
      <c r="E55" s="299">
        <f>E44/E35</f>
        <v>3.5416666666666665</v>
      </c>
      <c r="F55" s="298"/>
      <c r="G55" s="617" t="s">
        <v>305</v>
      </c>
      <c r="H55" s="617"/>
      <c r="I55" s="617"/>
      <c r="J55" s="299">
        <f>J44/E34</f>
        <v>7.083333333333333</v>
      </c>
      <c r="K55" s="258"/>
    </row>
    <row r="56" spans="2:14" x14ac:dyDescent="0.3">
      <c r="B56" s="616" t="s">
        <v>306</v>
      </c>
      <c r="C56" s="617"/>
      <c r="D56" s="617"/>
      <c r="E56" s="299">
        <f>E55*E55*E35/2000</f>
        <v>7.5260416666666661</v>
      </c>
      <c r="F56" s="298"/>
      <c r="G56" s="617" t="s">
        <v>307</v>
      </c>
      <c r="H56" s="617"/>
      <c r="I56" s="617"/>
      <c r="J56" s="298">
        <f>J55*J55*E34/2000</f>
        <v>15.052083333333332</v>
      </c>
      <c r="K56" s="258"/>
    </row>
    <row r="57" spans="2:14" x14ac:dyDescent="0.3">
      <c r="B57" s="616" t="s">
        <v>319</v>
      </c>
      <c r="C57" s="617"/>
      <c r="D57" s="617"/>
      <c r="E57" s="299">
        <f>MAX( ABS(0.4*MIN( E28,E29)+0.6*MAX( E28,E29)),0.4*ABS(MAX( E28,E29)))</f>
        <v>6</v>
      </c>
      <c r="F57" s="298"/>
      <c r="G57" s="617" t="s">
        <v>318</v>
      </c>
      <c r="H57" s="617"/>
      <c r="I57" s="617"/>
      <c r="J57" s="299">
        <f>MAX( ABS(0.4*MIN( J28,J29)+0.6*MAX( J28,J29)),0.4*ABS(MAX( J28,J29)))</f>
        <v>182.85714285714286</v>
      </c>
      <c r="K57" s="258"/>
    </row>
    <row r="58" spans="2:14" x14ac:dyDescent="0.3">
      <c r="B58" s="616"/>
      <c r="C58" s="617"/>
      <c r="D58" s="617"/>
      <c r="E58" s="299"/>
      <c r="F58" s="298"/>
      <c r="G58" s="617"/>
      <c r="H58" s="617"/>
      <c r="I58" s="617"/>
      <c r="J58" s="298"/>
      <c r="K58" s="258"/>
    </row>
    <row r="59" spans="2:14" x14ac:dyDescent="0.3">
      <c r="B59" s="616" t="s">
        <v>320</v>
      </c>
      <c r="C59" s="617"/>
      <c r="D59" s="617"/>
      <c r="E59" s="299">
        <f>E57+E56</f>
        <v>13.526041666666666</v>
      </c>
      <c r="F59" s="298"/>
      <c r="G59" s="617" t="s">
        <v>321</v>
      </c>
      <c r="H59" s="617"/>
      <c r="I59" s="617"/>
      <c r="J59" s="299">
        <f>J57+J56</f>
        <v>197.9092261904762</v>
      </c>
      <c r="K59" s="258"/>
    </row>
    <row r="60" spans="2:14" x14ac:dyDescent="0.3">
      <c r="B60" s="616" t="s">
        <v>322</v>
      </c>
      <c r="C60" s="617"/>
      <c r="D60" s="617"/>
      <c r="E60" s="299">
        <f>ABS(MIN(E28:E29))+E56/2</f>
        <v>3.763020833333333</v>
      </c>
      <c r="F60" s="298"/>
      <c r="G60" s="617" t="s">
        <v>323</v>
      </c>
      <c r="H60" s="617"/>
      <c r="I60" s="617"/>
      <c r="J60" s="299">
        <f>ABS(MIN(J28:J29))+J56/2</f>
        <v>121.81175595238096</v>
      </c>
      <c r="K60" s="258"/>
      <c r="N60" s="281"/>
    </row>
    <row r="61" spans="2:14" x14ac:dyDescent="0.3">
      <c r="B61" s="616"/>
      <c r="C61" s="617"/>
      <c r="D61" s="617"/>
      <c r="E61" s="299"/>
      <c r="F61" s="298"/>
      <c r="G61" s="617"/>
      <c r="H61" s="617"/>
      <c r="I61" s="617"/>
      <c r="J61" s="298"/>
      <c r="K61" s="258"/>
    </row>
    <row r="62" spans="2:14" x14ac:dyDescent="0.3">
      <c r="B62" s="616" t="s">
        <v>149</v>
      </c>
      <c r="C62" s="617"/>
      <c r="D62" s="617"/>
      <c r="E62" s="299">
        <f>MAX(ABS(E60),ABS(E59),ABS(E28),ABS(E29))</f>
        <v>13.526041666666666</v>
      </c>
      <c r="F62" s="298"/>
      <c r="G62" s="617" t="s">
        <v>150</v>
      </c>
      <c r="H62" s="617"/>
      <c r="I62" s="617"/>
      <c r="J62" s="299">
        <f>MAX(ABS(J60),ABS(J59),ABS(J28),ABS(J29))</f>
        <v>228.57142857142858</v>
      </c>
      <c r="K62" s="258"/>
    </row>
    <row r="63" spans="2:14" x14ac:dyDescent="0.3">
      <c r="B63" s="593"/>
      <c r="C63" s="594"/>
      <c r="D63" s="594"/>
      <c r="E63" s="299"/>
      <c r="F63" s="298"/>
      <c r="G63" s="594"/>
      <c r="H63" s="594"/>
      <c r="I63" s="594"/>
      <c r="J63" s="298"/>
      <c r="K63" s="258"/>
    </row>
    <row r="64" spans="2:14" x14ac:dyDescent="0.3">
      <c r="B64" s="598" t="s">
        <v>324</v>
      </c>
      <c r="C64" s="599"/>
      <c r="D64" s="599"/>
      <c r="E64" s="599"/>
      <c r="F64" s="599"/>
      <c r="G64" s="599"/>
      <c r="H64" s="599"/>
      <c r="I64" s="599"/>
      <c r="J64" s="599"/>
      <c r="K64" s="635"/>
    </row>
    <row r="65" spans="2:22" x14ac:dyDescent="0.3">
      <c r="B65" s="593" t="s">
        <v>308</v>
      </c>
      <c r="C65" s="594"/>
      <c r="D65" s="594"/>
      <c r="E65" s="299">
        <f>E62/E35</f>
        <v>1.1271701388888888E-2</v>
      </c>
      <c r="F65" s="298"/>
      <c r="G65" s="594" t="s">
        <v>309</v>
      </c>
      <c r="H65" s="594"/>
      <c r="I65" s="594"/>
      <c r="J65" s="298">
        <f>J62/E34</f>
        <v>0.38095238095238099</v>
      </c>
      <c r="K65" s="258"/>
    </row>
    <row r="66" spans="2:22" x14ac:dyDescent="0.3">
      <c r="B66" s="260"/>
      <c r="C66" s="298"/>
      <c r="D66" s="298"/>
      <c r="E66" s="299"/>
      <c r="F66" s="298"/>
      <c r="G66" s="298"/>
      <c r="H66" s="298"/>
      <c r="I66" s="298"/>
      <c r="J66" s="298"/>
      <c r="K66" s="258"/>
    </row>
    <row r="67" spans="2:22" x14ac:dyDescent="0.3">
      <c r="B67" s="260"/>
      <c r="C67" s="298"/>
      <c r="D67" s="298"/>
      <c r="E67" s="299"/>
      <c r="F67" s="298"/>
      <c r="G67" s="298"/>
      <c r="H67" s="298"/>
      <c r="I67" s="298"/>
      <c r="J67" s="298"/>
      <c r="K67" s="258"/>
    </row>
    <row r="68" spans="2:22" x14ac:dyDescent="0.3">
      <c r="B68" s="622" t="s">
        <v>147</v>
      </c>
      <c r="C68" s="623"/>
      <c r="D68" s="623"/>
      <c r="E68" s="298">
        <f>E35/E34</f>
        <v>2</v>
      </c>
      <c r="F68" s="298"/>
      <c r="G68" s="298"/>
      <c r="H68" s="298"/>
      <c r="I68" s="298"/>
      <c r="J68" s="298"/>
      <c r="K68" s="258"/>
    </row>
    <row r="69" spans="2:22" x14ac:dyDescent="0.3">
      <c r="B69" s="622" t="s">
        <v>151</v>
      </c>
      <c r="C69" s="623"/>
      <c r="D69" s="623"/>
      <c r="E69" s="298">
        <f>E24/E34/E35/D16</f>
        <v>0.38888888888888884</v>
      </c>
      <c r="F69" s="298"/>
      <c r="G69" s="298"/>
      <c r="H69" s="298"/>
      <c r="I69" s="298"/>
      <c r="J69" s="298"/>
      <c r="K69" s="258"/>
    </row>
    <row r="70" spans="2:22" x14ac:dyDescent="0.3">
      <c r="B70" s="622" t="s">
        <v>139</v>
      </c>
      <c r="C70" s="623"/>
      <c r="D70" s="623"/>
      <c r="E70" s="298">
        <f>E24/E34/E35/D19</f>
        <v>0.88383838383838376</v>
      </c>
      <c r="F70" s="298"/>
      <c r="G70" s="298"/>
      <c r="H70" s="298"/>
      <c r="I70" s="298"/>
      <c r="J70" s="298"/>
      <c r="K70" s="258"/>
    </row>
    <row r="71" spans="2:22" x14ac:dyDescent="0.3">
      <c r="B71" s="622" t="s">
        <v>149</v>
      </c>
      <c r="C71" s="623"/>
      <c r="D71" s="623"/>
      <c r="E71" s="298">
        <f>MAX(E65,J65)</f>
        <v>0.38095238095238099</v>
      </c>
      <c r="F71" s="298"/>
      <c r="G71" s="298"/>
      <c r="H71" s="298"/>
      <c r="I71" s="298"/>
      <c r="J71" s="298"/>
      <c r="K71" s="258"/>
    </row>
    <row r="72" spans="2:22" x14ac:dyDescent="0.3">
      <c r="B72" s="622" t="s">
        <v>150</v>
      </c>
      <c r="C72" s="623"/>
      <c r="D72" s="623"/>
      <c r="E72" s="298">
        <f>MIN(E65,J65)</f>
        <v>1.1271701388888888E-2</v>
      </c>
      <c r="F72" s="298"/>
      <c r="G72" s="298"/>
      <c r="H72" s="298"/>
      <c r="I72" s="298"/>
      <c r="J72" s="298"/>
      <c r="K72" s="258"/>
    </row>
    <row r="73" spans="2:22" x14ac:dyDescent="0.3">
      <c r="B73" s="622" t="s">
        <v>9</v>
      </c>
      <c r="C73" s="623"/>
      <c r="D73" s="623"/>
      <c r="E73" s="298">
        <f>0.8-0.5*(E69-0.2)</f>
        <v>0.7055555555555556</v>
      </c>
      <c r="F73" s="298"/>
      <c r="G73" s="298"/>
      <c r="H73" s="298"/>
      <c r="I73" s="298"/>
      <c r="J73" s="298"/>
      <c r="K73" s="258"/>
    </row>
    <row r="74" spans="2:22" x14ac:dyDescent="0.3">
      <c r="B74" s="622" t="s">
        <v>144</v>
      </c>
      <c r="C74" s="623"/>
      <c r="D74" s="623"/>
      <c r="E74" s="298">
        <f>MAX(0.6,MIN(0.8,E73))</f>
        <v>0.7055555555555556</v>
      </c>
      <c r="F74" s="298"/>
      <c r="G74" s="298"/>
      <c r="H74" s="298"/>
      <c r="I74" s="298"/>
      <c r="J74" s="298"/>
      <c r="K74" s="258"/>
    </row>
    <row r="75" spans="2:22" x14ac:dyDescent="0.3">
      <c r="B75" s="622" t="s">
        <v>145</v>
      </c>
      <c r="C75" s="623"/>
      <c r="D75" s="623"/>
      <c r="E75" s="298">
        <f>E71+E72*E74</f>
        <v>0.38890519248787481</v>
      </c>
      <c r="F75" s="298"/>
      <c r="G75" s="298"/>
      <c r="H75" s="298"/>
      <c r="I75" s="298"/>
      <c r="J75" s="298"/>
      <c r="K75" s="258"/>
    </row>
    <row r="76" spans="2:22" x14ac:dyDescent="0.3">
      <c r="B76" s="622" t="s">
        <v>147</v>
      </c>
      <c r="C76" s="623"/>
      <c r="D76" s="623"/>
      <c r="E76" s="298">
        <f>IF(E65&gt;J65,E68,1/E68)</f>
        <v>0.5</v>
      </c>
      <c r="F76" s="298"/>
      <c r="G76" s="298"/>
      <c r="H76" s="298"/>
      <c r="I76" s="298"/>
      <c r="J76" s="298"/>
      <c r="K76" s="258"/>
    </row>
    <row r="77" spans="2:22" x14ac:dyDescent="0.3">
      <c r="B77" s="260"/>
      <c r="C77" s="298"/>
      <c r="D77" s="298"/>
      <c r="E77" s="299"/>
      <c r="F77" s="298"/>
      <c r="G77" s="298"/>
      <c r="H77" s="298"/>
      <c r="I77" s="298"/>
      <c r="J77" s="298"/>
      <c r="K77" s="258"/>
    </row>
    <row r="78" spans="2:22" x14ac:dyDescent="0.3">
      <c r="B78" s="260"/>
      <c r="C78" s="298"/>
      <c r="D78" s="298"/>
      <c r="E78" s="298"/>
      <c r="F78" s="298"/>
      <c r="G78" s="298"/>
      <c r="H78" s="298"/>
      <c r="I78" s="298"/>
      <c r="J78" s="298"/>
      <c r="K78" s="258"/>
    </row>
    <row r="79" spans="2:22" x14ac:dyDescent="0.3">
      <c r="B79" s="636" t="s">
        <v>378</v>
      </c>
      <c r="C79" s="637"/>
      <c r="D79" s="637"/>
      <c r="E79" s="637"/>
      <c r="F79" s="637"/>
      <c r="G79" s="637"/>
      <c r="H79" s="298"/>
      <c r="I79" s="298"/>
      <c r="J79" s="298"/>
      <c r="K79" s="258"/>
    </row>
    <row r="80" spans="2:22" x14ac:dyDescent="0.3">
      <c r="B80" s="636"/>
      <c r="C80" s="637"/>
      <c r="D80" s="637"/>
      <c r="E80" s="637"/>
      <c r="F80" s="637"/>
      <c r="G80" s="637"/>
      <c r="H80" s="298"/>
      <c r="I80" s="298"/>
      <c r="J80" s="298"/>
      <c r="K80" s="258"/>
      <c r="M80" s="633"/>
      <c r="N80" s="633"/>
      <c r="O80" s="633"/>
      <c r="P80" s="633"/>
      <c r="Q80" s="633"/>
      <c r="R80" s="633"/>
      <c r="S80" s="633"/>
      <c r="T80" s="633"/>
      <c r="U80" s="633"/>
      <c r="V80" s="633"/>
    </row>
    <row r="81" spans="2:22" x14ac:dyDescent="0.3">
      <c r="B81" s="260"/>
      <c r="C81" s="298"/>
      <c r="D81" s="298"/>
      <c r="E81" s="298"/>
      <c r="F81" s="298"/>
      <c r="G81" s="298"/>
      <c r="H81" s="298"/>
      <c r="I81" s="298"/>
      <c r="J81" s="298"/>
      <c r="K81" s="258"/>
      <c r="M81" s="634"/>
      <c r="N81" s="634"/>
      <c r="O81" s="634"/>
    </row>
    <row r="82" spans="2:22" x14ac:dyDescent="0.3">
      <c r="B82" s="260"/>
      <c r="C82" s="298"/>
      <c r="D82" s="298"/>
      <c r="E82" s="299"/>
      <c r="F82" s="298"/>
      <c r="G82" s="298"/>
      <c r="H82" s="368"/>
      <c r="I82" s="368"/>
      <c r="J82" s="368"/>
      <c r="K82" s="369"/>
      <c r="M82" s="634"/>
      <c r="N82" s="634"/>
      <c r="O82" s="634"/>
      <c r="P82" s="355"/>
    </row>
    <row r="83" spans="2:22" x14ac:dyDescent="0.3">
      <c r="B83" s="260"/>
      <c r="C83" s="298"/>
      <c r="D83" s="298"/>
      <c r="E83" s="299"/>
      <c r="F83" s="298"/>
      <c r="G83" s="298"/>
      <c r="H83" s="368"/>
      <c r="I83" s="368"/>
      <c r="J83" s="368"/>
      <c r="K83" s="369"/>
      <c r="M83" s="634"/>
      <c r="N83" s="634"/>
      <c r="O83" s="634"/>
    </row>
    <row r="84" spans="2:22" x14ac:dyDescent="0.3">
      <c r="B84" s="260"/>
      <c r="C84" s="298"/>
      <c r="D84" s="298"/>
      <c r="E84" s="299"/>
      <c r="F84" s="298"/>
      <c r="G84" s="298"/>
      <c r="H84" s="298"/>
      <c r="I84" s="298"/>
      <c r="J84" s="298"/>
      <c r="K84" s="258"/>
      <c r="M84" s="634"/>
      <c r="N84" s="634"/>
      <c r="O84" s="634"/>
      <c r="P84" s="281"/>
    </row>
    <row r="85" spans="2:22" x14ac:dyDescent="0.3">
      <c r="B85" s="260"/>
      <c r="C85" s="298"/>
      <c r="D85" s="298"/>
      <c r="E85" s="298"/>
      <c r="F85" s="298"/>
      <c r="G85" s="298"/>
      <c r="H85" s="298"/>
      <c r="I85" s="298"/>
      <c r="J85" s="298"/>
      <c r="K85" s="258"/>
    </row>
    <row r="86" spans="2:22" x14ac:dyDescent="0.3">
      <c r="B86" s="260"/>
      <c r="C86" s="298"/>
      <c r="D86" s="298"/>
      <c r="E86" s="299"/>
      <c r="F86" s="298"/>
      <c r="G86" s="298"/>
      <c r="H86" s="298"/>
      <c r="I86" s="298"/>
      <c r="J86" s="298"/>
      <c r="K86" s="258"/>
    </row>
    <row r="87" spans="2:22" x14ac:dyDescent="0.3">
      <c r="B87" s="260"/>
      <c r="C87" s="298"/>
      <c r="D87" s="298"/>
      <c r="E87" s="299"/>
      <c r="F87" s="298"/>
      <c r="G87" s="298"/>
      <c r="H87" s="298"/>
      <c r="I87" s="298"/>
      <c r="J87" s="298"/>
      <c r="K87" s="258"/>
    </row>
    <row r="88" spans="2:22" x14ac:dyDescent="0.3">
      <c r="B88" s="260"/>
      <c r="C88" s="298"/>
      <c r="D88" s="298"/>
      <c r="E88" s="299"/>
      <c r="F88" s="298"/>
      <c r="G88" s="298"/>
      <c r="H88" s="298"/>
      <c r="I88" s="298"/>
      <c r="J88" s="298"/>
      <c r="K88" s="258"/>
    </row>
    <row r="89" spans="2:22" x14ac:dyDescent="0.3">
      <c r="B89" s="260"/>
      <c r="C89" s="298"/>
      <c r="D89" s="298"/>
      <c r="E89" s="299"/>
      <c r="F89" s="298"/>
      <c r="G89" s="298"/>
      <c r="H89" s="298"/>
      <c r="I89" s="298"/>
      <c r="J89" s="298"/>
      <c r="K89" s="258"/>
      <c r="U89" s="356"/>
      <c r="V89" s="356"/>
    </row>
    <row r="90" spans="2:22" x14ac:dyDescent="0.3">
      <c r="B90" s="260"/>
      <c r="C90" s="298"/>
      <c r="D90" s="298"/>
      <c r="E90" s="299"/>
      <c r="F90" s="298"/>
      <c r="G90" s="298"/>
      <c r="H90" s="298"/>
      <c r="I90" s="298"/>
      <c r="J90" s="298"/>
      <c r="K90" s="258"/>
      <c r="U90" s="357"/>
      <c r="V90" s="356"/>
    </row>
    <row r="91" spans="2:22" x14ac:dyDescent="0.3">
      <c r="B91" s="593" t="s">
        <v>73</v>
      </c>
      <c r="C91" s="594"/>
      <c r="D91" s="594"/>
      <c r="E91" s="208" cm="1">
        <f t="array" ref="E91">[1]!AxialForceAndBendingSectionDesign_UF(E70,E70*E75,I22,E76,D17,E5)</f>
        <v>0.84491559615595202</v>
      </c>
      <c r="F91" s="298"/>
      <c r="G91" s="298"/>
      <c r="H91" s="298"/>
      <c r="I91" s="298"/>
      <c r="J91" s="298"/>
      <c r="K91" s="258"/>
      <c r="U91" s="357"/>
      <c r="V91" s="356"/>
    </row>
    <row r="92" spans="2:22" x14ac:dyDescent="0.3">
      <c r="B92" s="593" t="s">
        <v>325</v>
      </c>
      <c r="C92" s="594"/>
      <c r="D92" s="594"/>
      <c r="E92" s="292">
        <f>E91*D18/I20</f>
        <v>4.0485538982472698E-3</v>
      </c>
      <c r="F92" s="298"/>
      <c r="G92" s="298"/>
      <c r="H92" s="298"/>
      <c r="I92" s="298"/>
      <c r="J92" s="298"/>
      <c r="K92" s="258"/>
      <c r="U92" s="357"/>
      <c r="V92" s="356"/>
    </row>
    <row r="93" spans="2:22" x14ac:dyDescent="0.3">
      <c r="B93" s="593" t="s">
        <v>326</v>
      </c>
      <c r="C93" s="594"/>
      <c r="D93" s="594"/>
      <c r="E93" s="285">
        <f>E92*E34*E35</f>
        <v>2914.9588067380341</v>
      </c>
      <c r="F93" s="298"/>
      <c r="G93" s="298"/>
      <c r="H93" s="298"/>
      <c r="I93" s="298"/>
      <c r="J93" s="298"/>
      <c r="K93" s="258"/>
    </row>
    <row r="94" spans="2:22" x14ac:dyDescent="0.3">
      <c r="B94" s="260"/>
      <c r="C94" s="298"/>
      <c r="D94" s="298"/>
      <c r="E94" s="299"/>
      <c r="F94" s="298"/>
      <c r="G94" s="298"/>
      <c r="H94" s="298"/>
      <c r="I94" s="298"/>
      <c r="J94" s="298"/>
      <c r="K94" s="258"/>
    </row>
    <row r="95" spans="2:22" ht="15" thickBot="1" x14ac:dyDescent="0.35">
      <c r="B95" s="286"/>
      <c r="C95" s="287"/>
      <c r="D95" s="287"/>
      <c r="E95" s="288"/>
      <c r="F95" s="287"/>
      <c r="G95" s="287"/>
      <c r="H95" s="287"/>
      <c r="I95" s="287"/>
      <c r="J95" s="287"/>
      <c r="K95" s="289"/>
    </row>
    <row r="97" spans="2:11" ht="15" thickBot="1" x14ac:dyDescent="0.35"/>
    <row r="98" spans="2:11" x14ac:dyDescent="0.3">
      <c r="B98" s="373"/>
      <c r="C98" s="366"/>
      <c r="D98" s="366"/>
      <c r="E98" s="365"/>
      <c r="F98" s="366"/>
      <c r="G98" s="366"/>
      <c r="H98" s="366"/>
      <c r="I98" s="366"/>
      <c r="J98" s="366"/>
      <c r="K98" s="367"/>
    </row>
    <row r="99" spans="2:11" x14ac:dyDescent="0.3">
      <c r="B99" s="260"/>
      <c r="C99" s="298"/>
      <c r="D99" s="298"/>
      <c r="E99" s="490" t="s">
        <v>447</v>
      </c>
      <c r="F99" s="298"/>
      <c r="G99" s="298"/>
      <c r="H99" s="298"/>
      <c r="I99" s="298"/>
      <c r="J99" s="298"/>
      <c r="K99" s="258"/>
    </row>
    <row r="100" spans="2:11" x14ac:dyDescent="0.3">
      <c r="B100" s="260"/>
      <c r="C100" s="298"/>
      <c r="D100" s="298"/>
      <c r="E100" s="299"/>
      <c r="F100" s="298"/>
      <c r="G100" s="298"/>
      <c r="H100" s="298"/>
      <c r="I100" s="298"/>
      <c r="J100" s="298"/>
      <c r="K100" s="258"/>
    </row>
    <row r="101" spans="2:11" x14ac:dyDescent="0.3">
      <c r="B101" s="725"/>
      <c r="C101" s="726"/>
      <c r="D101" s="726"/>
      <c r="E101" s="726"/>
      <c r="F101" s="298"/>
      <c r="G101" s="298"/>
      <c r="H101" s="298"/>
      <c r="I101" s="298"/>
      <c r="J101" s="298"/>
      <c r="K101" s="258"/>
    </row>
    <row r="102" spans="2:11" x14ac:dyDescent="0.3">
      <c r="B102" s="593" t="s">
        <v>329</v>
      </c>
      <c r="C102" s="594"/>
      <c r="D102" s="594"/>
      <c r="E102" s="282">
        <v>12</v>
      </c>
      <c r="F102" s="298" t="s">
        <v>26</v>
      </c>
      <c r="G102" s="145">
        <f>E102*E102*3.14/4</f>
        <v>113.04</v>
      </c>
      <c r="H102" s="298"/>
      <c r="I102" s="298"/>
      <c r="J102" s="298"/>
      <c r="K102" s="258"/>
    </row>
    <row r="103" spans="2:11" x14ac:dyDescent="0.3">
      <c r="B103" s="593" t="s">
        <v>330</v>
      </c>
      <c r="C103" s="594"/>
      <c r="D103" s="594"/>
      <c r="E103" s="282">
        <v>10</v>
      </c>
      <c r="F103" s="298" t="s">
        <v>26</v>
      </c>
      <c r="G103" s="145">
        <f t="shared" ref="G103" si="0">E103*E103*3.14/4</f>
        <v>78.5</v>
      </c>
      <c r="H103" s="298"/>
      <c r="I103" s="298"/>
      <c r="J103" s="298"/>
      <c r="K103" s="258"/>
    </row>
    <row r="104" spans="2:11" x14ac:dyDescent="0.3">
      <c r="B104" s="593" t="s">
        <v>332</v>
      </c>
      <c r="C104" s="594"/>
      <c r="D104" s="594"/>
      <c r="E104" s="299">
        <v>10</v>
      </c>
      <c r="F104" s="298"/>
      <c r="G104" s="298"/>
      <c r="H104" s="298"/>
      <c r="I104" s="298"/>
      <c r="J104" s="298"/>
      <c r="K104" s="258"/>
    </row>
    <row r="105" spans="2:11" x14ac:dyDescent="0.3">
      <c r="B105" s="293"/>
      <c r="C105" s="370"/>
      <c r="D105" s="370"/>
      <c r="E105" s="370" t="s">
        <v>165</v>
      </c>
      <c r="F105" s="370" t="s">
        <v>25</v>
      </c>
      <c r="G105" s="370" t="s">
        <v>26</v>
      </c>
      <c r="H105" s="370" t="s">
        <v>336</v>
      </c>
      <c r="I105" s="370"/>
      <c r="J105" s="298"/>
      <c r="K105" s="258"/>
    </row>
    <row r="106" spans="2:11" x14ac:dyDescent="0.3">
      <c r="B106" s="614" t="s">
        <v>333</v>
      </c>
      <c r="C106" s="615"/>
      <c r="D106" s="615"/>
      <c r="E106" s="294">
        <v>4</v>
      </c>
      <c r="F106" s="295">
        <f>E102</f>
        <v>12</v>
      </c>
      <c r="G106" s="371">
        <f>E106*G102</f>
        <v>452.16</v>
      </c>
      <c r="H106" s="371"/>
      <c r="I106" s="371"/>
      <c r="J106" s="298"/>
      <c r="K106" s="258"/>
    </row>
    <row r="107" spans="2:11" x14ac:dyDescent="0.3">
      <c r="B107" s="614" t="s">
        <v>335</v>
      </c>
      <c r="C107" s="615"/>
      <c r="D107" s="615"/>
      <c r="E107" s="294">
        <f>MAX(CEILING((E35-2*E36)/E11,1)-1,CEILING((E93-G106)/G103*I107,1))</f>
        <v>11</v>
      </c>
      <c r="F107" s="295">
        <f>E103</f>
        <v>10</v>
      </c>
      <c r="G107" s="371">
        <f>E107*G103</f>
        <v>863.5</v>
      </c>
      <c r="H107" s="371">
        <f>(E35-E36*2)/(E107+1)</f>
        <v>95.833333333333329</v>
      </c>
      <c r="I107" s="371">
        <f>E35/(E34+E35)/2</f>
        <v>0.33333333333333331</v>
      </c>
      <c r="J107" s="298"/>
      <c r="K107" s="258"/>
    </row>
    <row r="108" spans="2:11" x14ac:dyDescent="0.3">
      <c r="B108" s="614" t="s">
        <v>337</v>
      </c>
      <c r="C108" s="615"/>
      <c r="D108" s="615"/>
      <c r="E108" s="294">
        <f>MAX(CEILING((E34-2*E36)/E11,1)-1,CEILING((E93-G106-G107*2)/2/G103,1))</f>
        <v>5</v>
      </c>
      <c r="F108" s="295">
        <f>E103</f>
        <v>10</v>
      </c>
      <c r="G108" s="371">
        <f>E108*G103</f>
        <v>392.5</v>
      </c>
      <c r="H108" s="371">
        <f>(E34-E36*2)/(E108+1)</f>
        <v>91.666666666666671</v>
      </c>
      <c r="I108" s="371"/>
      <c r="J108" s="298"/>
      <c r="K108" s="258"/>
    </row>
    <row r="109" spans="2:11" x14ac:dyDescent="0.3">
      <c r="B109" s="616" t="s">
        <v>338</v>
      </c>
      <c r="C109" s="617"/>
      <c r="D109" s="617"/>
      <c r="E109" s="299"/>
      <c r="F109" s="298"/>
      <c r="G109" s="372">
        <f>G106+(G107+G108)*2</f>
        <v>2964.16</v>
      </c>
      <c r="H109" s="298"/>
      <c r="I109" s="298"/>
      <c r="J109" s="298"/>
      <c r="K109" s="258"/>
    </row>
    <row r="110" spans="2:11" x14ac:dyDescent="0.3">
      <c r="B110" s="260"/>
      <c r="C110" s="298"/>
      <c r="D110" s="298"/>
      <c r="E110" s="299"/>
      <c r="F110" s="298"/>
      <c r="G110" s="298"/>
      <c r="H110" s="298"/>
      <c r="I110" s="298"/>
      <c r="J110" s="298"/>
      <c r="K110" s="258"/>
    </row>
    <row r="111" spans="2:11" x14ac:dyDescent="0.3">
      <c r="B111" s="260" t="s">
        <v>446</v>
      </c>
      <c r="C111" s="298"/>
      <c r="D111" s="298"/>
      <c r="E111" s="299">
        <f>0.25% *E34*E35</f>
        <v>1800</v>
      </c>
      <c r="F111" s="298"/>
      <c r="G111" s="298"/>
      <c r="H111" s="298"/>
      <c r="I111" s="298"/>
      <c r="J111" s="298"/>
      <c r="K111" s="258"/>
    </row>
    <row r="112" spans="2:11" x14ac:dyDescent="0.3">
      <c r="B112" s="260"/>
      <c r="C112" s="298"/>
      <c r="D112" s="298"/>
      <c r="E112" s="299"/>
      <c r="F112" s="298"/>
      <c r="G112" s="298"/>
      <c r="H112" s="298"/>
      <c r="I112" s="298"/>
      <c r="J112" s="298"/>
      <c r="K112" s="258"/>
    </row>
    <row r="113" spans="2:11" x14ac:dyDescent="0.3">
      <c r="B113" s="260"/>
      <c r="C113" s="298"/>
      <c r="D113" s="298"/>
      <c r="E113" s="299"/>
      <c r="F113" s="298"/>
      <c r="G113" s="298"/>
      <c r="H113" s="298"/>
      <c r="I113" s="298"/>
      <c r="J113" s="298"/>
      <c r="K113" s="258"/>
    </row>
    <row r="114" spans="2:11" x14ac:dyDescent="0.3">
      <c r="B114" s="260"/>
      <c r="C114" s="298"/>
      <c r="D114" s="298"/>
      <c r="E114" s="299"/>
      <c r="F114" s="298"/>
      <c r="G114" s="298"/>
      <c r="H114" s="298"/>
      <c r="I114" s="298"/>
      <c r="J114" s="298"/>
      <c r="K114" s="258"/>
    </row>
    <row r="115" spans="2:11" x14ac:dyDescent="0.3">
      <c r="B115" s="260"/>
      <c r="C115" s="298"/>
      <c r="D115" s="298"/>
      <c r="E115" s="299"/>
      <c r="F115" s="298"/>
      <c r="G115" s="298"/>
      <c r="H115" s="298"/>
      <c r="I115" s="298"/>
      <c r="J115" s="298"/>
      <c r="K115" s="258"/>
    </row>
    <row r="116" spans="2:11" x14ac:dyDescent="0.3">
      <c r="B116" s="260"/>
      <c r="C116" s="298"/>
      <c r="D116" s="298"/>
      <c r="E116" s="299"/>
      <c r="F116" s="298"/>
      <c r="G116" s="298"/>
      <c r="H116" s="298"/>
      <c r="I116" s="298"/>
      <c r="J116" s="298"/>
      <c r="K116" s="258"/>
    </row>
    <row r="117" spans="2:11" x14ac:dyDescent="0.3">
      <c r="B117" s="260"/>
      <c r="C117" s="298"/>
      <c r="D117" s="298"/>
      <c r="E117" s="299"/>
      <c r="F117" s="298"/>
      <c r="G117" s="298"/>
      <c r="H117" s="298"/>
      <c r="I117" s="298"/>
      <c r="J117" s="298"/>
      <c r="K117" s="258"/>
    </row>
    <row r="118" spans="2:11" x14ac:dyDescent="0.3">
      <c r="B118" s="260"/>
      <c r="C118" s="298"/>
      <c r="D118" s="298"/>
      <c r="E118" s="299"/>
      <c r="F118" s="298"/>
      <c r="G118" s="298"/>
      <c r="H118" s="298"/>
      <c r="I118" s="298"/>
      <c r="J118" s="298"/>
      <c r="K118" s="258"/>
    </row>
    <row r="119" spans="2:11" x14ac:dyDescent="0.3">
      <c r="B119" s="260"/>
      <c r="C119" s="298"/>
      <c r="D119" s="298"/>
      <c r="E119" s="299"/>
      <c r="F119" s="298"/>
      <c r="G119" s="298"/>
      <c r="H119" s="298"/>
      <c r="I119" s="298"/>
      <c r="J119" s="298"/>
      <c r="K119" s="258"/>
    </row>
    <row r="120" spans="2:11" x14ac:dyDescent="0.3">
      <c r="B120" s="260"/>
      <c r="C120" s="298"/>
      <c r="D120" s="298"/>
      <c r="E120" s="299"/>
      <c r="F120" s="298"/>
      <c r="G120" s="298"/>
      <c r="H120" s="298"/>
      <c r="I120" s="298"/>
      <c r="J120" s="298"/>
      <c r="K120" s="258"/>
    </row>
    <row r="121" spans="2:11" x14ac:dyDescent="0.3">
      <c r="B121" s="260"/>
      <c r="C121" s="298"/>
      <c r="D121" s="298"/>
      <c r="E121" s="299"/>
      <c r="F121" s="298"/>
      <c r="G121" s="298"/>
      <c r="H121" s="298"/>
      <c r="I121" s="298"/>
      <c r="J121" s="298"/>
      <c r="K121" s="258"/>
    </row>
    <row r="122" spans="2:11" x14ac:dyDescent="0.3">
      <c r="B122" s="260"/>
      <c r="C122" s="298"/>
      <c r="D122" s="298"/>
      <c r="E122" s="299"/>
      <c r="F122" s="298"/>
      <c r="G122" s="298"/>
      <c r="H122" s="298"/>
      <c r="I122" s="298"/>
      <c r="J122" s="298"/>
      <c r="K122" s="258"/>
    </row>
    <row r="123" spans="2:11" x14ac:dyDescent="0.3">
      <c r="B123" s="260"/>
      <c r="C123" s="298"/>
      <c r="D123" s="298"/>
      <c r="E123" s="299"/>
      <c r="F123" s="298"/>
      <c r="G123" s="298"/>
      <c r="H123" s="298"/>
      <c r="I123" s="298"/>
      <c r="J123" s="298"/>
      <c r="K123" s="258"/>
    </row>
    <row r="124" spans="2:11" x14ac:dyDescent="0.3">
      <c r="B124" s="260"/>
      <c r="C124" s="298"/>
      <c r="D124" s="298"/>
      <c r="E124" s="299"/>
      <c r="F124" s="298"/>
      <c r="G124" s="298"/>
      <c r="H124" s="298"/>
      <c r="I124" s="298"/>
      <c r="J124" s="298"/>
      <c r="K124" s="258"/>
    </row>
    <row r="125" spans="2:11" x14ac:dyDescent="0.3">
      <c r="B125" s="260"/>
      <c r="C125" s="298"/>
      <c r="D125" s="298"/>
      <c r="E125" s="299"/>
      <c r="F125" s="298"/>
      <c r="G125" s="298"/>
      <c r="H125" s="298"/>
      <c r="I125" s="298"/>
      <c r="J125" s="298"/>
      <c r="K125" s="258"/>
    </row>
    <row r="126" spans="2:11" x14ac:dyDescent="0.3">
      <c r="B126" s="260"/>
      <c r="C126" s="298"/>
      <c r="D126" s="298"/>
      <c r="E126" s="299"/>
      <c r="F126" s="298"/>
      <c r="G126" s="298"/>
      <c r="H126" s="298"/>
      <c r="I126" s="298"/>
      <c r="J126" s="298"/>
      <c r="K126" s="258"/>
    </row>
    <row r="127" spans="2:11" x14ac:dyDescent="0.3">
      <c r="B127" s="260"/>
      <c r="C127" s="298"/>
      <c r="D127" s="298"/>
      <c r="E127" s="299"/>
      <c r="F127" s="298"/>
      <c r="G127" s="298"/>
      <c r="H127" s="298"/>
      <c r="I127" s="298"/>
      <c r="J127" s="298"/>
      <c r="K127" s="258"/>
    </row>
    <row r="128" spans="2:11" x14ac:dyDescent="0.3">
      <c r="B128" s="260"/>
      <c r="C128" s="298"/>
      <c r="D128" s="298"/>
      <c r="E128" s="299"/>
      <c r="F128" s="298"/>
      <c r="G128" s="298"/>
      <c r="H128" s="298"/>
      <c r="I128" s="298"/>
      <c r="J128" s="298"/>
      <c r="K128" s="258"/>
    </row>
    <row r="129" spans="2:11" x14ac:dyDescent="0.3">
      <c r="B129" s="260"/>
      <c r="C129" s="298"/>
      <c r="D129" s="298"/>
      <c r="E129" s="299"/>
      <c r="F129" s="298"/>
      <c r="G129" s="298"/>
      <c r="H129" s="298"/>
      <c r="I129" s="298"/>
      <c r="J129" s="298"/>
      <c r="K129" s="258"/>
    </row>
    <row r="130" spans="2:11" x14ac:dyDescent="0.3">
      <c r="B130" s="260"/>
      <c r="C130" s="298"/>
      <c r="D130" s="298"/>
      <c r="E130" s="299"/>
      <c r="F130" s="298"/>
      <c r="G130" s="298"/>
      <c r="H130" s="298"/>
      <c r="I130" s="298"/>
      <c r="J130" s="298"/>
      <c r="K130" s="258"/>
    </row>
    <row r="131" spans="2:11" x14ac:dyDescent="0.3">
      <c r="B131" s="260"/>
      <c r="C131" s="298"/>
      <c r="D131" s="298"/>
      <c r="E131" s="299"/>
      <c r="F131" s="298"/>
      <c r="G131" s="298"/>
      <c r="H131" s="298"/>
      <c r="I131" s="298"/>
      <c r="J131" s="298"/>
      <c r="K131" s="258"/>
    </row>
    <row r="132" spans="2:11" x14ac:dyDescent="0.3">
      <c r="B132" s="260"/>
      <c r="C132" s="298"/>
      <c r="D132" s="298"/>
      <c r="E132" s="299"/>
      <c r="F132" s="298"/>
      <c r="G132" s="298"/>
      <c r="H132" s="298"/>
      <c r="I132" s="298"/>
      <c r="J132" s="298"/>
      <c r="K132" s="258"/>
    </row>
    <row r="133" spans="2:11" x14ac:dyDescent="0.3">
      <c r="B133" s="260"/>
      <c r="C133" s="298"/>
      <c r="D133" s="298"/>
      <c r="E133" s="299"/>
      <c r="F133" s="298"/>
      <c r="G133" s="298"/>
      <c r="H133" s="298"/>
      <c r="I133" s="298"/>
      <c r="J133" s="298"/>
      <c r="K133" s="258"/>
    </row>
    <row r="134" spans="2:11" x14ac:dyDescent="0.3">
      <c r="B134" s="260"/>
      <c r="C134" s="298"/>
      <c r="D134" s="298"/>
      <c r="E134" s="299"/>
      <c r="F134" s="298"/>
      <c r="G134" s="298"/>
      <c r="H134" s="298"/>
      <c r="I134" s="298"/>
      <c r="J134" s="298"/>
      <c r="K134" s="258"/>
    </row>
    <row r="135" spans="2:11" x14ac:dyDescent="0.3">
      <c r="B135" s="260"/>
      <c r="C135" s="298"/>
      <c r="D135" s="298"/>
      <c r="E135" s="299"/>
      <c r="F135" s="298"/>
      <c r="G135" s="298"/>
      <c r="H135" s="298"/>
      <c r="I135" s="298"/>
      <c r="J135" s="298"/>
      <c r="K135" s="258"/>
    </row>
    <row r="136" spans="2:11" x14ac:dyDescent="0.3">
      <c r="B136" s="260"/>
      <c r="C136" s="298"/>
      <c r="D136" s="298"/>
      <c r="E136" s="299"/>
      <c r="F136" s="298"/>
      <c r="G136" s="298"/>
      <c r="H136" s="298"/>
      <c r="I136" s="298"/>
      <c r="J136" s="298"/>
      <c r="K136" s="258"/>
    </row>
    <row r="137" spans="2:11" x14ac:dyDescent="0.3">
      <c r="B137" s="260"/>
      <c r="C137" s="298"/>
      <c r="D137" s="298"/>
      <c r="E137" s="299"/>
      <c r="F137" s="298"/>
      <c r="G137" s="298"/>
      <c r="H137" s="298"/>
      <c r="I137" s="298"/>
      <c r="J137" s="298"/>
      <c r="K137" s="258"/>
    </row>
    <row r="138" spans="2:11" x14ac:dyDescent="0.3">
      <c r="B138" s="260"/>
      <c r="C138" s="298"/>
      <c r="D138" s="298"/>
      <c r="E138" s="299"/>
      <c r="F138" s="298"/>
      <c r="G138" s="298"/>
      <c r="H138" s="298"/>
      <c r="I138" s="298"/>
      <c r="J138" s="298"/>
      <c r="K138" s="258"/>
    </row>
    <row r="139" spans="2:11" x14ac:dyDescent="0.3">
      <c r="B139" s="260"/>
      <c r="C139" s="298"/>
      <c r="D139" s="298"/>
      <c r="E139" s="299"/>
      <c r="F139" s="298"/>
      <c r="G139" s="298"/>
      <c r="H139" s="298"/>
      <c r="I139" s="298"/>
      <c r="J139" s="298"/>
      <c r="K139" s="258"/>
    </row>
    <row r="140" spans="2:11" x14ac:dyDescent="0.3">
      <c r="B140" s="260"/>
      <c r="C140" s="298"/>
      <c r="D140" s="298"/>
      <c r="E140" s="299"/>
      <c r="F140" s="298"/>
      <c r="G140" s="298"/>
      <c r="H140" s="298"/>
      <c r="I140" s="298"/>
      <c r="J140" s="298"/>
      <c r="K140" s="258"/>
    </row>
    <row r="141" spans="2:11" ht="15" thickBot="1" x14ac:dyDescent="0.35">
      <c r="B141" s="286"/>
      <c r="C141" s="287"/>
      <c r="D141" s="287"/>
      <c r="E141" s="288"/>
      <c r="F141" s="287"/>
      <c r="G141" s="287"/>
      <c r="H141" s="287"/>
      <c r="I141" s="287"/>
      <c r="J141" s="287"/>
      <c r="K141" s="289"/>
    </row>
  </sheetData>
  <mergeCells count="102">
    <mergeCell ref="B91:D91"/>
    <mergeCell ref="B92:D92"/>
    <mergeCell ref="B93:D93"/>
    <mergeCell ref="B79:G80"/>
    <mergeCell ref="B74:D74"/>
    <mergeCell ref="B75:D75"/>
    <mergeCell ref="B76:D76"/>
    <mergeCell ref="B34:D34"/>
    <mergeCell ref="B35:D35"/>
    <mergeCell ref="B36:D36"/>
    <mergeCell ref="B38:D38"/>
    <mergeCell ref="B39:D39"/>
    <mergeCell ref="B69:D69"/>
    <mergeCell ref="B70:D70"/>
    <mergeCell ref="B71:D71"/>
    <mergeCell ref="B72:D72"/>
    <mergeCell ref="B73:D73"/>
    <mergeCell ref="B54:D54"/>
    <mergeCell ref="B55:D55"/>
    <mergeCell ref="B56:D56"/>
    <mergeCell ref="G41:I41"/>
    <mergeCell ref="G42:I42"/>
    <mergeCell ref="G43:I43"/>
    <mergeCell ref="G44:I44"/>
    <mergeCell ref="M80:V80"/>
    <mergeCell ref="M81:O81"/>
    <mergeCell ref="M82:O82"/>
    <mergeCell ref="M83:O83"/>
    <mergeCell ref="M84:O84"/>
    <mergeCell ref="G63:I63"/>
    <mergeCell ref="G65:I65"/>
    <mergeCell ref="B64:K64"/>
    <mergeCell ref="B68:D68"/>
    <mergeCell ref="B65:D65"/>
    <mergeCell ref="B63:D63"/>
    <mergeCell ref="G53:I53"/>
    <mergeCell ref="G54:I54"/>
    <mergeCell ref="G55:I55"/>
    <mergeCell ref="G56:I56"/>
    <mergeCell ref="G57:I57"/>
    <mergeCell ref="G58:I58"/>
    <mergeCell ref="G59:I59"/>
    <mergeCell ref="G60:I60"/>
    <mergeCell ref="G61:I61"/>
    <mergeCell ref="B59:D59"/>
    <mergeCell ref="B60:D60"/>
    <mergeCell ref="B61:D61"/>
    <mergeCell ref="B62:D62"/>
    <mergeCell ref="B57:D57"/>
    <mergeCell ref="B58:D58"/>
    <mergeCell ref="B41:D41"/>
    <mergeCell ref="B42:D42"/>
    <mergeCell ref="B43:D43"/>
    <mergeCell ref="B44:D44"/>
    <mergeCell ref="B53:D53"/>
    <mergeCell ref="G4:J11"/>
    <mergeCell ref="G22:H22"/>
    <mergeCell ref="B106:D106"/>
    <mergeCell ref="B2:K2"/>
    <mergeCell ref="B15:D15"/>
    <mergeCell ref="G15:I15"/>
    <mergeCell ref="B16:C16"/>
    <mergeCell ref="B17:C17"/>
    <mergeCell ref="G16:H16"/>
    <mergeCell ref="G17:H17"/>
    <mergeCell ref="B5:D5"/>
    <mergeCell ref="B6:D6"/>
    <mergeCell ref="B7:D7"/>
    <mergeCell ref="B8:D8"/>
    <mergeCell ref="B9:D9"/>
    <mergeCell ref="B10:D10"/>
    <mergeCell ref="B4:E4"/>
    <mergeCell ref="B18:C18"/>
    <mergeCell ref="B19:C19"/>
    <mergeCell ref="B20:C20"/>
    <mergeCell ref="B21:C21"/>
    <mergeCell ref="B11:D11"/>
    <mergeCell ref="B12:D12"/>
    <mergeCell ref="G19:H19"/>
    <mergeCell ref="B107:D107"/>
    <mergeCell ref="B108:D108"/>
    <mergeCell ref="B109:D109"/>
    <mergeCell ref="B104:D104"/>
    <mergeCell ref="B102:D102"/>
    <mergeCell ref="B103:D103"/>
    <mergeCell ref="B23:J23"/>
    <mergeCell ref="G18:H18"/>
    <mergeCell ref="G20:H20"/>
    <mergeCell ref="G21:H21"/>
    <mergeCell ref="G28:I28"/>
    <mergeCell ref="G29:I29"/>
    <mergeCell ref="B31:D31"/>
    <mergeCell ref="B33:E33"/>
    <mergeCell ref="B37:E37"/>
    <mergeCell ref="B28:D28"/>
    <mergeCell ref="B29:D29"/>
    <mergeCell ref="B24:D24"/>
    <mergeCell ref="B25:D25"/>
    <mergeCell ref="B26:D26"/>
    <mergeCell ref="G25:I25"/>
    <mergeCell ref="G26:I26"/>
    <mergeCell ref="G62:I62"/>
  </mergeCells>
  <pageMargins left="0.25" right="0.25" top="0.75" bottom="0.75" header="0.3" footer="0.3"/>
  <pageSetup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7C2A4-8C05-4848-AAA8-E88A2517AAC9}">
  <sheetPr codeName="Sheet8"/>
  <dimension ref="B1:O134"/>
  <sheetViews>
    <sheetView topLeftCell="A54" zoomScale="123" zoomScaleNormal="149" workbookViewId="0">
      <selection activeCell="G33" sqref="G33"/>
    </sheetView>
  </sheetViews>
  <sheetFormatPr defaultRowHeight="14.4" x14ac:dyDescent="0.3"/>
  <cols>
    <col min="4" max="4" width="12.6640625" bestFit="1" customWidth="1"/>
    <col min="5" max="6" width="9.77734375" bestFit="1" customWidth="1"/>
    <col min="8" max="10" width="9.77734375" bestFit="1" customWidth="1"/>
    <col min="11" max="11" width="9.21875" bestFit="1" customWidth="1"/>
    <col min="12" max="12" width="9.33203125" bestFit="1" customWidth="1"/>
    <col min="13" max="13" width="9" bestFit="1" customWidth="1"/>
    <col min="14" max="14" width="9.21875" bestFit="1" customWidth="1"/>
    <col min="16" max="16" width="9.21875" bestFit="1" customWidth="1"/>
    <col min="17" max="17" width="9" bestFit="1" customWidth="1"/>
    <col min="18" max="18" width="9.21875" bestFit="1" customWidth="1"/>
  </cols>
  <sheetData>
    <row r="1" spans="2:15" ht="15" thickBot="1" x14ac:dyDescent="0.35"/>
    <row r="2" spans="2:15" ht="20.399999999999999" thickBot="1" x14ac:dyDescent="0.45">
      <c r="B2" s="705" t="s">
        <v>268</v>
      </c>
      <c r="C2" s="706"/>
      <c r="D2" s="706"/>
      <c r="E2" s="706"/>
      <c r="F2" s="706"/>
      <c r="G2" s="706"/>
      <c r="H2" s="706"/>
      <c r="I2" s="706"/>
      <c r="J2" s="706"/>
      <c r="K2" s="707"/>
    </row>
    <row r="3" spans="2:15" x14ac:dyDescent="0.3">
      <c r="B3" s="652" t="s">
        <v>76</v>
      </c>
      <c r="C3" s="653"/>
      <c r="D3" s="653"/>
      <c r="E3" s="654"/>
      <c r="G3" s="668" t="s">
        <v>77</v>
      </c>
      <c r="H3" s="654"/>
      <c r="I3" s="206"/>
      <c r="J3" s="668" t="s">
        <v>69</v>
      </c>
      <c r="K3" s="669"/>
    </row>
    <row r="4" spans="2:15" x14ac:dyDescent="0.3">
      <c r="B4" s="638" t="s">
        <v>81</v>
      </c>
      <c r="C4" s="496"/>
      <c r="D4" s="496"/>
      <c r="E4" s="165">
        <v>0.8</v>
      </c>
      <c r="G4" s="62" t="s">
        <v>10</v>
      </c>
      <c r="H4" s="165">
        <v>25</v>
      </c>
      <c r="J4" s="62" t="s">
        <v>11</v>
      </c>
      <c r="K4" s="213">
        <v>360</v>
      </c>
    </row>
    <row r="5" spans="2:15" x14ac:dyDescent="0.3">
      <c r="B5" s="638" t="s">
        <v>82</v>
      </c>
      <c r="C5" s="496"/>
      <c r="D5" s="496"/>
      <c r="E5" s="165">
        <v>0.82499999999999996</v>
      </c>
      <c r="G5" s="62" t="s">
        <v>34</v>
      </c>
      <c r="H5" s="165">
        <v>3.0000000000000001E-3</v>
      </c>
      <c r="J5" s="62" t="s">
        <v>1</v>
      </c>
      <c r="K5" s="214">
        <v>200000</v>
      </c>
    </row>
    <row r="6" spans="2:15" x14ac:dyDescent="0.3">
      <c r="B6" s="638" t="s">
        <v>83</v>
      </c>
      <c r="C6" s="496"/>
      <c r="D6" s="496"/>
      <c r="E6" s="165">
        <v>0.8</v>
      </c>
      <c r="G6" s="62" t="s">
        <v>68</v>
      </c>
      <c r="H6" s="165">
        <v>1.5</v>
      </c>
      <c r="J6" s="62" t="s">
        <v>70</v>
      </c>
      <c r="K6" s="213">
        <v>1.1499999999999999</v>
      </c>
    </row>
    <row r="7" spans="2:15" x14ac:dyDescent="0.3">
      <c r="B7" s="638" t="s">
        <v>80</v>
      </c>
      <c r="C7" s="496"/>
      <c r="D7" s="496"/>
      <c r="E7" s="192">
        <v>0.66666666666666663</v>
      </c>
      <c r="G7" s="62" t="s">
        <v>75</v>
      </c>
      <c r="H7" s="211">
        <f>H4*E4*E5/H6</f>
        <v>11</v>
      </c>
      <c r="J7" s="62" t="s">
        <v>201</v>
      </c>
      <c r="K7" s="213">
        <v>240</v>
      </c>
    </row>
    <row r="8" spans="2:15" x14ac:dyDescent="0.3">
      <c r="B8" s="638" t="s">
        <v>199</v>
      </c>
      <c r="C8" s="496"/>
      <c r="D8" s="496"/>
      <c r="E8" s="165">
        <v>0.7</v>
      </c>
      <c r="G8" s="62" t="s">
        <v>200</v>
      </c>
      <c r="H8" s="211">
        <f>E8*SQRT(H4/H6)</f>
        <v>2.857738033247041</v>
      </c>
      <c r="J8" s="62" t="s">
        <v>35</v>
      </c>
      <c r="K8" s="215">
        <f>K4/K6</f>
        <v>313.04347826086956</v>
      </c>
    </row>
    <row r="9" spans="2:15" ht="15" thickBot="1" x14ac:dyDescent="0.35">
      <c r="B9" s="641" t="s">
        <v>198</v>
      </c>
      <c r="C9" s="642"/>
      <c r="D9" s="642"/>
      <c r="E9" s="193">
        <v>0.24</v>
      </c>
      <c r="G9" s="62" t="s">
        <v>171</v>
      </c>
      <c r="H9" s="211">
        <f>E9*SQRT(H4/H6)</f>
        <v>0.97979589711327131</v>
      </c>
      <c r="J9" s="168" t="s">
        <v>178</v>
      </c>
      <c r="K9" s="215">
        <f>K7/K6</f>
        <v>208.69565217391306</v>
      </c>
    </row>
    <row r="10" spans="2:15" x14ac:dyDescent="0.3">
      <c r="B10" s="216"/>
      <c r="G10" s="62" t="s">
        <v>212</v>
      </c>
      <c r="H10" s="211">
        <v>0.316</v>
      </c>
      <c r="K10" s="217"/>
    </row>
    <row r="11" spans="2:15" ht="15" thickBot="1" x14ac:dyDescent="0.35">
      <c r="B11" s="216"/>
      <c r="G11" s="168" t="s">
        <v>213</v>
      </c>
      <c r="H11" s="211">
        <f>SQRT(H4/H6)*H10</f>
        <v>1.2900645978658072</v>
      </c>
      <c r="K11" s="217"/>
    </row>
    <row r="12" spans="2:15" x14ac:dyDescent="0.3">
      <c r="B12" s="216"/>
      <c r="K12" s="217"/>
    </row>
    <row r="13" spans="2:15" ht="15" thickBot="1" x14ac:dyDescent="0.35">
      <c r="B13" s="216"/>
      <c r="K13" s="217"/>
    </row>
    <row r="14" spans="2:15" x14ac:dyDescent="0.3">
      <c r="B14" s="643" t="s">
        <v>230</v>
      </c>
      <c r="C14" s="644"/>
      <c r="D14" s="644"/>
      <c r="E14" s="645"/>
      <c r="G14" s="169" t="s">
        <v>144</v>
      </c>
      <c r="H14" s="166" t="s">
        <v>209</v>
      </c>
      <c r="K14" s="217"/>
    </row>
    <row r="15" spans="2:15" x14ac:dyDescent="0.3">
      <c r="B15" s="638" t="s">
        <v>231</v>
      </c>
      <c r="C15" s="496"/>
      <c r="D15" s="496"/>
      <c r="E15" s="242">
        <v>160</v>
      </c>
      <c r="G15" s="195">
        <v>1.1499999999999999</v>
      </c>
      <c r="H15" s="194">
        <v>2</v>
      </c>
      <c r="K15" s="217"/>
    </row>
    <row r="16" spans="2:15" x14ac:dyDescent="0.3">
      <c r="B16" s="638" t="s">
        <v>232</v>
      </c>
      <c r="C16" s="496"/>
      <c r="D16" s="496"/>
      <c r="E16" s="242">
        <v>300</v>
      </c>
      <c r="G16" s="195">
        <v>1.3</v>
      </c>
      <c r="H16" s="194">
        <v>3</v>
      </c>
      <c r="K16" s="217"/>
      <c r="O16" s="205"/>
    </row>
    <row r="17" spans="2:11" ht="15" thickBot="1" x14ac:dyDescent="0.35">
      <c r="B17" s="638" t="s">
        <v>235</v>
      </c>
      <c r="C17" s="496"/>
      <c r="D17" s="496"/>
      <c r="E17" s="242">
        <v>20</v>
      </c>
      <c r="G17" s="196">
        <v>1.5</v>
      </c>
      <c r="H17" s="197">
        <v>4</v>
      </c>
      <c r="K17" s="217"/>
    </row>
    <row r="18" spans="2:11" x14ac:dyDescent="0.3">
      <c r="B18" s="638" t="s">
        <v>239</v>
      </c>
      <c r="C18" s="496"/>
      <c r="D18" s="496"/>
      <c r="E18" s="245">
        <v>2.5000000000000001E-5</v>
      </c>
      <c r="K18" s="217"/>
    </row>
    <row r="19" spans="2:11" x14ac:dyDescent="0.3">
      <c r="B19" s="638" t="s">
        <v>262</v>
      </c>
      <c r="C19" s="496"/>
      <c r="D19" s="496"/>
      <c r="E19" s="242">
        <v>1000</v>
      </c>
      <c r="K19" s="217"/>
    </row>
    <row r="20" spans="2:11" x14ac:dyDescent="0.3">
      <c r="B20" s="648" t="s">
        <v>263</v>
      </c>
      <c r="C20" s="649"/>
      <c r="D20" s="649"/>
      <c r="E20" s="253">
        <f>1.1/K4/2</f>
        <v>1.5277777777777779E-3</v>
      </c>
      <c r="K20" s="217"/>
    </row>
    <row r="21" spans="2:11" x14ac:dyDescent="0.3">
      <c r="B21" s="723" t="s">
        <v>270</v>
      </c>
      <c r="C21" s="724"/>
      <c r="D21" s="724"/>
      <c r="E21" s="242">
        <v>12</v>
      </c>
      <c r="K21" s="217"/>
    </row>
    <row r="22" spans="2:11" ht="15" thickBot="1" x14ac:dyDescent="0.35">
      <c r="B22" s="723" t="s">
        <v>271</v>
      </c>
      <c r="C22" s="724"/>
      <c r="D22" s="724"/>
      <c r="E22" s="246">
        <v>16</v>
      </c>
      <c r="K22" s="217"/>
    </row>
    <row r="23" spans="2:11" ht="15" thickBot="1" x14ac:dyDescent="0.35">
      <c r="B23" s="218"/>
      <c r="C23" s="2"/>
      <c r="D23" s="2"/>
      <c r="K23" s="217"/>
    </row>
    <row r="24" spans="2:11" ht="15" thickBot="1" x14ac:dyDescent="0.35">
      <c r="B24" s="711" t="s">
        <v>215</v>
      </c>
      <c r="C24" s="712"/>
      <c r="D24" s="712"/>
      <c r="E24" s="713"/>
      <c r="F24" s="713"/>
      <c r="G24" s="713"/>
      <c r="H24" s="713"/>
      <c r="I24" s="713"/>
      <c r="J24" s="713"/>
      <c r="K24" s="714"/>
    </row>
    <row r="25" spans="2:11" x14ac:dyDescent="0.3">
      <c r="B25" s="646" t="s">
        <v>233</v>
      </c>
      <c r="C25" s="647"/>
      <c r="D25" s="238">
        <v>7000</v>
      </c>
      <c r="K25" s="217"/>
    </row>
    <row r="26" spans="2:11" ht="14.4" customHeight="1" x14ac:dyDescent="0.3">
      <c r="B26" s="708" t="s">
        <v>216</v>
      </c>
      <c r="C26" s="709"/>
      <c r="D26" s="710"/>
      <c r="E26" s="212">
        <v>6750</v>
      </c>
      <c r="F26" s="212">
        <v>6750</v>
      </c>
      <c r="G26" s="212">
        <v>6750</v>
      </c>
      <c r="K26" s="217"/>
    </row>
    <row r="27" spans="2:11" x14ac:dyDescent="0.3">
      <c r="B27" s="639" t="s">
        <v>218</v>
      </c>
      <c r="C27" s="640"/>
      <c r="D27" s="8">
        <f>MAX(E26:G26)</f>
        <v>6750</v>
      </c>
      <c r="K27" s="217"/>
    </row>
    <row r="28" spans="2:11" ht="14.4" customHeight="1" x14ac:dyDescent="0.3">
      <c r="B28" s="708" t="s">
        <v>217</v>
      </c>
      <c r="C28" s="709"/>
      <c r="D28" s="710"/>
      <c r="E28" s="212">
        <v>7500</v>
      </c>
      <c r="F28" s="212">
        <v>7500</v>
      </c>
      <c r="G28" s="212">
        <v>7500</v>
      </c>
      <c r="K28" s="217"/>
    </row>
    <row r="29" spans="2:11" ht="15" thickBot="1" x14ac:dyDescent="0.35">
      <c r="B29" s="639" t="s">
        <v>219</v>
      </c>
      <c r="C29" s="640"/>
      <c r="D29" s="8">
        <f>MAX(E28:G28)</f>
        <v>7500</v>
      </c>
      <c r="K29" s="217"/>
    </row>
    <row r="30" spans="2:11" ht="15" thickBot="1" x14ac:dyDescent="0.35">
      <c r="B30" s="639" t="s">
        <v>17</v>
      </c>
      <c r="C30" s="640"/>
      <c r="D30" s="8">
        <f>CEILING( MAX(160,IF(D33=0,D32/32,D32/36)),E17)</f>
        <v>220</v>
      </c>
      <c r="F30" s="666" t="s">
        <v>226</v>
      </c>
      <c r="G30" s="667"/>
      <c r="I30" s="666" t="s">
        <v>227</v>
      </c>
      <c r="J30" s="667"/>
      <c r="K30" s="217"/>
    </row>
    <row r="31" spans="2:11" x14ac:dyDescent="0.3">
      <c r="B31" s="639" t="s">
        <v>220</v>
      </c>
      <c r="C31" s="640"/>
      <c r="D31" s="8">
        <f>MIN(D27,D29)</f>
        <v>6750</v>
      </c>
      <c r="F31" s="216" t="s">
        <v>251</v>
      </c>
      <c r="G31" s="217">
        <f>CEILING(MAX(E16,D31/20,D25/15),E17)</f>
        <v>480</v>
      </c>
      <c r="I31" s="216" t="s">
        <v>223</v>
      </c>
      <c r="J31" s="8">
        <f>CEILING(IF(D33=1,D30/2,0),E17)</f>
        <v>120</v>
      </c>
      <c r="K31" s="217"/>
    </row>
    <row r="32" spans="2:11" x14ac:dyDescent="0.3">
      <c r="B32" s="639" t="s">
        <v>221</v>
      </c>
      <c r="C32" s="640"/>
      <c r="D32" s="8">
        <f>MAX(D29,D27)</f>
        <v>7500</v>
      </c>
      <c r="F32" s="216" t="s">
        <v>252</v>
      </c>
      <c r="G32" s="242">
        <v>540</v>
      </c>
      <c r="I32" s="216" t="s">
        <v>228</v>
      </c>
      <c r="J32" s="8">
        <f>IF(D33=1,D32/2,G34)</f>
        <v>3750</v>
      </c>
      <c r="K32" s="217"/>
    </row>
    <row r="33" spans="2:11" ht="15" thickBot="1" x14ac:dyDescent="0.35">
      <c r="B33" s="639" t="s">
        <v>222</v>
      </c>
      <c r="C33" s="640"/>
      <c r="D33" s="239">
        <v>1</v>
      </c>
      <c r="F33" s="216" t="s">
        <v>253</v>
      </c>
      <c r="G33" s="242">
        <v>540</v>
      </c>
      <c r="I33" s="241" t="s">
        <v>234</v>
      </c>
      <c r="J33" s="8">
        <f>D30+J31</f>
        <v>340</v>
      </c>
      <c r="K33" s="217"/>
    </row>
    <row r="34" spans="2:11" ht="15" thickBot="1" x14ac:dyDescent="0.35">
      <c r="B34" s="639" t="s">
        <v>224</v>
      </c>
      <c r="C34" s="640"/>
      <c r="D34" s="239">
        <v>1</v>
      </c>
      <c r="F34" s="241" t="s">
        <v>229</v>
      </c>
      <c r="G34" s="8">
        <f>IF(D34=1,D32/4,G32)</f>
        <v>1875</v>
      </c>
      <c r="I34" t="s">
        <v>272</v>
      </c>
      <c r="J34">
        <f>D30-D36</f>
        <v>200</v>
      </c>
      <c r="K34" s="217"/>
    </row>
    <row r="35" spans="2:11" ht="15" thickBot="1" x14ac:dyDescent="0.35">
      <c r="B35" s="650" t="s">
        <v>225</v>
      </c>
      <c r="C35" s="651"/>
      <c r="D35" s="240">
        <v>1</v>
      </c>
      <c r="I35" t="s">
        <v>273</v>
      </c>
      <c r="J35">
        <f>J33-D36</f>
        <v>320</v>
      </c>
      <c r="K35" s="217"/>
    </row>
    <row r="36" spans="2:11" ht="15" thickBot="1" x14ac:dyDescent="0.35">
      <c r="B36" s="650" t="s">
        <v>72</v>
      </c>
      <c r="C36" s="651"/>
      <c r="D36" s="257">
        <v>20</v>
      </c>
      <c r="K36" s="217"/>
    </row>
    <row r="37" spans="2:11" ht="15" thickBot="1" x14ac:dyDescent="0.35">
      <c r="B37" s="715" t="s">
        <v>236</v>
      </c>
      <c r="C37" s="716"/>
      <c r="D37" s="716"/>
      <c r="E37" s="716"/>
      <c r="F37" s="716"/>
      <c r="G37" s="716"/>
      <c r="H37" s="716"/>
      <c r="I37" s="716"/>
      <c r="J37" s="716"/>
      <c r="K37" s="717"/>
    </row>
    <row r="38" spans="2:11" ht="15" thickBot="1" x14ac:dyDescent="0.35">
      <c r="B38" s="657" t="s">
        <v>237</v>
      </c>
      <c r="C38" s="658"/>
      <c r="D38" s="658"/>
      <c r="E38" s="658"/>
      <c r="F38" s="658"/>
      <c r="G38" s="658"/>
      <c r="H38" s="659"/>
      <c r="K38" s="217"/>
    </row>
    <row r="39" spans="2:11" ht="15" thickBot="1" x14ac:dyDescent="0.35">
      <c r="B39" s="657" t="s">
        <v>240</v>
      </c>
      <c r="C39" s="658"/>
      <c r="D39" s="659"/>
      <c r="F39" s="665" t="s">
        <v>241</v>
      </c>
      <c r="G39" s="658"/>
      <c r="H39" s="659"/>
      <c r="K39" s="217"/>
    </row>
    <row r="40" spans="2:11" x14ac:dyDescent="0.3">
      <c r="B40" s="664" t="s">
        <v>242</v>
      </c>
      <c r="C40" s="520"/>
      <c r="D40" s="199">
        <v>1.4</v>
      </c>
      <c r="F40" s="519" t="s">
        <v>242</v>
      </c>
      <c r="G40" s="520"/>
      <c r="H40" s="199">
        <v>1.6</v>
      </c>
      <c r="K40" s="217"/>
    </row>
    <row r="41" spans="2:11" x14ac:dyDescent="0.3">
      <c r="B41" s="664" t="s">
        <v>243</v>
      </c>
      <c r="C41" s="520"/>
      <c r="D41" s="256">
        <f>D30*E18</f>
        <v>5.5000000000000005E-3</v>
      </c>
      <c r="F41" s="519" t="s">
        <v>245</v>
      </c>
      <c r="G41" s="520"/>
      <c r="H41" s="59">
        <v>1.2E-2</v>
      </c>
      <c r="K41" s="217"/>
    </row>
    <row r="42" spans="2:11" x14ac:dyDescent="0.3">
      <c r="B42" s="664" t="s">
        <v>244</v>
      </c>
      <c r="C42" s="520"/>
      <c r="D42" s="59">
        <v>1.5E-3</v>
      </c>
      <c r="F42" s="37"/>
      <c r="H42" s="36"/>
      <c r="K42" s="217"/>
    </row>
    <row r="43" spans="2:11" ht="15" thickBot="1" x14ac:dyDescent="0.35">
      <c r="B43" s="664" t="s">
        <v>238</v>
      </c>
      <c r="C43" s="520"/>
      <c r="D43" s="256">
        <f>D40*(D41+D42)</f>
        <v>9.8000000000000014E-3</v>
      </c>
      <c r="F43" s="662" t="s">
        <v>246</v>
      </c>
      <c r="G43" s="663"/>
      <c r="H43" s="256">
        <f>H40*H41</f>
        <v>1.9200000000000002E-2</v>
      </c>
      <c r="K43" s="217"/>
    </row>
    <row r="44" spans="2:11" ht="15" thickBot="1" x14ac:dyDescent="0.35">
      <c r="B44" s="657" t="s">
        <v>247</v>
      </c>
      <c r="C44" s="658"/>
      <c r="D44" s="659"/>
      <c r="E44" s="198">
        <f>D43+H43</f>
        <v>2.9000000000000005E-2</v>
      </c>
      <c r="F44" s="38"/>
      <c r="G44" s="39"/>
      <c r="H44" s="40"/>
      <c r="K44" s="217"/>
    </row>
    <row r="45" spans="2:11" x14ac:dyDescent="0.3">
      <c r="B45" s="216"/>
      <c r="K45" s="217"/>
    </row>
    <row r="46" spans="2:11" ht="15" thickBot="1" x14ac:dyDescent="0.35">
      <c r="B46" s="216"/>
      <c r="K46" s="217"/>
    </row>
    <row r="47" spans="2:11" ht="15" thickBot="1" x14ac:dyDescent="0.35">
      <c r="B47" s="715" t="s">
        <v>248</v>
      </c>
      <c r="C47" s="716"/>
      <c r="D47" s="716"/>
      <c r="E47" s="716"/>
      <c r="F47" s="716"/>
      <c r="G47" s="716"/>
      <c r="H47" s="716"/>
      <c r="I47" s="716"/>
      <c r="J47" s="716"/>
      <c r="K47" s="717"/>
    </row>
    <row r="48" spans="2:11" x14ac:dyDescent="0.3">
      <c r="B48" s="660" t="s">
        <v>249</v>
      </c>
      <c r="C48" s="661"/>
      <c r="D48" s="661"/>
      <c r="E48" s="661"/>
      <c r="F48" s="661"/>
      <c r="H48" s="721" t="s">
        <v>250</v>
      </c>
      <c r="I48" s="721"/>
      <c r="J48" s="721"/>
      <c r="K48" s="722"/>
    </row>
    <row r="49" spans="2:11" x14ac:dyDescent="0.3">
      <c r="B49" s="219"/>
      <c r="C49" s="655" t="s">
        <v>207</v>
      </c>
      <c r="D49" s="655" t="s">
        <v>208</v>
      </c>
      <c r="E49" s="655" t="s">
        <v>210</v>
      </c>
      <c r="F49" s="655"/>
      <c r="H49" s="655" t="s">
        <v>207</v>
      </c>
      <c r="I49" s="655" t="s">
        <v>208</v>
      </c>
      <c r="J49" s="655" t="s">
        <v>210</v>
      </c>
      <c r="K49" s="656"/>
    </row>
    <row r="50" spans="2:11" x14ac:dyDescent="0.3">
      <c r="B50" s="219"/>
      <c r="C50" s="655"/>
      <c r="D50" s="655"/>
      <c r="E50" s="186" t="s">
        <v>255</v>
      </c>
      <c r="F50" s="186" t="s">
        <v>254</v>
      </c>
      <c r="H50" s="655"/>
      <c r="I50" s="655"/>
      <c r="J50" s="186" t="s">
        <v>255</v>
      </c>
      <c r="K50" s="220" t="s">
        <v>254</v>
      </c>
    </row>
    <row r="51" spans="2:11" x14ac:dyDescent="0.3">
      <c r="B51" s="219" t="s">
        <v>4</v>
      </c>
      <c r="C51" s="207">
        <f>$J$32</f>
        <v>3750</v>
      </c>
      <c r="D51" s="207">
        <f>$J$32</f>
        <v>3750</v>
      </c>
      <c r="E51" s="207">
        <f>MAX(G34,$J$32/2)</f>
        <v>1875</v>
      </c>
      <c r="F51" s="208">
        <f>E51</f>
        <v>1875</v>
      </c>
      <c r="H51" s="207">
        <f>$G$34</f>
        <v>1875</v>
      </c>
      <c r="I51" s="207">
        <f>$G$34</f>
        <v>1875</v>
      </c>
      <c r="J51" s="207">
        <f>$G$34</f>
        <v>1875</v>
      </c>
      <c r="K51" s="221">
        <f>$G$34</f>
        <v>1875</v>
      </c>
    </row>
    <row r="52" spans="2:11" x14ac:dyDescent="0.3">
      <c r="B52" s="219" t="s">
        <v>71</v>
      </c>
      <c r="C52" s="208">
        <f>MAX(C51,G33)</f>
        <v>3750</v>
      </c>
      <c r="D52" s="208">
        <f>MAX(G33,$J$32/2)</f>
        <v>1875</v>
      </c>
      <c r="E52" s="208">
        <f>MAX(G33,$J$32/2)</f>
        <v>1875</v>
      </c>
      <c r="F52" s="208">
        <f>E52</f>
        <v>1875</v>
      </c>
      <c r="H52" s="208">
        <f>IF($D$34=0,$G33,$G34)</f>
        <v>1875</v>
      </c>
      <c r="I52" s="208">
        <f>IF($D$34=0,$G33,$G34)</f>
        <v>1875</v>
      </c>
      <c r="J52" s="208">
        <f>IF($D$34=0,$G33,$G34)</f>
        <v>1875</v>
      </c>
      <c r="K52" s="222">
        <f>IF($D$34=0,$G33,$G34)</f>
        <v>1875</v>
      </c>
    </row>
    <row r="53" spans="2:11" x14ac:dyDescent="0.3">
      <c r="B53" s="219" t="s">
        <v>5</v>
      </c>
      <c r="C53" s="207">
        <f>$J$34</f>
        <v>200</v>
      </c>
      <c r="D53" s="207">
        <f>$J$34</f>
        <v>200</v>
      </c>
      <c r="E53" s="207">
        <f>$J$34</f>
        <v>200</v>
      </c>
      <c r="F53" s="207">
        <f>$J$34</f>
        <v>200</v>
      </c>
      <c r="H53" s="207">
        <f>$J$35</f>
        <v>320</v>
      </c>
      <c r="I53" s="207">
        <f>$J$35</f>
        <v>320</v>
      </c>
      <c r="J53" s="207">
        <f>$J$35</f>
        <v>320</v>
      </c>
      <c r="K53" s="207">
        <f>$J$35</f>
        <v>320</v>
      </c>
    </row>
    <row r="54" spans="2:11" x14ac:dyDescent="0.3">
      <c r="B54" s="219" t="s">
        <v>23</v>
      </c>
      <c r="C54" s="209">
        <f>(C51+C53)*(C52+C53)</f>
        <v>15602500</v>
      </c>
      <c r="D54" s="209">
        <f>(D52+D53)*(D51+D53/2)</f>
        <v>7988750</v>
      </c>
      <c r="E54" s="209">
        <f>0.5*((E51+E52+E53/2/1.414)^(2))</f>
        <v>7298955.8471658453</v>
      </c>
      <c r="F54" s="209">
        <f>(F51+F53/2)*(F52+F53/2)</f>
        <v>3900625</v>
      </c>
      <c r="H54" s="209">
        <f>(H51+H53)*(H52+H53)</f>
        <v>4818025</v>
      </c>
      <c r="I54" s="209">
        <f>(I52+I53)*(I51+I53/2)</f>
        <v>4466825</v>
      </c>
      <c r="J54" s="209">
        <f>0.5*((J51+J52+J53/2/1.414)^(2))</f>
        <v>7461980.0804843064</v>
      </c>
      <c r="K54" s="223">
        <f>(K51+K53/2)*(K52+K53/2)</f>
        <v>4141225</v>
      </c>
    </row>
    <row r="55" spans="2:11" x14ac:dyDescent="0.3">
      <c r="B55" s="219" t="s">
        <v>211</v>
      </c>
      <c r="C55" s="209">
        <f>2*C51+2*C52+4*C53</f>
        <v>15800</v>
      </c>
      <c r="D55" s="209">
        <f>2*D51+D52+D53*2</f>
        <v>9775</v>
      </c>
      <c r="E55" s="209">
        <f>1.41*(E51+E52)+E53/2</f>
        <v>5387.5</v>
      </c>
      <c r="F55" s="209">
        <f>F51+F52+F53</f>
        <v>3950</v>
      </c>
      <c r="H55" s="209">
        <f>2*H51+2*H52+4*H53</f>
        <v>8780</v>
      </c>
      <c r="I55" s="209">
        <f>2*I51+I52+I53*2</f>
        <v>6265</v>
      </c>
      <c r="J55" s="209">
        <f>1.41*(J51+J52)+J53/2</f>
        <v>5447.5</v>
      </c>
      <c r="K55" s="223">
        <f>K51+K52+K53</f>
        <v>4070</v>
      </c>
    </row>
    <row r="56" spans="2:11" x14ac:dyDescent="0.3">
      <c r="B56" s="219" t="s">
        <v>168</v>
      </c>
      <c r="C56" s="209">
        <f>$E$44*($D$31*$D$32-C54)</f>
        <v>1015652.5000000001</v>
      </c>
      <c r="D56" s="209">
        <f>$E$44*($D$31*$D$32/2-D54)</f>
        <v>502388.75000000006</v>
      </c>
      <c r="E56" s="209">
        <f>$E$44*($D$31*$D$32/4-E54)</f>
        <v>155361.53043219051</v>
      </c>
      <c r="F56" s="209">
        <f>$E$44*($D$31*$D$32/4-F54)</f>
        <v>253913.12500000003</v>
      </c>
      <c r="H56" s="209">
        <f>$E$44*($D$31*$D$32-H54)</f>
        <v>1328402.2750000001</v>
      </c>
      <c r="I56" s="209">
        <f>$E$44*($D$31*$D$32/2-I54)</f>
        <v>604524.57500000007</v>
      </c>
      <c r="J56" s="209">
        <f>$E$44*($D$31*$D$32/4-J54)</f>
        <v>150633.82766595515</v>
      </c>
      <c r="K56" s="223">
        <f>$E$44*($D$31*$D$32/4-K54)</f>
        <v>246935.72500000003</v>
      </c>
    </row>
    <row r="57" spans="2:11" x14ac:dyDescent="0.3">
      <c r="B57" s="219" t="s">
        <v>169</v>
      </c>
      <c r="C57" s="210">
        <f>C56*$G$15/C55/C53</f>
        <v>0.36962037183544305</v>
      </c>
      <c r="D57" s="210">
        <f>D56*$G$16/D55/D53</f>
        <v>0.33406924552429673</v>
      </c>
      <c r="E57" s="210">
        <f>E56*$G$17/E55/E53</f>
        <v>0.21628055280583364</v>
      </c>
      <c r="F57" s="210">
        <f>F56*$G$17/F55/F53</f>
        <v>0.48211352848101269</v>
      </c>
      <c r="H57" s="210">
        <f>H56*$G$15/H55/H53</f>
        <v>0.54372957582929948</v>
      </c>
      <c r="I57" s="210">
        <f>I56*$G$16/I55/I53</f>
        <v>0.3920001733339985</v>
      </c>
      <c r="J57" s="210">
        <f>J56*$G$17/J55/J53</f>
        <v>0.12961836937754284</v>
      </c>
      <c r="K57" s="224">
        <f>K56*$G$17/K55/K53</f>
        <v>0.2844007889281327</v>
      </c>
    </row>
    <row r="58" spans="2:11" x14ac:dyDescent="0.3">
      <c r="B58" s="219" t="s">
        <v>214</v>
      </c>
      <c r="C58" s="208">
        <f>MIN(1,C51/C52+0.5,2.5*$H$15*C55/C53+0.5)*$H$11</f>
        <v>1.2900645978658072</v>
      </c>
      <c r="D58" s="208">
        <f>MIN(1,D51/D52+0.5,2.5*$H$16*D55/D53+0.5)*$H$11</f>
        <v>1.2900645978658072</v>
      </c>
      <c r="E58" s="208">
        <f>MIN(1,E51/E52+0.5,2.5*$H$17*E55/E53+0.5)*$H$11</f>
        <v>1.2900645978658072</v>
      </c>
      <c r="F58" s="208">
        <f>MIN(1,F51/F52+0.5,2.5*$H$15*F55/F53+0.5)*$H$11</f>
        <v>1.2900645978658072</v>
      </c>
      <c r="H58" s="208">
        <f>MIN(1,H51/H52+0.5,2.5*$H$15*H55/H53+0.5)*$H$11</f>
        <v>1.2900645978658072</v>
      </c>
      <c r="I58" s="208">
        <f>MIN(1,I51/I52+0.5,2.5*$H$16*I55/I53+0.5)*$H$11</f>
        <v>1.2900645978658072</v>
      </c>
      <c r="J58" s="208">
        <f>MIN(1,J51/J52+0.5,2.5*$H$17*J55/J53+0.5)*$H$11</f>
        <v>1.2900645978658072</v>
      </c>
      <c r="K58" s="222">
        <f>MIN(1,K51/K52+0.5,2.5*$H$15*K55/K53+0.5)*$H$11</f>
        <v>1.2900645978658072</v>
      </c>
    </row>
    <row r="59" spans="2:11" x14ac:dyDescent="0.3">
      <c r="B59" s="219" t="s">
        <v>256</v>
      </c>
      <c r="C59" s="60">
        <f>C58/C57</f>
        <v>3.4902421407663935</v>
      </c>
      <c r="D59" s="60">
        <f>D58/D57</f>
        <v>3.8616682473753223</v>
      </c>
      <c r="E59" s="60">
        <f>E58/E57</f>
        <v>5.9647739065285528</v>
      </c>
      <c r="F59" s="60">
        <f>F58/F57</f>
        <v>2.6758523079209016</v>
      </c>
      <c r="H59" s="60">
        <f>H58/H57</f>
        <v>2.3726217134651786</v>
      </c>
      <c r="I59" s="60">
        <f>I58/I57</f>
        <v>3.2909796618039371</v>
      </c>
      <c r="J59" s="60">
        <f>J58/J57</f>
        <v>9.9527914450782973</v>
      </c>
      <c r="K59" s="225">
        <f>K58/K57</f>
        <v>4.536079533140124</v>
      </c>
    </row>
    <row r="60" spans="2:11" x14ac:dyDescent="0.3">
      <c r="B60" s="216"/>
      <c r="K60" s="217"/>
    </row>
    <row r="61" spans="2:11" ht="15" thickBot="1" x14ac:dyDescent="0.35">
      <c r="B61" s="216"/>
      <c r="K61" s="217"/>
    </row>
    <row r="62" spans="2:11" ht="15" thickBot="1" x14ac:dyDescent="0.35">
      <c r="B62" s="718" t="s">
        <v>197</v>
      </c>
      <c r="C62" s="719"/>
      <c r="D62" s="719"/>
      <c r="E62" s="719"/>
      <c r="F62" s="719"/>
      <c r="G62" s="719"/>
      <c r="H62" s="719"/>
      <c r="I62" s="719"/>
      <c r="J62" s="719"/>
      <c r="K62" s="720"/>
    </row>
    <row r="63" spans="2:11" ht="15" thickBot="1" x14ac:dyDescent="0.35">
      <c r="B63" s="226"/>
      <c r="C63" s="187"/>
      <c r="D63" s="695" t="s">
        <v>257</v>
      </c>
      <c r="E63" s="696"/>
      <c r="F63" s="696"/>
      <c r="G63" s="696"/>
      <c r="H63" s="696"/>
      <c r="I63" s="696"/>
      <c r="J63" s="696"/>
      <c r="K63" s="697"/>
    </row>
    <row r="64" spans="2:11" ht="15" thickBot="1" x14ac:dyDescent="0.35">
      <c r="B64" s="682" t="s">
        <v>261</v>
      </c>
      <c r="C64" s="683"/>
      <c r="D64" s="701">
        <f>E44*D29*(D27-G32)*(D27-G32)/8</f>
        <v>1048461468.7500002</v>
      </c>
      <c r="E64" s="701"/>
      <c r="F64" s="701"/>
      <c r="H64" s="694" t="s">
        <v>106</v>
      </c>
      <c r="I64" s="694"/>
      <c r="J64" s="188">
        <f>$E$7*H5/(H5+K4/K5)</f>
        <v>0.41666666666666663</v>
      </c>
      <c r="K64" s="227"/>
    </row>
    <row r="65" spans="2:11" ht="15" thickBot="1" x14ac:dyDescent="0.35">
      <c r="B65" s="684"/>
      <c r="C65" s="685"/>
      <c r="D65" s="670" t="s">
        <v>259</v>
      </c>
      <c r="E65" s="671"/>
      <c r="F65" s="672"/>
      <c r="H65" s="670" t="s">
        <v>260</v>
      </c>
      <c r="I65" s="671"/>
      <c r="J65" s="672"/>
      <c r="K65" s="227"/>
    </row>
    <row r="66" spans="2:11" x14ac:dyDescent="0.3">
      <c r="B66" s="684"/>
      <c r="C66" s="685"/>
      <c r="D66" s="678" t="s">
        <v>188</v>
      </c>
      <c r="E66" s="679"/>
      <c r="F66" s="680"/>
      <c r="H66" s="681" t="s">
        <v>188</v>
      </c>
      <c r="I66" s="681"/>
      <c r="J66" s="681"/>
      <c r="K66" s="217"/>
    </row>
    <row r="67" spans="2:11" x14ac:dyDescent="0.3">
      <c r="B67" s="638" t="s">
        <v>258</v>
      </c>
      <c r="C67" s="677"/>
      <c r="D67" s="184" cm="1">
        <f t="array" ref="D67:F67">IF(D35=1,{-0.33,0.5,-0.7},{-0.3,0.55,-0.7})</f>
        <v>-0.33</v>
      </c>
      <c r="E67" s="184">
        <v>0.5</v>
      </c>
      <c r="F67" s="184">
        <v>-0.7</v>
      </c>
      <c r="G67" s="175"/>
      <c r="H67" s="184" cm="1">
        <f t="array" ref="H67:J67">{-0.6,0.4,-0.6}</f>
        <v>-0.6</v>
      </c>
      <c r="I67" s="184">
        <v>0.4</v>
      </c>
      <c r="J67" s="184">
        <v>-0.6</v>
      </c>
      <c r="K67" s="217"/>
    </row>
    <row r="68" spans="2:11" ht="15" thickBot="1" x14ac:dyDescent="0.35">
      <c r="B68" s="638" t="s">
        <v>12</v>
      </c>
      <c r="C68" s="677"/>
      <c r="D68" s="176">
        <f>$D$64*D67</f>
        <v>-345992284.68750012</v>
      </c>
      <c r="E68" s="176">
        <f>$D$64*E67</f>
        <v>524230734.37500012</v>
      </c>
      <c r="F68" s="176">
        <f>$D$64*F67</f>
        <v>-733923028.12500012</v>
      </c>
      <c r="G68" s="171"/>
      <c r="H68" s="176">
        <f>$D$64*H67</f>
        <v>-629076881.25000012</v>
      </c>
      <c r="I68" s="176">
        <f>$D$64*I67</f>
        <v>419384587.50000012</v>
      </c>
      <c r="J68" s="176">
        <f>$D$64*J67</f>
        <v>-629076881.25000012</v>
      </c>
      <c r="K68" s="228"/>
    </row>
    <row r="69" spans="2:11" ht="15" thickBot="1" x14ac:dyDescent="0.35">
      <c r="B69" s="692"/>
      <c r="C69" s="693"/>
      <c r="D69" s="673" t="s">
        <v>264</v>
      </c>
      <c r="E69" s="674"/>
      <c r="F69" s="674"/>
      <c r="G69" s="674"/>
      <c r="H69" s="674"/>
      <c r="I69" s="674"/>
      <c r="J69" s="675"/>
      <c r="K69" s="228">
        <f>$D$31/2</f>
        <v>3375</v>
      </c>
    </row>
    <row r="70" spans="2:11" x14ac:dyDescent="0.3">
      <c r="B70" s="638" t="s">
        <v>269</v>
      </c>
      <c r="C70" s="676"/>
      <c r="D70" s="189">
        <v>0.8</v>
      </c>
      <c r="E70" s="190">
        <v>0.55000000000000004</v>
      </c>
      <c r="F70" s="190">
        <v>0.75</v>
      </c>
      <c r="G70" s="175"/>
      <c r="H70" s="190">
        <v>0.75</v>
      </c>
      <c r="I70" s="190">
        <v>0.55000000000000004</v>
      </c>
      <c r="J70" s="190">
        <v>0.75</v>
      </c>
      <c r="K70" s="229"/>
    </row>
    <row r="71" spans="2:11" x14ac:dyDescent="0.3">
      <c r="B71" s="638" t="s">
        <v>258</v>
      </c>
      <c r="C71" s="676"/>
      <c r="D71" s="189">
        <f>D70*D67</f>
        <v>-0.26400000000000001</v>
      </c>
      <c r="E71" s="189">
        <f>E70*E67</f>
        <v>0.27500000000000002</v>
      </c>
      <c r="F71" s="189">
        <f>F70*F67</f>
        <v>-0.52499999999999991</v>
      </c>
      <c r="G71" s="189"/>
      <c r="H71" s="189">
        <f>H70*H67</f>
        <v>-0.44999999999999996</v>
      </c>
      <c r="I71" s="189">
        <f>I70*I67</f>
        <v>0.22000000000000003</v>
      </c>
      <c r="J71" s="189">
        <f>J70*J67</f>
        <v>-0.44999999999999996</v>
      </c>
      <c r="K71" s="229"/>
    </row>
    <row r="72" spans="2:11" x14ac:dyDescent="0.3">
      <c r="B72" s="638" t="s">
        <v>12</v>
      </c>
      <c r="C72" s="676"/>
      <c r="D72" s="200">
        <f>D68*D70</f>
        <v>-276793827.75000012</v>
      </c>
      <c r="E72" s="254">
        <f>E68*E70</f>
        <v>288326903.90625006</v>
      </c>
      <c r="F72" s="201">
        <f>F68*F70</f>
        <v>-550442271.09375012</v>
      </c>
      <c r="G72" s="171"/>
      <c r="H72" s="201">
        <f>H68*H70</f>
        <v>-471807660.93750012</v>
      </c>
      <c r="I72" s="201">
        <f>I68*I70</f>
        <v>230661523.12500009</v>
      </c>
      <c r="J72" s="201">
        <f>J68*J70</f>
        <v>-471807660.93750012</v>
      </c>
      <c r="K72" s="230"/>
    </row>
    <row r="73" spans="2:11" x14ac:dyDescent="0.3">
      <c r="B73" s="638" t="s">
        <v>74</v>
      </c>
      <c r="C73" s="676"/>
      <c r="D73" s="247">
        <f>ABS(D72)/($K$69*$J$35*$J$35*$H$7)</f>
        <v>7.2809824218750027E-2</v>
      </c>
      <c r="E73" s="247">
        <f>ABS(E72)/($K$69*$J$34*$J$34*$H$7)</f>
        <v>0.19415953125000004</v>
      </c>
      <c r="F73" s="247">
        <f>ABS(F72)/($K$69*$J$35*$J$35*$H$7)</f>
        <v>0.14479226407137788</v>
      </c>
      <c r="G73" s="172"/>
      <c r="H73" s="247">
        <f>ABS(H72)/($K$69*$J$35*$J$35*$H$7)</f>
        <v>0.1241076549183239</v>
      </c>
      <c r="I73" s="247">
        <f>ABS(I72)/($K$69*$J$34*$J$34*$H$7)</f>
        <v>0.15532762500000005</v>
      </c>
      <c r="J73" s="247">
        <f>ABS(J72)/($K$69*$J$35*$J$35*$H$7)</f>
        <v>0.1241076549183239</v>
      </c>
      <c r="K73" s="230"/>
    </row>
    <row r="74" spans="2:11" x14ac:dyDescent="0.3">
      <c r="B74" s="638" t="s">
        <v>190</v>
      </c>
      <c r="C74" s="676"/>
      <c r="D74" s="249" cm="1">
        <f t="array" ref="D74:D75">TRANSPOSE(([1]!PureBendingDesign(D73,$J$64*$E$6,$E$4)))</f>
        <v>7.5673027785892216E-2</v>
      </c>
      <c r="E74" s="249" cm="1">
        <f t="array" ref="E74:E75">TRANSPOSE(([1]!PureBendingDesign(E73,$J$64*$E$6,$E$4)))</f>
        <v>0.21789966274951669</v>
      </c>
      <c r="F74" s="249" cm="1">
        <f t="array" ref="F74:F75">TRANSPOSE(([1]!PureBendingDesign(F73,$J$64*$E$6,$E$4)))</f>
        <v>0.15713852154837207</v>
      </c>
      <c r="G74" s="172"/>
      <c r="H74" s="249" cm="1">
        <f t="array" ref="H74:H75">TRANSPOSE(([1]!PureBendingDesign(H73,$J$64*$E$6,$E$4)))</f>
        <v>0.13294481711750128</v>
      </c>
      <c r="I74" s="249" cm="1">
        <f t="array" ref="I74:I75">TRANSPOSE(([1]!PureBendingDesign(I73,$J$64*$E$6,$E$4)))</f>
        <v>0.16973212154081532</v>
      </c>
      <c r="J74" s="249" cm="1">
        <f t="array" ref="J74:J75">TRANSPOSE(([1]!PureBendingDesign(J73,$J$64*$E$6,$E$4)))</f>
        <v>0.13294481711750128</v>
      </c>
      <c r="K74" s="230"/>
    </row>
    <row r="75" spans="2:11" x14ac:dyDescent="0.3">
      <c r="B75" s="638" t="s">
        <v>191</v>
      </c>
      <c r="C75" s="676"/>
      <c r="D75" s="249">
        <v>0</v>
      </c>
      <c r="E75" s="250">
        <v>0</v>
      </c>
      <c r="F75" s="250">
        <v>0</v>
      </c>
      <c r="G75" s="7"/>
      <c r="H75" s="249">
        <v>0</v>
      </c>
      <c r="I75" s="250">
        <v>0</v>
      </c>
      <c r="J75" s="250">
        <v>0</v>
      </c>
      <c r="K75" s="230"/>
    </row>
    <row r="76" spans="2:11" x14ac:dyDescent="0.3">
      <c r="B76" s="638" t="s">
        <v>192</v>
      </c>
      <c r="C76" s="676"/>
      <c r="D76" s="247">
        <f>MAX(D74*$E$19*$J$35*$H$7/$K$8,$E$20*$J$35*$E$19)</f>
        <v>850.90115688136575</v>
      </c>
      <c r="E76" s="247">
        <f>MAX(E74*$E$19*$J$34*$H$7/$K$8,$E$20*$J$34*$E$19)</f>
        <v>1531.3504076563256</v>
      </c>
      <c r="F76" s="247">
        <f>MAX(F74*$E$19*$J$35*$H$7/$K$8,$E$20*$J$35*$E$19)</f>
        <v>1766.935375632806</v>
      </c>
      <c r="G76" s="172"/>
      <c r="H76" s="247">
        <f>MAX(H74*$E$19*$J$35*$H$7/$K$8,$E$20*$J$35*$E$19)</f>
        <v>1494.89061025457</v>
      </c>
      <c r="I76" s="247">
        <f>MAX(I74*$E$19*$J$34*$H$7/$K$8,$E$20*$J$34*$E$19)</f>
        <v>1192.8396319396186</v>
      </c>
      <c r="J76" s="247">
        <f>MAX(J74*$E$19*$J$35*$H$7/$K$8,$E$20*$J$35*$E$19)</f>
        <v>1494.89061025457</v>
      </c>
      <c r="K76" s="230"/>
    </row>
    <row r="77" spans="2:11" x14ac:dyDescent="0.3">
      <c r="B77" s="638" t="s">
        <v>193</v>
      </c>
      <c r="C77" s="676"/>
      <c r="D77" s="247">
        <f>MAX(D75*$E$19*$J$35*$H$7/$K$8,$E$20*$J$35*$E$19)</f>
        <v>488.88888888888891</v>
      </c>
      <c r="E77" s="247">
        <f>MAX(E75*$E$19*$J$34*$H$7/$K$8,$E$20*$J$34*$E$19)</f>
        <v>305.5555555555556</v>
      </c>
      <c r="F77" s="247">
        <f>MAX(F75*$E$19*$J$35*$H$7/$K$8,$E$20*$J$35*$E$19)</f>
        <v>488.88888888888891</v>
      </c>
      <c r="G77" s="172"/>
      <c r="H77" s="247">
        <f>MAX(H75*$E$19*$J$35*$H$7/$K$8,$E$20*$J$35*$E$19)</f>
        <v>488.88888888888891</v>
      </c>
      <c r="I77" s="247">
        <f>MAX(I75*$E$19*$J$34*$H$7/$K$8,$E$20*$J$34*$E$19)</f>
        <v>305.5555555555556</v>
      </c>
      <c r="J77" s="247">
        <f>MAX(J75*$E$19*$J$35*$H$7/$K$8,$E$20*$J$35*$E$19)</f>
        <v>488.88888888888891</v>
      </c>
      <c r="K77" s="230"/>
    </row>
    <row r="78" spans="2:11" x14ac:dyDescent="0.3">
      <c r="B78" s="638" t="s">
        <v>194</v>
      </c>
      <c r="C78" s="676"/>
      <c r="D78" s="182">
        <f>IF(D$68&gt;0,D77,D76)</f>
        <v>850.90115688136575</v>
      </c>
      <c r="E78" s="178">
        <f>IF(E$68&gt;0,E77,E76)</f>
        <v>305.5555555555556</v>
      </c>
      <c r="F78" s="178">
        <f>IF(F$68&gt;0,F77,F76)</f>
        <v>1766.935375632806</v>
      </c>
      <c r="G78" s="173"/>
      <c r="H78" s="182">
        <f>IF(H$68&gt;0,H77,H76)</f>
        <v>1494.89061025457</v>
      </c>
      <c r="I78" s="178">
        <f>IF(I$68&gt;0,I77,I76)</f>
        <v>305.5555555555556</v>
      </c>
      <c r="J78" s="178">
        <f>IF(J$68&gt;0,J77,J76)</f>
        <v>1494.89061025457</v>
      </c>
      <c r="K78" s="230"/>
    </row>
    <row r="79" spans="2:11" x14ac:dyDescent="0.3">
      <c r="B79" s="638" t="s">
        <v>25</v>
      </c>
      <c r="C79" s="676"/>
      <c r="D79" s="204">
        <f>IF(D78&gt;9*$E$21*$E$21*3.14/4,$E$22,$E$21)</f>
        <v>12</v>
      </c>
      <c r="E79" s="204">
        <f>IF(E78&gt;9*$E$21*$E$21*3.14/4,$E$22,$E$21)</f>
        <v>12</v>
      </c>
      <c r="F79" s="204">
        <f>IF(F78&gt;9*$E$21*$E$21*3.14/4,$E$22,$E$21)</f>
        <v>16</v>
      </c>
      <c r="G79" s="204"/>
      <c r="H79" s="204">
        <f>IF(H78&gt;9*$E$21*$E$21*3.14/4,$E$22,$E$21)</f>
        <v>16</v>
      </c>
      <c r="I79" s="204">
        <f>IF(I78&gt;9*$E$21*$E$21*3.14/4,$E$22,$E$21)</f>
        <v>12</v>
      </c>
      <c r="J79" s="204">
        <f>IF(J78&gt;9*$E$21*$E$21*3.14/4,$E$22,$E$21)</f>
        <v>16</v>
      </c>
      <c r="K79" s="231"/>
    </row>
    <row r="80" spans="2:11" x14ac:dyDescent="0.3">
      <c r="B80" s="638" t="s">
        <v>165</v>
      </c>
      <c r="C80" s="676"/>
      <c r="D80" s="202">
        <f>MAX(5,ROUNDUP(D78/(3.14*D79*D79/4),0))</f>
        <v>8</v>
      </c>
      <c r="E80" s="203">
        <f>MAX(5,ROUNDUP(E78/(3.14*E79*E79/4),0))</f>
        <v>5</v>
      </c>
      <c r="F80" s="203">
        <f>MAX(5,ROUNDUP(F78/(3.14*F79*F79/4),0))</f>
        <v>9</v>
      </c>
      <c r="G80" s="7"/>
      <c r="H80" s="203">
        <f>MAX(5,ROUNDUP(H78/(3.14*H79*H79/4),0))</f>
        <v>8</v>
      </c>
      <c r="I80" s="203">
        <f>MAX(5,ROUNDUP(I78/(3.14*I79*I79/4),0))</f>
        <v>5</v>
      </c>
      <c r="J80" s="203">
        <f>MAX(5,ROUNDUP(J78/(3.14*J79*J79/4),0))</f>
        <v>8</v>
      </c>
      <c r="K80" s="232"/>
    </row>
    <row r="81" spans="2:11" x14ac:dyDescent="0.3">
      <c r="B81" s="638" t="s">
        <v>195</v>
      </c>
      <c r="C81" s="676"/>
      <c r="D81" s="182">
        <f>IF(D$68&gt;0,D77,D76)</f>
        <v>850.90115688136575</v>
      </c>
      <c r="E81" s="178">
        <f>IF(E$68&gt;0,E77,E76)</f>
        <v>305.5555555555556</v>
      </c>
      <c r="F81" s="178">
        <f>IF(F$68&gt;0,F77,F76)</f>
        <v>1766.935375632806</v>
      </c>
      <c r="G81" s="173"/>
      <c r="H81" s="178">
        <f>IF(H$68&gt;0,H77,H76)</f>
        <v>1494.89061025457</v>
      </c>
      <c r="I81" s="178">
        <f>IF(I$68&gt;0,I77,I76)</f>
        <v>305.5555555555556</v>
      </c>
      <c r="J81" s="178">
        <f>IF(J$68&gt;0,J77,J76)</f>
        <v>1494.89061025457</v>
      </c>
      <c r="K81" s="230"/>
    </row>
    <row r="82" spans="2:11" x14ac:dyDescent="0.3">
      <c r="B82" s="638" t="s">
        <v>25</v>
      </c>
      <c r="C82" s="676"/>
      <c r="D82" s="204">
        <f>IF(D81&gt;9*$E$21*$E$21*3.14/4,$E$22,$E$21)</f>
        <v>12</v>
      </c>
      <c r="E82" s="204">
        <f>IF(E81&gt;9*$E$21*$E$21*3.14/4,$E$22,$E$21)</f>
        <v>12</v>
      </c>
      <c r="F82" s="204">
        <f>IF(F81&gt;9*$E$21*$E$21*3.14/4,$E$22,$E$21)</f>
        <v>16</v>
      </c>
      <c r="G82" s="173"/>
      <c r="H82" s="204">
        <f>IF(H81&gt;9*$E$21*$E$21*3.14/4,$E$22,$E$21)</f>
        <v>16</v>
      </c>
      <c r="I82" s="204">
        <f>IF(I81&gt;9*$E$21*$E$21*3.14/4,$E$22,$E$21)</f>
        <v>12</v>
      </c>
      <c r="J82" s="204">
        <f>IF(J81&gt;9*$E$21*$E$21*3.14/4,$E$22,$E$21)</f>
        <v>16</v>
      </c>
      <c r="K82" s="231"/>
    </row>
    <row r="83" spans="2:11" ht="15" thickBot="1" x14ac:dyDescent="0.35">
      <c r="B83" s="641" t="s">
        <v>165</v>
      </c>
      <c r="C83" s="691"/>
      <c r="D83" s="202">
        <f>MAX(5,ROUNDUP(D81/(3.14*D82*D82/4),0))</f>
        <v>8</v>
      </c>
      <c r="E83" s="203">
        <f>MAX(5,ROUNDUP(E81/(3.14*E82*E82/4),0))</f>
        <v>5</v>
      </c>
      <c r="F83" s="203">
        <f>MAX(5,ROUNDUP(F81/(3.14*F82*F82/4),0))</f>
        <v>9</v>
      </c>
      <c r="G83" s="7"/>
      <c r="H83" s="203">
        <f>MAX(5,ROUNDUP(H81/(3.14*H82*H82/4),0))</f>
        <v>8</v>
      </c>
      <c r="I83" s="203">
        <f>MAX(5,ROUNDUP(I81/(3.14*I82*I82/4),0))</f>
        <v>5</v>
      </c>
      <c r="J83" s="203">
        <f>MAX(5,ROUNDUP(J81/(3.14*J82*J82/4),0))</f>
        <v>8</v>
      </c>
      <c r="K83" s="232"/>
    </row>
    <row r="84" spans="2:11" x14ac:dyDescent="0.3">
      <c r="B84" s="692"/>
      <c r="C84" s="693"/>
      <c r="D84" s="673" t="s">
        <v>265</v>
      </c>
      <c r="E84" s="674"/>
      <c r="F84" s="674"/>
      <c r="G84" s="674"/>
      <c r="H84" s="674"/>
      <c r="I84" s="674"/>
      <c r="J84" s="675"/>
      <c r="K84" s="252">
        <f>D29-K69</f>
        <v>4125</v>
      </c>
    </row>
    <row r="85" spans="2:11" x14ac:dyDescent="0.3">
      <c r="B85" s="638" t="s">
        <v>258</v>
      </c>
      <c r="C85" s="676"/>
      <c r="D85" s="190">
        <f>IF($D$35=1,25%,20%)</f>
        <v>0.25</v>
      </c>
      <c r="E85" s="190">
        <v>0.45</v>
      </c>
      <c r="F85" s="190">
        <v>0.25</v>
      </c>
      <c r="G85" s="175"/>
      <c r="H85" s="190">
        <v>0.25</v>
      </c>
      <c r="I85" s="190">
        <v>0.45</v>
      </c>
      <c r="J85" s="191">
        <v>0.25</v>
      </c>
      <c r="K85" s="232"/>
    </row>
    <row r="86" spans="2:11" x14ac:dyDescent="0.3">
      <c r="B86" s="638" t="s">
        <v>258</v>
      </c>
      <c r="C86" s="676"/>
      <c r="D86" s="189">
        <f>D85*D67</f>
        <v>-8.2500000000000004E-2</v>
      </c>
      <c r="E86" s="189">
        <f>E85*E67</f>
        <v>0.22500000000000001</v>
      </c>
      <c r="F86" s="189">
        <f>F85*F67</f>
        <v>-0.17499999999999999</v>
      </c>
      <c r="G86" s="189"/>
      <c r="H86" s="189">
        <f>H85*H67</f>
        <v>-0.15</v>
      </c>
      <c r="I86" s="189">
        <f>I85*I67</f>
        <v>0.18000000000000002</v>
      </c>
      <c r="J86" s="189">
        <f>J85*J67</f>
        <v>-0.15</v>
      </c>
      <c r="K86" s="229"/>
    </row>
    <row r="87" spans="2:11" x14ac:dyDescent="0.3">
      <c r="B87" s="638" t="s">
        <v>12</v>
      </c>
      <c r="C87" s="676"/>
      <c r="D87" s="200">
        <f>$D64*D86</f>
        <v>-86498071.17187503</v>
      </c>
      <c r="E87" s="200">
        <f>$D64*E86</f>
        <v>235903830.46875006</v>
      </c>
      <c r="F87" s="200">
        <f>$D64*F86</f>
        <v>-183480757.03125003</v>
      </c>
      <c r="G87" s="180"/>
      <c r="H87" s="200">
        <f>$D64*H86</f>
        <v>-157269220.31250003</v>
      </c>
      <c r="I87" s="200">
        <f>$D64*I86</f>
        <v>188723064.37500006</v>
      </c>
      <c r="J87" s="200">
        <f>$D64*J86</f>
        <v>-157269220.31250003</v>
      </c>
      <c r="K87" s="232"/>
    </row>
    <row r="88" spans="2:11" x14ac:dyDescent="0.3">
      <c r="B88" s="638" t="s">
        <v>74</v>
      </c>
      <c r="C88" s="676"/>
      <c r="D88" s="247">
        <f>ABS(D87)/($K$69*$J$35*$J$35*$H$7)</f>
        <v>2.2753070068359384E-2</v>
      </c>
      <c r="E88" s="247">
        <f>ABS(E87)/($K$69*$J$34*$J$34*$H$7)</f>
        <v>0.15885779829545457</v>
      </c>
      <c r="F88" s="247">
        <f>ABS(F87)/($K$69*$J$35*$J$35*$H$7)</f>
        <v>4.8264088023792624E-2</v>
      </c>
      <c r="G88" s="172"/>
      <c r="H88" s="247">
        <f>ABS(H87)/($K$69*$J$35*$J$35*$H$7)</f>
        <v>4.1369218306107965E-2</v>
      </c>
      <c r="I88" s="247">
        <f>ABS(I87)/($K$69*$J$34*$J$34*$H$7)</f>
        <v>0.12708623863636367</v>
      </c>
      <c r="J88" s="247">
        <f>ABS(J87)/($K$69*$J$35*$J$35*$H$7)</f>
        <v>4.1369218306107965E-2</v>
      </c>
      <c r="K88" s="232"/>
    </row>
    <row r="89" spans="2:11" x14ac:dyDescent="0.3">
      <c r="B89" s="638" t="s">
        <v>190</v>
      </c>
      <c r="C89" s="676"/>
      <c r="D89" s="249" cm="1">
        <f t="array" ref="D89:D90">TRANSPOSE(([1]!PureBendingDesign(D88,$J$64*$E$6,$E$4)))</f>
        <v>2.3017983858821877E-2</v>
      </c>
      <c r="E89" s="249" cm="1">
        <f t="array" ref="E89:E90">TRANSPOSE(([1]!PureBendingDesign(E88,$J$64*$E$6,$E$4)))</f>
        <v>0.17399491320536048</v>
      </c>
      <c r="F89" s="249" cm="1">
        <f t="array" ref="F89:F90">TRANSPOSE(([1]!PureBendingDesign(F88,$J$64*$E$6,$E$4)))</f>
        <v>4.9488651328972955E-2</v>
      </c>
      <c r="G89" s="172"/>
      <c r="H89" s="249" cm="1">
        <f t="array" ref="H89:H90">TRANSPOSE(([1]!PureBendingDesign(H88,$J$64*$E$6,$E$4)))</f>
        <v>4.226226795234591E-2</v>
      </c>
      <c r="I89" s="249" cm="1">
        <f t="array" ref="I89:I90">TRANSPOSE(([1]!PureBendingDesign(I88,$J$64*$E$6,$E$4)))</f>
        <v>0.13638693691714976</v>
      </c>
      <c r="J89" s="249" cm="1">
        <f t="array" ref="J89:J90">TRANSPOSE(([1]!PureBendingDesign(J88,$J$64*$E$6,$E$4)))</f>
        <v>4.226226795234591E-2</v>
      </c>
      <c r="K89" s="248"/>
    </row>
    <row r="90" spans="2:11" x14ac:dyDescent="0.3">
      <c r="B90" s="638" t="s">
        <v>191</v>
      </c>
      <c r="C90" s="676"/>
      <c r="D90" s="249">
        <v>0</v>
      </c>
      <c r="E90" s="250">
        <v>0</v>
      </c>
      <c r="F90" s="250">
        <v>0</v>
      </c>
      <c r="G90" s="153"/>
      <c r="H90" s="249">
        <v>0</v>
      </c>
      <c r="I90" s="250">
        <v>0</v>
      </c>
      <c r="J90" s="250">
        <v>0</v>
      </c>
      <c r="K90" s="248"/>
    </row>
    <row r="91" spans="2:11" x14ac:dyDescent="0.3">
      <c r="B91" s="638" t="s">
        <v>192</v>
      </c>
      <c r="C91" s="676"/>
      <c r="D91" s="247">
        <f>MAX(D89*$E$19*$J$35*$H$7/$K$8,$E$20*$J$35*$E$19)</f>
        <v>488.88888888888891</v>
      </c>
      <c r="E91" s="247">
        <f>MAX(E89*$E$19*$J$34*$H$7/$K$8,$E$20*$J$34*$E$19)</f>
        <v>1222.7975844710056</v>
      </c>
      <c r="F91" s="247">
        <f>MAX(F89*$E$19*$J$35*$H$7/$K$8,$E$20*$J$35*$E$19)</f>
        <v>556.47239049911821</v>
      </c>
      <c r="G91" s="172"/>
      <c r="H91" s="247">
        <f>MAX(H89*$E$19*$J$35*$H$7/$K$8,$E$20*$J$35*$E$19)</f>
        <v>488.88888888888891</v>
      </c>
      <c r="I91" s="247">
        <f>MAX(I89*$E$19*$J$34*$H$7/$K$8,$E$20*$J$34*$E$19)</f>
        <v>958.49708444552471</v>
      </c>
      <c r="J91" s="247">
        <f>MAX(J89*$E$19*$J$35*$H$7/$K$8,$E$20*$J$35*$E$19)</f>
        <v>488.88888888888891</v>
      </c>
      <c r="K91" s="232"/>
    </row>
    <row r="92" spans="2:11" x14ac:dyDescent="0.3">
      <c r="B92" s="638" t="s">
        <v>193</v>
      </c>
      <c r="C92" s="676"/>
      <c r="D92" s="247">
        <f>MAX(D90*$E$19*$J$35*$H$7/$K$8,$E$20*$J$35*$E$19)</f>
        <v>488.88888888888891</v>
      </c>
      <c r="E92" s="247">
        <f>MAX(E90*$E$19*$J$34*$H$7/$K$8,$E$20*$J$34*$E$19)</f>
        <v>305.5555555555556</v>
      </c>
      <c r="F92" s="247">
        <f>MAX(F90*$E$19*$J$35*$H$7/$K$8,$E$20*$J$35*$E$19)</f>
        <v>488.88888888888891</v>
      </c>
      <c r="G92" s="172"/>
      <c r="H92" s="247">
        <f>MAX(H90*$E$19*$J$35*$H$7/$K$8,$E$20*$J$35*$E$19)</f>
        <v>488.88888888888891</v>
      </c>
      <c r="I92" s="247">
        <f>MAX(I90*$E$19*$J$34*$H$7/$K$8,$E$20*$J$34*$E$19)</f>
        <v>305.5555555555556</v>
      </c>
      <c r="J92" s="247">
        <f>MAX(J90*$E$19*$J$35*$H$7/$K$8,$E$20*$J$35*$E$19)</f>
        <v>488.88888888888891</v>
      </c>
      <c r="K92" s="232"/>
    </row>
    <row r="93" spans="2:11" x14ac:dyDescent="0.3">
      <c r="B93" s="638" t="s">
        <v>194</v>
      </c>
      <c r="C93" s="676"/>
      <c r="D93" s="182">
        <f>IF(D$68&gt;0,D92,D91)</f>
        <v>488.88888888888891</v>
      </c>
      <c r="E93" s="178">
        <f>IF(E$68&gt;0,E92,E91)</f>
        <v>305.5555555555556</v>
      </c>
      <c r="F93" s="178">
        <f>IF(F$68&gt;0,F92,F91)</f>
        <v>556.47239049911821</v>
      </c>
      <c r="G93" s="173"/>
      <c r="H93" s="182">
        <f>IF(H$68&gt;0,H92,H91)</f>
        <v>488.88888888888891</v>
      </c>
      <c r="I93" s="178">
        <f>IF(I$68&gt;0,I92,I91)</f>
        <v>305.5555555555556</v>
      </c>
      <c r="J93" s="178">
        <f>IF(J$68&gt;0,J92,J91)</f>
        <v>488.88888888888891</v>
      </c>
      <c r="K93" s="232"/>
    </row>
    <row r="94" spans="2:11" x14ac:dyDescent="0.3">
      <c r="B94" s="638" t="s">
        <v>25</v>
      </c>
      <c r="C94" s="676"/>
      <c r="D94" s="204">
        <f>IF(D93&gt;9*$E$21*$E$21*3.14/4,$E$22,$E$21)</f>
        <v>12</v>
      </c>
      <c r="E94" s="204">
        <f>IF(E93&gt;9*$E$21*$E$21*3.14/4,$E$22,$E$21)</f>
        <v>12</v>
      </c>
      <c r="F94" s="204">
        <f>IF(F93&gt;9*$E$21*$E$21*3.14/4,$E$22,$E$21)</f>
        <v>12</v>
      </c>
      <c r="G94" s="173"/>
      <c r="H94" s="204">
        <f>IF(H93&gt;9*$E$21*$E$21*3.14/4,$E$22,$E$21)</f>
        <v>12</v>
      </c>
      <c r="I94" s="204">
        <f>IF(I93&gt;9*$E$21*$E$21*3.14/4,$E$22,$E$21)</f>
        <v>12</v>
      </c>
      <c r="J94" s="204">
        <f>IF(J93&gt;9*$E$21*$E$21*3.14/4,$E$22,$E$21)</f>
        <v>12</v>
      </c>
      <c r="K94" s="232"/>
    </row>
    <row r="95" spans="2:11" x14ac:dyDescent="0.3">
      <c r="B95" s="638" t="s">
        <v>165</v>
      </c>
      <c r="C95" s="676"/>
      <c r="D95" s="202">
        <f>MAX(5,ROUNDUP(D93/(3.14*D94*D94/4),0))</f>
        <v>5</v>
      </c>
      <c r="E95" s="203">
        <f>MAX(5,ROUNDUP(E93/(3.14*E94*E94/4),0))</f>
        <v>5</v>
      </c>
      <c r="F95" s="203">
        <f>MAX(5,ROUNDUP(F93/(3.14*F94*F94/4),0))</f>
        <v>5</v>
      </c>
      <c r="G95" s="7"/>
      <c r="H95" s="203">
        <f>MAX(5,ROUNDUP(H93/(3.14*H94*H94/4),0))</f>
        <v>5</v>
      </c>
      <c r="I95" s="203">
        <f>MAX(5,ROUNDUP(I93/(3.14*I94*I94/4),0))</f>
        <v>5</v>
      </c>
      <c r="J95" s="203">
        <f>MAX(5,ROUNDUP(J93/(3.14*J94*J94/4),0))</f>
        <v>5</v>
      </c>
      <c r="K95" s="232"/>
    </row>
    <row r="96" spans="2:11" x14ac:dyDescent="0.3">
      <c r="B96" s="638" t="s">
        <v>195</v>
      </c>
      <c r="C96" s="676"/>
      <c r="D96" s="182">
        <f>IF(D$68&gt;0,D92,D91)</f>
        <v>488.88888888888891</v>
      </c>
      <c r="E96" s="178">
        <f>IF(E$68&gt;0,E92,E91)</f>
        <v>305.5555555555556</v>
      </c>
      <c r="F96" s="178">
        <f>IF(F$68&gt;0,F92,F91)</f>
        <v>556.47239049911821</v>
      </c>
      <c r="G96" s="173"/>
      <c r="H96" s="178">
        <f>IF(H$68&gt;0,H92,H91)</f>
        <v>488.88888888888891</v>
      </c>
      <c r="I96" s="178">
        <f>IF(I$68&gt;0,I92,I91)</f>
        <v>305.5555555555556</v>
      </c>
      <c r="J96" s="178">
        <f>IF(J$68&gt;0,J92,J91)</f>
        <v>488.88888888888891</v>
      </c>
      <c r="K96" s="232"/>
    </row>
    <row r="97" spans="2:11" x14ac:dyDescent="0.3">
      <c r="B97" s="638" t="s">
        <v>25</v>
      </c>
      <c r="C97" s="676"/>
      <c r="D97" s="204">
        <f>IF(D96&gt;9*$E$21*$E$21*3.14/4,$E$22,$E$21)</f>
        <v>12</v>
      </c>
      <c r="E97" s="204">
        <f>IF(E96&gt;9*$E$21*$E$21*3.14/4,$E$22,$E$21)</f>
        <v>12</v>
      </c>
      <c r="F97" s="204">
        <f>IF(F96&gt;9*$E$21*$E$21*3.14/4,$E$22,$E$21)</f>
        <v>12</v>
      </c>
      <c r="G97" s="173"/>
      <c r="H97" s="204">
        <f>IF(H96&gt;9*$E$21*$E$21*3.14/4,$E$22,$E$21)</f>
        <v>12</v>
      </c>
      <c r="I97" s="204">
        <f>IF(I96&gt;9*$E$21*$E$21*3.14/4,$E$22,$E$21)</f>
        <v>12</v>
      </c>
      <c r="J97" s="204">
        <f>IF(J96&gt;9*$E$21*$E$21*3.14/4,$E$22,$E$21)</f>
        <v>12</v>
      </c>
      <c r="K97" s="232"/>
    </row>
    <row r="98" spans="2:11" ht="15" thickBot="1" x14ac:dyDescent="0.35">
      <c r="B98" s="641" t="s">
        <v>165</v>
      </c>
      <c r="C98" s="691"/>
      <c r="D98" s="202">
        <f>MAX(5,ROUNDUP(D96/(3.14*D97*D97/4),0))</f>
        <v>5</v>
      </c>
      <c r="E98" s="203">
        <f>MAX(5,ROUNDUP(E96/(3.14*E97*E97/4),0))</f>
        <v>5</v>
      </c>
      <c r="F98" s="203">
        <f>MAX(5,ROUNDUP(F96/(3.14*F97*F97/4),0))</f>
        <v>5</v>
      </c>
      <c r="G98" s="7"/>
      <c r="H98" s="203">
        <f>MAX(5,ROUNDUP(H96/(3.14*H97*H97/4),0))</f>
        <v>5</v>
      </c>
      <c r="I98" s="203">
        <f>MAX(5,ROUNDUP(I96/(3.14*I97*I97/4),0))</f>
        <v>5</v>
      </c>
      <c r="J98" s="203">
        <f>MAX(5,ROUNDUP(J96/(3.14*J97*J97/4),0))</f>
        <v>5</v>
      </c>
      <c r="K98" s="232"/>
    </row>
    <row r="99" spans="2:11" ht="15" thickBot="1" x14ac:dyDescent="0.35">
      <c r="B99" s="216"/>
      <c r="K99" s="217"/>
    </row>
    <row r="100" spans="2:11" ht="15" thickBot="1" x14ac:dyDescent="0.35">
      <c r="B100" s="698"/>
      <c r="C100" s="699"/>
      <c r="D100" s="695" t="s">
        <v>266</v>
      </c>
      <c r="E100" s="696"/>
      <c r="F100" s="696"/>
      <c r="G100" s="696"/>
      <c r="H100" s="696"/>
      <c r="I100" s="696"/>
      <c r="J100" s="696"/>
      <c r="K100" s="697"/>
    </row>
    <row r="101" spans="2:11" ht="15" thickBot="1" x14ac:dyDescent="0.35">
      <c r="B101" s="233" t="s">
        <v>261</v>
      </c>
      <c r="C101" s="167"/>
      <c r="D101" s="700">
        <f>E44*D29*(D27-G32)*(D27-G32)/8</f>
        <v>1048461468.7500002</v>
      </c>
      <c r="E101" s="701"/>
      <c r="F101" s="702"/>
      <c r="H101" s="694" t="s">
        <v>106</v>
      </c>
      <c r="I101" s="694"/>
      <c r="J101" s="188">
        <f>J64</f>
        <v>0.41666666666666663</v>
      </c>
      <c r="K101" s="227"/>
    </row>
    <row r="102" spans="2:11" ht="15" thickBot="1" x14ac:dyDescent="0.35">
      <c r="B102" s="638"/>
      <c r="C102" s="677"/>
      <c r="D102" s="670" t="s">
        <v>259</v>
      </c>
      <c r="E102" s="671"/>
      <c r="F102" s="672"/>
      <c r="H102" s="670" t="s">
        <v>260</v>
      </c>
      <c r="I102" s="671"/>
      <c r="J102" s="672"/>
      <c r="K102" s="227"/>
    </row>
    <row r="103" spans="2:11" x14ac:dyDescent="0.3">
      <c r="B103" s="638"/>
      <c r="C103" s="676"/>
      <c r="D103" s="170" t="s">
        <v>188</v>
      </c>
      <c r="E103" s="170" t="s">
        <v>189</v>
      </c>
      <c r="F103" s="170" t="s">
        <v>22</v>
      </c>
      <c r="H103" s="170" t="s">
        <v>188</v>
      </c>
      <c r="I103" s="170" t="s">
        <v>189</v>
      </c>
      <c r="J103" s="170" t="s">
        <v>22</v>
      </c>
      <c r="K103" s="217"/>
    </row>
    <row r="104" spans="2:11" x14ac:dyDescent="0.3">
      <c r="B104" s="638" t="s">
        <v>258</v>
      </c>
      <c r="C104" s="676"/>
      <c r="D104" s="185" cm="1">
        <f t="array" ref="D104:F104">IF(D49=1,{-0.6,0.4,-0.6},{-0.3,0.5,-0.7})</f>
        <v>-0.3</v>
      </c>
      <c r="E104" s="184">
        <v>0.5</v>
      </c>
      <c r="F104" s="184">
        <v>-0.7</v>
      </c>
      <c r="G104" s="175"/>
      <c r="H104" s="184" cm="1">
        <f t="array" ref="H104:J104">{-0.6,0.4,-0.6}</f>
        <v>-0.6</v>
      </c>
      <c r="I104" s="184">
        <v>0.4</v>
      </c>
      <c r="J104" s="184">
        <v>-0.6</v>
      </c>
      <c r="K104" s="230"/>
    </row>
    <row r="105" spans="2:11" ht="15" thickBot="1" x14ac:dyDescent="0.35">
      <c r="B105" s="638" t="s">
        <v>12</v>
      </c>
      <c r="C105" s="676"/>
      <c r="D105" s="183">
        <f>$D$64*D104</f>
        <v>-314538440.62500006</v>
      </c>
      <c r="E105" s="176">
        <f>$D$64*E104</f>
        <v>524230734.37500012</v>
      </c>
      <c r="F105" s="176">
        <f>$D$64*F104</f>
        <v>-733923028.12500012</v>
      </c>
      <c r="G105" s="171"/>
      <c r="H105" s="176">
        <f>$D$64*H104</f>
        <v>-629076881.25000012</v>
      </c>
      <c r="I105" s="176">
        <f>$D$64*I104</f>
        <v>419384587.50000012</v>
      </c>
      <c r="J105" s="176">
        <f>$D$64*J104</f>
        <v>-629076881.25000012</v>
      </c>
      <c r="K105" s="228"/>
    </row>
    <row r="106" spans="2:11" ht="15" thickBot="1" x14ac:dyDescent="0.35">
      <c r="B106" s="692" t="s">
        <v>267</v>
      </c>
      <c r="C106" s="693"/>
      <c r="D106" s="686" t="s">
        <v>264</v>
      </c>
      <c r="E106" s="687"/>
      <c r="F106" s="687"/>
      <c r="G106" s="687"/>
      <c r="H106" s="687"/>
      <c r="I106" s="687"/>
      <c r="J106" s="688"/>
      <c r="K106" s="252">
        <f>$D$31/2</f>
        <v>3375</v>
      </c>
    </row>
    <row r="107" spans="2:11" x14ac:dyDescent="0.3">
      <c r="B107" s="638" t="s">
        <v>269</v>
      </c>
      <c r="C107" s="676"/>
      <c r="D107" s="189">
        <f>IF($D$35=1,80%,75%)</f>
        <v>0.8</v>
      </c>
      <c r="E107" s="190">
        <v>0.55000000000000004</v>
      </c>
      <c r="F107" s="190">
        <v>0.75</v>
      </c>
      <c r="G107" s="175"/>
      <c r="H107" s="190">
        <v>0.75</v>
      </c>
      <c r="I107" s="190">
        <v>0.55000000000000004</v>
      </c>
      <c r="J107" s="190">
        <v>0.75</v>
      </c>
      <c r="K107" s="229"/>
    </row>
    <row r="108" spans="2:11" x14ac:dyDescent="0.3">
      <c r="B108" s="638" t="s">
        <v>258</v>
      </c>
      <c r="C108" s="676"/>
      <c r="D108" s="189">
        <f>D107*D104</f>
        <v>-0.24</v>
      </c>
      <c r="E108" s="189">
        <f>E107*E104</f>
        <v>0.27500000000000002</v>
      </c>
      <c r="F108" s="189">
        <f>F107*F104</f>
        <v>-0.52499999999999991</v>
      </c>
      <c r="G108" s="189"/>
      <c r="H108" s="189">
        <f>H107*H104</f>
        <v>-0.44999999999999996</v>
      </c>
      <c r="I108" s="189">
        <f>I107*I104</f>
        <v>0.22000000000000003</v>
      </c>
      <c r="J108" s="189">
        <f>J107*J104</f>
        <v>-0.44999999999999996</v>
      </c>
      <c r="K108" s="229"/>
    </row>
    <row r="109" spans="2:11" x14ac:dyDescent="0.3">
      <c r="B109" s="638" t="s">
        <v>12</v>
      </c>
      <c r="C109" s="676"/>
      <c r="D109" s="200">
        <f>D108*$D101</f>
        <v>-251630752.50000006</v>
      </c>
      <c r="E109" s="200">
        <f t="shared" ref="E109:J109" si="0">E108*$D101</f>
        <v>288326903.90625006</v>
      </c>
      <c r="F109" s="200">
        <f>F108*$D101</f>
        <v>-550442271.09375</v>
      </c>
      <c r="G109" s="200"/>
      <c r="H109" s="200">
        <f>H108*$D101</f>
        <v>-471807660.93750006</v>
      </c>
      <c r="I109" s="200">
        <f t="shared" si="0"/>
        <v>230661523.12500009</v>
      </c>
      <c r="J109" s="200">
        <f t="shared" si="0"/>
        <v>-471807660.93750006</v>
      </c>
      <c r="K109" s="230"/>
    </row>
    <row r="110" spans="2:11" x14ac:dyDescent="0.3">
      <c r="B110" s="638" t="s">
        <v>74</v>
      </c>
      <c r="C110" s="676"/>
      <c r="D110" s="247">
        <f>ABS(D109)/($K$69*$J$35*$J$35*$H$7)</f>
        <v>6.6190749289772741E-2</v>
      </c>
      <c r="E110" s="247">
        <f>ABS(E109)/($K$69*$J$34*$J$34*$H$7)</f>
        <v>0.19415953125000004</v>
      </c>
      <c r="F110" s="247">
        <f>ABS(F109)/($K$69*$J$35*$J$35*$H$7)</f>
        <v>0.14479226407137785</v>
      </c>
      <c r="G110" s="249"/>
      <c r="H110" s="247">
        <f>ABS(H109)/($K$69*$J$35*$J$35*$H$7)</f>
        <v>0.12410765491832387</v>
      </c>
      <c r="I110" s="247">
        <f>ABS(I109)/($K$69*$J$34*$J$34*$H$7)</f>
        <v>0.15532762500000005</v>
      </c>
      <c r="J110" s="247">
        <f>ABS(J109)/($K$69*$J$35*$J$35*$H$7)</f>
        <v>0.12410765491832387</v>
      </c>
      <c r="K110" s="230"/>
    </row>
    <row r="111" spans="2:11" x14ac:dyDescent="0.3">
      <c r="B111" s="638" t="s">
        <v>190</v>
      </c>
      <c r="C111" s="676"/>
      <c r="D111" s="249" cm="1">
        <f t="array" ref="D111:D112">TRANSPOSE(([1]!PureBendingDesign(D110,$J$64*$E$6,$E$4)))</f>
        <v>6.8539586766858604E-2</v>
      </c>
      <c r="E111" s="249" cm="1">
        <f t="array" ref="E111:E112">TRANSPOSE(([1]!PureBendingDesign(E110,$J$64*$E$6,$E$4)))</f>
        <v>0.21789966274951669</v>
      </c>
      <c r="F111" s="249" cm="1">
        <f t="array" ref="F111:F112">TRANSPOSE(([1]!PureBendingDesign(F110,$J$64*$E$6,$E$4)))</f>
        <v>0.15713852154837205</v>
      </c>
      <c r="G111" s="249"/>
      <c r="H111" s="249" cm="1">
        <f t="array" ref="H111:H112">TRANSPOSE(([1]!PureBendingDesign(H110,$J$64*$E$6,$E$4)))</f>
        <v>0.13294481711750125</v>
      </c>
      <c r="I111" s="249" cm="1">
        <f t="array" ref="I111:I112">TRANSPOSE(([1]!PureBendingDesign(I110,$J$64*$E$6,$E$4)))</f>
        <v>0.16973212154081532</v>
      </c>
      <c r="J111" s="249" cm="1">
        <f t="array" ref="J111:J112">TRANSPOSE(([1]!PureBendingDesign(J110,$J$64*$E$6,$E$4)))</f>
        <v>0.13294481711750125</v>
      </c>
      <c r="K111" s="230"/>
    </row>
    <row r="112" spans="2:11" x14ac:dyDescent="0.3">
      <c r="B112" s="638" t="s">
        <v>191</v>
      </c>
      <c r="C112" s="676"/>
      <c r="D112" s="249">
        <v>0</v>
      </c>
      <c r="E112" s="250">
        <v>0</v>
      </c>
      <c r="F112" s="250">
        <v>0</v>
      </c>
      <c r="G112" s="251"/>
      <c r="H112" s="249">
        <v>0</v>
      </c>
      <c r="I112" s="250">
        <v>0</v>
      </c>
      <c r="J112" s="250">
        <v>0</v>
      </c>
      <c r="K112" s="230"/>
    </row>
    <row r="113" spans="2:11" x14ac:dyDescent="0.3">
      <c r="B113" s="638" t="s">
        <v>192</v>
      </c>
      <c r="C113" s="676"/>
      <c r="D113" s="247">
        <f>MAX(D111*$E$19*$J$35*$H$7/$K$8,$E$20*$J$35*$E$19)</f>
        <v>770.68957564512129</v>
      </c>
      <c r="E113" s="247">
        <f>MAX(E111*$E$19*$J$34*$H$7/$K$8,$E$20*$J$34*$E$19)</f>
        <v>1531.3504076563256</v>
      </c>
      <c r="F113" s="247">
        <f>MAX(F111*$E$19*$J$35*$H$7/$K$8,$E$20*$J$35*$E$19)</f>
        <v>1766.9353756328055</v>
      </c>
      <c r="G113" s="172"/>
      <c r="H113" s="247">
        <f>MAX(H111*$E$19*$J$35*$H$7/$K$8,$E$20*$J$35*$E$19)</f>
        <v>1494.89061025457</v>
      </c>
      <c r="I113" s="247">
        <f>MAX(I111*$E$19*$J$34*$H$7/$K$8,$E$20*$J$34*$E$19)</f>
        <v>1192.8396319396186</v>
      </c>
      <c r="J113" s="247">
        <f>MAX(J111*$E$19*$J$35*$H$7/$K$8,$E$20*$J$35*$E$19)</f>
        <v>1494.89061025457</v>
      </c>
      <c r="K113" s="230"/>
    </row>
    <row r="114" spans="2:11" x14ac:dyDescent="0.3">
      <c r="B114" s="638" t="s">
        <v>193</v>
      </c>
      <c r="C114" s="676"/>
      <c r="D114" s="247">
        <f>MAX(D112*$E$19*$J$35*$H$7/$K$8,$E$20*$J$35*$E$19)</f>
        <v>488.88888888888891</v>
      </c>
      <c r="E114" s="247">
        <f>MAX(E112*$E$19*$J$34*$H$7/$K$8,$E$20*$J$34*$E$19)</f>
        <v>305.5555555555556</v>
      </c>
      <c r="F114" s="247">
        <f>MAX(F112*$E$19*$J$35*$H$7/$K$8,$E$20*$J$35*$E$19)</f>
        <v>488.88888888888891</v>
      </c>
      <c r="G114" s="172"/>
      <c r="H114" s="247">
        <f>MAX(H112*$E$19*$J$35*$H$7/$K$8,$E$20*$J$35*$E$19)</f>
        <v>488.88888888888891</v>
      </c>
      <c r="I114" s="247">
        <f>MAX(I112*$E$19*$J$34*$H$7/$K$8,$E$20*$J$34*$E$19)</f>
        <v>305.5555555555556</v>
      </c>
      <c r="J114" s="247">
        <f>MAX(J112*$E$19*$J$35*$H$7/$K$8,$E$20*$J$35*$E$19)</f>
        <v>488.88888888888891</v>
      </c>
      <c r="K114" s="230"/>
    </row>
    <row r="115" spans="2:11" x14ac:dyDescent="0.3">
      <c r="B115" s="638" t="s">
        <v>195</v>
      </c>
      <c r="C115" s="676"/>
      <c r="D115" s="182">
        <f>IF(D$68&gt;0,D114,D113)</f>
        <v>770.68957564512129</v>
      </c>
      <c r="E115" s="178">
        <f>IF(E$68&gt;0,E114,E113)</f>
        <v>305.5555555555556</v>
      </c>
      <c r="F115" s="178">
        <f>IF(F$68&gt;0,F114,F113)</f>
        <v>1766.9353756328055</v>
      </c>
      <c r="G115" s="173"/>
      <c r="H115" s="182">
        <f>IF(H$68&gt;0,H114,H113)</f>
        <v>1494.89061025457</v>
      </c>
      <c r="I115" s="178">
        <f>IF(I$68&gt;0,I114,I113)</f>
        <v>305.5555555555556</v>
      </c>
      <c r="J115" s="178">
        <f>IF(J$68&gt;0,J114,J113)</f>
        <v>1494.89061025457</v>
      </c>
      <c r="K115" s="230"/>
    </row>
    <row r="116" spans="2:11" x14ac:dyDescent="0.3">
      <c r="B116" s="638" t="s">
        <v>25</v>
      </c>
      <c r="C116" s="676"/>
      <c r="D116" s="204">
        <f>IF(D115&gt;9*$E$21*$E$21*3.14/4,$E$22,$E$21)</f>
        <v>12</v>
      </c>
      <c r="E116" s="204">
        <f>IF(E115&gt;9*$E$21*$E$21*3.14/4,$E$22,$E$21)</f>
        <v>12</v>
      </c>
      <c r="F116" s="204">
        <f>IF(F115&gt;9*$E$21*$E$21*3.14/4,$E$22,$E$21)</f>
        <v>16</v>
      </c>
      <c r="G116" s="173"/>
      <c r="H116" s="204">
        <f>IF(H115&gt;9*$E$21*$E$21*3.14/4,$E$22,$E$21)</f>
        <v>16</v>
      </c>
      <c r="I116" s="204">
        <f>IF(I115&gt;9*$E$21*$E$21*3.14/4,$E$22,$E$21)</f>
        <v>12</v>
      </c>
      <c r="J116" s="204">
        <f>IF(J115&gt;9*$E$21*$E$21*3.14/4,$E$22,$E$21)</f>
        <v>16</v>
      </c>
      <c r="K116" s="231"/>
    </row>
    <row r="117" spans="2:11" ht="15" thickBot="1" x14ac:dyDescent="0.35">
      <c r="B117" s="641" t="s">
        <v>165</v>
      </c>
      <c r="C117" s="691"/>
      <c r="D117" s="202">
        <f>MAX(5,ROUNDUP(D115/(3.14*D116*D116/4),0))</f>
        <v>7</v>
      </c>
      <c r="E117" s="203">
        <f>MAX(5,ROUNDUP(E115/(3.14*E116*E116/4),0))</f>
        <v>5</v>
      </c>
      <c r="F117" s="203">
        <f>MAX(5,ROUNDUP(F115/(3.14*F116*F116/4),0))</f>
        <v>9</v>
      </c>
      <c r="G117" s="7"/>
      <c r="H117" s="244">
        <f>MAX(5,ROUNDUP(H115/(3.14*H116*H116/4),0))</f>
        <v>8</v>
      </c>
      <c r="I117" s="244">
        <f>MAX(5,ROUNDUP(I115/(3.14*I116*I116/4),0))</f>
        <v>5</v>
      </c>
      <c r="J117" s="244">
        <f>MAX(5,ROUNDUP(J115/(3.14*J116*J116/4),0))</f>
        <v>8</v>
      </c>
      <c r="K117" s="232"/>
    </row>
    <row r="118" spans="2:11" x14ac:dyDescent="0.3">
      <c r="B118" s="638" t="s">
        <v>194</v>
      </c>
      <c r="C118" s="676"/>
      <c r="D118" s="182">
        <f>IF(D$68&gt;0,D113,D114)</f>
        <v>488.88888888888891</v>
      </c>
      <c r="E118" s="178">
        <f>IF(E$68&gt;0,E113,E114)</f>
        <v>1531.3504076563256</v>
      </c>
      <c r="F118" s="179">
        <f>IF(F$68&gt;0,F113,F114)</f>
        <v>488.88888888888891</v>
      </c>
      <c r="G118" s="173"/>
      <c r="H118" s="243">
        <f>IF(H$68&gt;0,H113,H114)</f>
        <v>488.88888888888891</v>
      </c>
      <c r="I118" s="243">
        <f>IF(I$68&gt;0,I113,I114)</f>
        <v>1192.8396319396186</v>
      </c>
      <c r="J118" s="255">
        <f>IF(J$68&gt;0,J113,J114)</f>
        <v>488.88888888888891</v>
      </c>
      <c r="K118" s="230"/>
    </row>
    <row r="119" spans="2:11" x14ac:dyDescent="0.3">
      <c r="B119" s="638" t="s">
        <v>25</v>
      </c>
      <c r="C119" s="676"/>
      <c r="D119" s="204">
        <f>IF(D118&gt;9*$E$21*$E$21*3.14/4,$E$22,$E$21)</f>
        <v>12</v>
      </c>
      <c r="E119" s="204">
        <f>IF(E118&gt;9*$E$21*$E$21*3.14/4,$E$22,$E$21)</f>
        <v>16</v>
      </c>
      <c r="F119" s="204">
        <f>IF(F118&gt;9*$E$21*$E$21*3.14/4,$E$22,$E$21)</f>
        <v>12</v>
      </c>
      <c r="G119" s="173"/>
      <c r="H119" s="204">
        <f>IF(H118&gt;9*$E$21*$E$21*3.14/4,$E$22,$E$21)</f>
        <v>12</v>
      </c>
      <c r="I119" s="204">
        <f>IF(I118&gt;9*$E$21*$E$21*3.14/4,$E$22,$E$21)</f>
        <v>16</v>
      </c>
      <c r="J119" s="204">
        <f>IF(J118&gt;9*$E$21*$E$21*3.14/4,$E$22,$E$21)</f>
        <v>12</v>
      </c>
      <c r="K119" s="231"/>
    </row>
    <row r="120" spans="2:11" ht="15" thickBot="1" x14ac:dyDescent="0.35">
      <c r="B120" s="638" t="s">
        <v>165</v>
      </c>
      <c r="C120" s="676"/>
      <c r="D120" s="202">
        <f>MAX(5,ROUNDUP(D118/(3.14*D119*D119/4),0))</f>
        <v>5</v>
      </c>
      <c r="E120" s="203">
        <f>MAX(5,ROUNDUP(E118/(3.14*E119*E119/4),0))</f>
        <v>8</v>
      </c>
      <c r="F120" s="203">
        <f>MAX(5,ROUNDUP(F118/(3.14*F119*F119/4),0))</f>
        <v>5</v>
      </c>
      <c r="G120" s="7"/>
      <c r="H120" s="203">
        <f>MAX(5,ROUNDUP(H118/(3.14*H119*H119/4),0))</f>
        <v>5</v>
      </c>
      <c r="I120" s="203">
        <f>MAX(5,ROUNDUP(I118/(3.14*I119*I119/4),0))</f>
        <v>6</v>
      </c>
      <c r="J120" s="203">
        <f>MAX(5,ROUNDUP(J118/(3.14*J119*J119/4),0))</f>
        <v>5</v>
      </c>
      <c r="K120" s="232"/>
    </row>
    <row r="121" spans="2:11" ht="15" thickBot="1" x14ac:dyDescent="0.35">
      <c r="B121" s="692" t="s">
        <v>267</v>
      </c>
      <c r="C121" s="693"/>
      <c r="D121" s="673" t="s">
        <v>265</v>
      </c>
      <c r="E121" s="674"/>
      <c r="F121" s="674"/>
      <c r="G121" s="674"/>
      <c r="H121" s="689"/>
      <c r="I121" s="689"/>
      <c r="J121" s="690"/>
      <c r="K121" s="252">
        <f>D27-K106</f>
        <v>3375</v>
      </c>
    </row>
    <row r="122" spans="2:11" x14ac:dyDescent="0.3">
      <c r="B122" s="638" t="s">
        <v>258</v>
      </c>
      <c r="C122" s="676"/>
      <c r="D122" s="190">
        <f>IF($D$35=1,25%,20%)</f>
        <v>0.25</v>
      </c>
      <c r="E122" s="190">
        <v>0.45</v>
      </c>
      <c r="F122" s="190">
        <v>0.2</v>
      </c>
      <c r="G122" s="175"/>
      <c r="H122" s="190">
        <v>0.2</v>
      </c>
      <c r="I122" s="190">
        <v>0.45</v>
      </c>
      <c r="J122" s="191">
        <v>0.2</v>
      </c>
      <c r="K122" s="217"/>
    </row>
    <row r="123" spans="2:11" x14ac:dyDescent="0.3">
      <c r="B123" s="638" t="s">
        <v>12</v>
      </c>
      <c r="C123" s="676"/>
      <c r="D123" s="200">
        <f>D105*D122</f>
        <v>-78634610.156250015</v>
      </c>
      <c r="E123" s="200">
        <f>E105*E122</f>
        <v>235903830.46875006</v>
      </c>
      <c r="F123" s="200">
        <f>F105*F122</f>
        <v>-146784605.62500003</v>
      </c>
      <c r="G123" s="171"/>
      <c r="H123" s="200">
        <f>H105*H122</f>
        <v>-125815376.25000003</v>
      </c>
      <c r="I123" s="200">
        <f>I105*I122</f>
        <v>188723064.37500006</v>
      </c>
      <c r="J123" s="200">
        <f>J105*J122</f>
        <v>-125815376.25000003</v>
      </c>
      <c r="K123" s="217"/>
    </row>
    <row r="124" spans="2:11" x14ac:dyDescent="0.3">
      <c r="B124" s="638" t="s">
        <v>74</v>
      </c>
      <c r="C124" s="676"/>
      <c r="D124" s="247">
        <f>ABS(D123)/($K$69*$J$35*$J$35*$H$7)</f>
        <v>2.0684609153053982E-2</v>
      </c>
      <c r="E124" s="247">
        <f>ABS(E123)/($K$69*$J$34*$J$34*$H$7)</f>
        <v>0.15885779829545457</v>
      </c>
      <c r="F124" s="247">
        <f>ABS(F123)/($K$69*$J$35*$J$35*$H$7)</f>
        <v>3.8611270419034102E-2</v>
      </c>
      <c r="G124" s="172"/>
      <c r="H124" s="247">
        <f>ABS(H123)/($K$69*$J$35*$J$35*$H$7)</f>
        <v>3.309537464488637E-2</v>
      </c>
      <c r="I124" s="247">
        <f>ABS(I123)/($K$69*$J$34*$J$34*$H$7)</f>
        <v>0.12708623863636367</v>
      </c>
      <c r="J124" s="247">
        <f>ABS(J123)/($K$69*$J$35*$J$35*$H$7)</f>
        <v>3.309537464488637E-2</v>
      </c>
      <c r="K124" s="217"/>
    </row>
    <row r="125" spans="2:11" x14ac:dyDescent="0.3">
      <c r="B125" s="638" t="s">
        <v>190</v>
      </c>
      <c r="C125" s="676"/>
      <c r="D125" s="249" cm="1">
        <f t="array" ref="D125:D126">TRANSPOSE(([1]!PureBendingDesign(D124,$J$64*$E$6,$E$4)))</f>
        <v>2.0903078498409312E-2</v>
      </c>
      <c r="E125" s="249" cm="1">
        <f t="array" ref="E125:E126">TRANSPOSE(([1]!PureBendingDesign(E124,$J$64*$E$6,$E$4)))</f>
        <v>0.17399491320536048</v>
      </c>
      <c r="F125" s="249" cm="1">
        <f t="array" ref="F125:F126">TRANSPOSE(([1]!PureBendingDesign(F124,$J$64*$E$6,$E$4)))</f>
        <v>3.9386935773861237E-2</v>
      </c>
      <c r="G125" s="172"/>
      <c r="H125" s="249" cm="1">
        <f t="array" ref="H125:H126">TRANSPOSE(([1]!PureBendingDesign(H124,$J$64*$E$6,$E$4)))</f>
        <v>3.366193766869182E-2</v>
      </c>
      <c r="I125" s="249" cm="1">
        <f t="array" ref="I125:I126">TRANSPOSE(([1]!PureBendingDesign(I124,$J$64*$E$6,$E$4)))</f>
        <v>0.13638693691714976</v>
      </c>
      <c r="J125" s="249" cm="1">
        <f t="array" ref="J125:J126">TRANSPOSE(([1]!PureBendingDesign(J124,$J$64*$E$6,$E$4)))</f>
        <v>3.366193766869182E-2</v>
      </c>
      <c r="K125" s="217"/>
    </row>
    <row r="126" spans="2:11" x14ac:dyDescent="0.3">
      <c r="B126" s="638" t="s">
        <v>191</v>
      </c>
      <c r="C126" s="676"/>
      <c r="D126" s="249">
        <v>0</v>
      </c>
      <c r="E126" s="250">
        <v>0</v>
      </c>
      <c r="F126" s="250">
        <v>0</v>
      </c>
      <c r="G126" s="7"/>
      <c r="H126" s="249">
        <v>0</v>
      </c>
      <c r="I126" s="250">
        <v>0</v>
      </c>
      <c r="J126" s="250">
        <v>0</v>
      </c>
      <c r="K126" s="217"/>
    </row>
    <row r="127" spans="2:11" x14ac:dyDescent="0.3">
      <c r="B127" s="638" t="s">
        <v>192</v>
      </c>
      <c r="C127" s="676"/>
      <c r="D127" s="247">
        <f>MAX(D125*$E$19*$J$35*$H$7/$K$8,$E$20*$J$35*$E$19)</f>
        <v>488.88888888888891</v>
      </c>
      <c r="E127" s="247">
        <f>MAX(E125*$E$19*$J$34*$H$7/$K$8,$E$20*$J$34*$E$19)</f>
        <v>1222.7975844710056</v>
      </c>
      <c r="F127" s="247">
        <f>MAX(F125*$E$19*$J$35*$H$7/$K$8,$E$20*$J$35*$E$19)</f>
        <v>488.88888888888891</v>
      </c>
      <c r="G127" s="172"/>
      <c r="H127" s="247">
        <f>MAX(H125*$E$19*$J$35*$H$7/$K$8,$E$20*$J$35*$E$19)</f>
        <v>488.88888888888891</v>
      </c>
      <c r="I127" s="247">
        <f>MAX(I125*$E$19*$J$34*$H$7/$K$8,$E$20*$J$34*$E$19)</f>
        <v>958.49708444552471</v>
      </c>
      <c r="J127" s="247">
        <f>MAX(J125*$E$19*$J$35*$H$7/$K$8,$E$20*$J$35*$E$19)</f>
        <v>488.88888888888891</v>
      </c>
      <c r="K127" s="217"/>
    </row>
    <row r="128" spans="2:11" x14ac:dyDescent="0.3">
      <c r="B128" s="638" t="s">
        <v>193</v>
      </c>
      <c r="C128" s="676"/>
      <c r="D128" s="247">
        <f>MAX(D126*$E$19*$J$35*$H$7/$K$8,$E$20*$J$35*$E$19)</f>
        <v>488.88888888888891</v>
      </c>
      <c r="E128" s="247">
        <f>MAX(E126*$E$19*$J$34*$H$7/$K$8,$E$20*$J$34*$E$19)</f>
        <v>305.5555555555556</v>
      </c>
      <c r="F128" s="247">
        <f>MAX(F126*$E$19*$J$35*$H$7/$K$8,$E$20*$J$35*$E$19)</f>
        <v>488.88888888888891</v>
      </c>
      <c r="G128" s="172"/>
      <c r="H128" s="247">
        <f>MAX(H126*$E$19*$J$35*$H$7/$K$8,$E$20*$J$35*$E$19)</f>
        <v>488.88888888888891</v>
      </c>
      <c r="I128" s="247">
        <f>MAX(I126*$E$19*$J$34*$H$7/$K$8,$E$20*$J$34*$E$19)</f>
        <v>305.5555555555556</v>
      </c>
      <c r="J128" s="247">
        <f>MAX(J126*$E$19*$J$35*$H$7/$K$8,$E$20*$J$35*$E$19)</f>
        <v>488.88888888888891</v>
      </c>
      <c r="K128" s="217"/>
    </row>
    <row r="129" spans="2:11" x14ac:dyDescent="0.3">
      <c r="B129" s="638" t="s">
        <v>194</v>
      </c>
      <c r="C129" s="676"/>
      <c r="D129" s="182">
        <f>IF(D$68&gt;0,D128,D127)</f>
        <v>488.88888888888891</v>
      </c>
      <c r="E129" s="178">
        <f>IF(E$68&gt;0,E128,E127)</f>
        <v>305.5555555555556</v>
      </c>
      <c r="F129" s="178">
        <f>IF(F$68&gt;0,F128,F127)</f>
        <v>488.88888888888891</v>
      </c>
      <c r="G129" s="173"/>
      <c r="H129" s="182">
        <f>IF(H$68&gt;0,H128,H127)</f>
        <v>488.88888888888891</v>
      </c>
      <c r="I129" s="178">
        <f>IF(I$68&gt;0,I128,I127)</f>
        <v>305.5555555555556</v>
      </c>
      <c r="J129" s="178">
        <f>IF(J$68&gt;0,J128,J127)</f>
        <v>488.88888888888891</v>
      </c>
      <c r="K129" s="217"/>
    </row>
    <row r="130" spans="2:11" x14ac:dyDescent="0.3">
      <c r="B130" s="638" t="s">
        <v>25</v>
      </c>
      <c r="C130" s="676"/>
      <c r="D130" s="204">
        <f>IF(D129&gt;9*$E$21*$E$21*3.14/4,$E$22,$E$21)</f>
        <v>12</v>
      </c>
      <c r="E130" s="204">
        <f>IF(E129&gt;9*$E$21*$E$21*3.14/4,$E$22,$E$21)</f>
        <v>12</v>
      </c>
      <c r="F130" s="204">
        <f>IF(F129&gt;9*$E$21*$E$21*3.14/4,$E$22,$E$21)</f>
        <v>12</v>
      </c>
      <c r="G130" s="173"/>
      <c r="H130" s="204">
        <f>IF(H129&gt;9*$E$21*$E$21*3.14/4,$E$22,$E$21)</f>
        <v>12</v>
      </c>
      <c r="I130" s="204">
        <f>IF(I129&gt;9*$E$21*$E$21*3.14/4,$E$22,$E$21)</f>
        <v>12</v>
      </c>
      <c r="J130" s="204">
        <f>IF(J129&gt;9*$E$21*$E$21*3.14/4,$E$22,$E$21)</f>
        <v>12</v>
      </c>
      <c r="K130" s="217"/>
    </row>
    <row r="131" spans="2:11" x14ac:dyDescent="0.3">
      <c r="B131" s="638" t="s">
        <v>165</v>
      </c>
      <c r="C131" s="676"/>
      <c r="D131" s="202">
        <f>MAX(5,ROUNDUP(D129/(3.14*D130*D130/4),0))</f>
        <v>5</v>
      </c>
      <c r="E131" s="203">
        <f>MAX(5,ROUNDUP(E129/(3.14*E130*E130/4),0))</f>
        <v>5</v>
      </c>
      <c r="F131" s="203">
        <f>MAX(5,ROUNDUP(F129/(3.14*F130*F130/4),0))</f>
        <v>5</v>
      </c>
      <c r="G131" s="7"/>
      <c r="H131" s="203">
        <f>MAX(5,ROUNDUP(H129/(3.14*H130*H130/4),0))</f>
        <v>5</v>
      </c>
      <c r="I131" s="203">
        <f>MAX(5,ROUNDUP(I129/(3.14*I130*I130/4),0))</f>
        <v>5</v>
      </c>
      <c r="J131" s="203">
        <f>MAX(5,ROUNDUP(J129/(3.14*J130*J130/4),0))</f>
        <v>5</v>
      </c>
      <c r="K131" s="217"/>
    </row>
    <row r="132" spans="2:11" x14ac:dyDescent="0.3">
      <c r="B132" s="638" t="s">
        <v>195</v>
      </c>
      <c r="C132" s="676"/>
      <c r="D132" s="181">
        <f>IF(D$68&gt;0,D128,D127)</f>
        <v>488.88888888888891</v>
      </c>
      <c r="E132" s="177">
        <f>IF(E$68&gt;0,E128,E127)</f>
        <v>305.5555555555556</v>
      </c>
      <c r="F132" s="177">
        <f>IF(F$68&gt;0,F128,F127)</f>
        <v>488.88888888888891</v>
      </c>
      <c r="G132" s="174"/>
      <c r="H132" s="177">
        <f>IF(H$68&gt;0,H128,H127)</f>
        <v>488.88888888888891</v>
      </c>
      <c r="I132" s="177">
        <f>IF(I$68&gt;0,I128,I127)</f>
        <v>305.5555555555556</v>
      </c>
      <c r="J132" s="177">
        <f>IF(J$68&gt;0,J128,J127)</f>
        <v>488.88888888888891</v>
      </c>
      <c r="K132" s="217"/>
    </row>
    <row r="133" spans="2:11" x14ac:dyDescent="0.3">
      <c r="B133" s="638" t="s">
        <v>25</v>
      </c>
      <c r="C133" s="676"/>
      <c r="D133" s="204">
        <f>IF(D132&gt;9*$E$21*$E$21*3.14/4,$E$22,$E$21)</f>
        <v>12</v>
      </c>
      <c r="E133" s="204">
        <f>IF(E132&gt;9*$E$21*$E$21*3.14/4,$E$22,$E$21)</f>
        <v>12</v>
      </c>
      <c r="F133" s="204">
        <f>IF(F132&gt;9*$E$21*$E$21*3.14/4,$E$22,$E$21)</f>
        <v>12</v>
      </c>
      <c r="G133" s="173"/>
      <c r="H133" s="204">
        <f>IF(H132&gt;9*$E$21*$E$21*3.14/4,$E$22,$E$21)</f>
        <v>12</v>
      </c>
      <c r="I133" s="204">
        <f>IF(I132&gt;9*$E$21*$E$21*3.14/4,$E$22,$E$21)</f>
        <v>12</v>
      </c>
      <c r="J133" s="204">
        <f>IF(J132&gt;9*$E$21*$E$21*3.14/4,$E$22,$E$21)</f>
        <v>12</v>
      </c>
      <c r="K133" s="217"/>
    </row>
    <row r="134" spans="2:11" ht="15" thickBot="1" x14ac:dyDescent="0.35">
      <c r="B134" s="703" t="s">
        <v>165</v>
      </c>
      <c r="C134" s="704"/>
      <c r="D134" s="234">
        <f>MAX(5,ROUNDUP(D132/(3.14*D133*D133/4),0))</f>
        <v>5</v>
      </c>
      <c r="E134" s="235">
        <f>MAX(5,ROUNDUP(E132/(3.14*E133*E133/4),0))</f>
        <v>5</v>
      </c>
      <c r="F134" s="235">
        <f>MAX(5,ROUNDUP(F132/(3.14*F133*F133/4),0))</f>
        <v>5</v>
      </c>
      <c r="G134" s="236"/>
      <c r="H134" s="235">
        <f>MAX(5,ROUNDUP(H132/(3.14*H133*H133/4),0))</f>
        <v>5</v>
      </c>
      <c r="I134" s="235">
        <f>MAX(5,ROUNDUP(I132/(3.14*I133*I133/4),0))</f>
        <v>5</v>
      </c>
      <c r="J134" s="235">
        <f>MAX(5,ROUNDUP(J132/(3.14*J133*J133/4),0))</f>
        <v>5</v>
      </c>
      <c r="K134" s="237"/>
    </row>
  </sheetData>
  <mergeCells count="138">
    <mergeCell ref="B2:K2"/>
    <mergeCell ref="B26:D26"/>
    <mergeCell ref="B28:D28"/>
    <mergeCell ref="B27:C27"/>
    <mergeCell ref="B29:C29"/>
    <mergeCell ref="B98:C98"/>
    <mergeCell ref="B84:C84"/>
    <mergeCell ref="B24:K24"/>
    <mergeCell ref="B37:K37"/>
    <mergeCell ref="B47:K47"/>
    <mergeCell ref="B62:K62"/>
    <mergeCell ref="D63:K63"/>
    <mergeCell ref="B86:C86"/>
    <mergeCell ref="H48:K48"/>
    <mergeCell ref="B97:C97"/>
    <mergeCell ref="B21:D21"/>
    <mergeCell ref="B22:D22"/>
    <mergeCell ref="H64:I64"/>
    <mergeCell ref="C49:C50"/>
    <mergeCell ref="D49:D50"/>
    <mergeCell ref="E49:F49"/>
    <mergeCell ref="H49:H50"/>
    <mergeCell ref="I49:I50"/>
    <mergeCell ref="D64:F64"/>
    <mergeCell ref="B132:C132"/>
    <mergeCell ref="B133:C133"/>
    <mergeCell ref="B134:C134"/>
    <mergeCell ref="B85:C85"/>
    <mergeCell ref="B87:C87"/>
    <mergeCell ref="B88:C88"/>
    <mergeCell ref="B89:C89"/>
    <mergeCell ref="B90:C90"/>
    <mergeCell ref="B91:C91"/>
    <mergeCell ref="B92:C92"/>
    <mergeCell ref="B126:C126"/>
    <mergeCell ref="B127:C127"/>
    <mergeCell ref="B128:C128"/>
    <mergeCell ref="B129:C129"/>
    <mergeCell ref="B130:C130"/>
    <mergeCell ref="B131:C131"/>
    <mergeCell ref="B121:C121"/>
    <mergeCell ref="B122:C122"/>
    <mergeCell ref="B123:C123"/>
    <mergeCell ref="B124:C124"/>
    <mergeCell ref="B125:C125"/>
    <mergeCell ref="B94:C94"/>
    <mergeCell ref="B95:C95"/>
    <mergeCell ref="B96:C96"/>
    <mergeCell ref="B93:C93"/>
    <mergeCell ref="B82:C82"/>
    <mergeCell ref="B83:C83"/>
    <mergeCell ref="B116:C116"/>
    <mergeCell ref="B69:C69"/>
    <mergeCell ref="B113:C113"/>
    <mergeCell ref="B114:C114"/>
    <mergeCell ref="H101:I101"/>
    <mergeCell ref="D102:F102"/>
    <mergeCell ref="H102:J102"/>
    <mergeCell ref="B104:C104"/>
    <mergeCell ref="B105:C105"/>
    <mergeCell ref="D100:K100"/>
    <mergeCell ref="B79:C79"/>
    <mergeCell ref="B80:C80"/>
    <mergeCell ref="D69:J69"/>
    <mergeCell ref="B72:C72"/>
    <mergeCell ref="B81:C81"/>
    <mergeCell ref="B100:C100"/>
    <mergeCell ref="D101:F101"/>
    <mergeCell ref="B102:C103"/>
    <mergeCell ref="B118:C118"/>
    <mergeCell ref="B119:C119"/>
    <mergeCell ref="B120:C120"/>
    <mergeCell ref="B115:C115"/>
    <mergeCell ref="D106:J106"/>
    <mergeCell ref="D121:J121"/>
    <mergeCell ref="B109:C109"/>
    <mergeCell ref="B110:C110"/>
    <mergeCell ref="B111:C111"/>
    <mergeCell ref="B112:C112"/>
    <mergeCell ref="B107:C107"/>
    <mergeCell ref="B108:C108"/>
    <mergeCell ref="B117:C117"/>
    <mergeCell ref="B106:C106"/>
    <mergeCell ref="D65:F65"/>
    <mergeCell ref="H65:J65"/>
    <mergeCell ref="D84:J84"/>
    <mergeCell ref="B70:C70"/>
    <mergeCell ref="B74:C74"/>
    <mergeCell ref="B75:C75"/>
    <mergeCell ref="B76:C76"/>
    <mergeCell ref="B77:C77"/>
    <mergeCell ref="B78:C78"/>
    <mergeCell ref="B71:C71"/>
    <mergeCell ref="B68:C68"/>
    <mergeCell ref="B73:C73"/>
    <mergeCell ref="D66:F66"/>
    <mergeCell ref="H66:J66"/>
    <mergeCell ref="B67:C67"/>
    <mergeCell ref="B64:C66"/>
    <mergeCell ref="B35:C35"/>
    <mergeCell ref="B3:E3"/>
    <mergeCell ref="J49:K49"/>
    <mergeCell ref="B44:D44"/>
    <mergeCell ref="B48:F48"/>
    <mergeCell ref="F43:G43"/>
    <mergeCell ref="F41:G41"/>
    <mergeCell ref="B41:C41"/>
    <mergeCell ref="B42:C42"/>
    <mergeCell ref="B43:C43"/>
    <mergeCell ref="B18:D18"/>
    <mergeCell ref="F39:H39"/>
    <mergeCell ref="B39:D39"/>
    <mergeCell ref="B40:C40"/>
    <mergeCell ref="B38:H38"/>
    <mergeCell ref="F40:G40"/>
    <mergeCell ref="B19:D19"/>
    <mergeCell ref="B31:C31"/>
    <mergeCell ref="B32:C32"/>
    <mergeCell ref="F30:G30"/>
    <mergeCell ref="I30:J30"/>
    <mergeCell ref="B36:C36"/>
    <mergeCell ref="G3:H3"/>
    <mergeCell ref="J3:K3"/>
    <mergeCell ref="B4:D4"/>
    <mergeCell ref="B5:D5"/>
    <mergeCell ref="B6:D6"/>
    <mergeCell ref="B7:D7"/>
    <mergeCell ref="B8:D8"/>
    <mergeCell ref="B33:C33"/>
    <mergeCell ref="B34:C34"/>
    <mergeCell ref="B30:C30"/>
    <mergeCell ref="B9:D9"/>
    <mergeCell ref="B14:E14"/>
    <mergeCell ref="B15:D15"/>
    <mergeCell ref="B16:D16"/>
    <mergeCell ref="B25:C25"/>
    <mergeCell ref="B17:D17"/>
    <mergeCell ref="B20:D20"/>
  </mergeCells>
  <conditionalFormatting sqref="G31">
    <cfRule type="cellIs" dxfId="3" priority="1" operator="lessThan">
      <formula>$G$32</formula>
    </cfRule>
    <cfRule type="cellIs" dxfId="2" priority="2" operator="greaterThan">
      <formula>$G$32</formula>
    </cfRule>
    <cfRule type="cellIs" dxfId="1" priority="4" operator="lessThan">
      <formula>$G$31</formula>
    </cfRule>
    <cfRule type="cellIs" dxfId="0" priority="5" operator="greaterThan">
      <formula>$G$31</formula>
    </cfRule>
  </conditionalFormatting>
  <pageMargins left="0.7" right="0.7" top="0.75" bottom="0.75" header="0.3" footer="0.3"/>
  <pageSetup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8176E-9289-4922-980E-B013517410C9}">
  <sheetPr codeName="Sheet4"/>
  <dimension ref="B2:T49"/>
  <sheetViews>
    <sheetView topLeftCell="A14" workbookViewId="0">
      <selection activeCell="C7" sqref="C7:F7"/>
    </sheetView>
  </sheetViews>
  <sheetFormatPr defaultRowHeight="14.4" x14ac:dyDescent="0.3"/>
  <cols>
    <col min="2" max="2" width="8.88671875" style="2"/>
    <col min="3" max="3" width="11.6640625" bestFit="1" customWidth="1"/>
  </cols>
  <sheetData>
    <row r="2" spans="2:20" x14ac:dyDescent="0.3">
      <c r="N2" t="s">
        <v>444</v>
      </c>
      <c r="O2" t="s">
        <v>445</v>
      </c>
    </row>
    <row r="3" spans="2:20" x14ac:dyDescent="0.3">
      <c r="B3" s="2" t="s">
        <v>294</v>
      </c>
      <c r="C3" s="103">
        <v>4.38</v>
      </c>
      <c r="D3" s="103">
        <v>3.75</v>
      </c>
      <c r="E3" s="103">
        <v>5.16</v>
      </c>
      <c r="F3" s="103">
        <v>3.8</v>
      </c>
      <c r="G3" s="60"/>
      <c r="H3" s="103"/>
      <c r="I3" s="60"/>
      <c r="J3" s="2"/>
      <c r="K3" t="s">
        <v>92</v>
      </c>
      <c r="L3">
        <f>O3/N3</f>
        <v>0.84883720930232553</v>
      </c>
      <c r="M3" t="s">
        <v>401</v>
      </c>
      <c r="N3">
        <v>5.16</v>
      </c>
      <c r="O3">
        <v>4.38</v>
      </c>
    </row>
    <row r="4" spans="2:20" x14ac:dyDescent="0.3">
      <c r="B4" s="2" t="s">
        <v>274</v>
      </c>
      <c r="C4" s="103">
        <v>1000</v>
      </c>
      <c r="D4" s="103">
        <v>1000</v>
      </c>
      <c r="E4" s="103">
        <v>1000</v>
      </c>
      <c r="F4" s="103">
        <v>1000</v>
      </c>
      <c r="G4" s="103"/>
      <c r="H4" s="103"/>
      <c r="I4" s="60"/>
      <c r="J4" s="2"/>
      <c r="K4" t="s">
        <v>73</v>
      </c>
      <c r="L4">
        <v>1.5</v>
      </c>
      <c r="M4" t="s">
        <v>144</v>
      </c>
      <c r="N4">
        <f>1-0.3/L3</f>
        <v>0.64657534246575343</v>
      </c>
      <c r="O4">
        <f>0.3/L3</f>
        <v>0.35342465753424657</v>
      </c>
    </row>
    <row r="5" spans="2:20" x14ac:dyDescent="0.3">
      <c r="B5" s="2" t="s">
        <v>388</v>
      </c>
      <c r="C5" s="103">
        <v>10</v>
      </c>
      <c r="D5" s="103">
        <v>10</v>
      </c>
      <c r="E5" s="103">
        <v>10</v>
      </c>
      <c r="F5" s="103">
        <v>10</v>
      </c>
      <c r="G5" s="103"/>
      <c r="H5" s="103"/>
      <c r="I5" s="60"/>
      <c r="J5" s="2"/>
      <c r="M5" t="s">
        <v>73</v>
      </c>
      <c r="N5">
        <f>L4*N4</f>
        <v>0.96986301369863015</v>
      </c>
      <c r="O5">
        <f>L4*O4</f>
        <v>0.53013698630136985</v>
      </c>
    </row>
    <row r="6" spans="2:20" x14ac:dyDescent="0.3">
      <c r="B6" s="2" t="s">
        <v>204</v>
      </c>
      <c r="C6" s="60">
        <f>C5*C4*C4*C4/C3</f>
        <v>2283105022.8310504</v>
      </c>
      <c r="D6" s="60">
        <f t="shared" ref="D6:F6" si="0">D5*D4*D4*D4/D3</f>
        <v>2666666666.6666665</v>
      </c>
      <c r="E6" s="60">
        <f t="shared" si="0"/>
        <v>1937984496.1240311</v>
      </c>
      <c r="F6" s="60">
        <f t="shared" si="0"/>
        <v>2631578947.3684211</v>
      </c>
      <c r="G6" s="60"/>
      <c r="H6" s="60"/>
      <c r="I6" s="60"/>
    </row>
    <row r="7" spans="2:20" x14ac:dyDescent="0.3">
      <c r="B7" s="2" t="s">
        <v>391</v>
      </c>
      <c r="C7" s="103">
        <v>0.8</v>
      </c>
      <c r="D7" s="103">
        <v>0.8</v>
      </c>
      <c r="E7" s="103">
        <v>0.8</v>
      </c>
      <c r="F7" s="103">
        <v>0.8</v>
      </c>
      <c r="G7" s="60"/>
      <c r="H7" s="60"/>
      <c r="I7" s="60"/>
    </row>
    <row r="10" spans="2:20" x14ac:dyDescent="0.3">
      <c r="B10" s="2" t="s">
        <v>385</v>
      </c>
      <c r="C10" s="520">
        <v>1</v>
      </c>
      <c r="D10" s="520"/>
      <c r="E10" s="520">
        <v>2</v>
      </c>
      <c r="F10" s="520"/>
      <c r="G10" s="520">
        <v>3</v>
      </c>
      <c r="H10" s="520"/>
      <c r="I10" s="520">
        <v>4</v>
      </c>
      <c r="J10" s="520"/>
      <c r="K10" s="520">
        <v>5</v>
      </c>
      <c r="L10" s="520"/>
      <c r="M10" s="520">
        <v>6</v>
      </c>
      <c r="N10" s="520"/>
      <c r="O10" s="520">
        <v>7</v>
      </c>
      <c r="P10" s="520"/>
      <c r="Q10" s="520">
        <v>8</v>
      </c>
      <c r="R10" s="520"/>
      <c r="S10" s="520"/>
      <c r="T10" s="520"/>
    </row>
    <row r="11" spans="2:20" x14ac:dyDescent="0.3">
      <c r="B11" s="2" t="s">
        <v>387</v>
      </c>
      <c r="C11" t="s">
        <v>281</v>
      </c>
      <c r="D11" t="s">
        <v>22</v>
      </c>
      <c r="E11" t="s">
        <v>281</v>
      </c>
      <c r="F11" t="s">
        <v>22</v>
      </c>
      <c r="G11" t="s">
        <v>281</v>
      </c>
      <c r="H11" t="s">
        <v>22</v>
      </c>
      <c r="I11" t="s">
        <v>281</v>
      </c>
      <c r="J11" t="s">
        <v>22</v>
      </c>
      <c r="K11" t="s">
        <v>281</v>
      </c>
      <c r="L11" t="s">
        <v>22</v>
      </c>
      <c r="M11" t="s">
        <v>281</v>
      </c>
      <c r="N11" t="s">
        <v>22</v>
      </c>
      <c r="O11" t="s">
        <v>281</v>
      </c>
      <c r="P11" t="s">
        <v>22</v>
      </c>
      <c r="Q11" t="s">
        <v>281</v>
      </c>
      <c r="R11" t="s">
        <v>22</v>
      </c>
    </row>
    <row r="12" spans="2:20" x14ac:dyDescent="0.3">
      <c r="B12" s="2" t="s">
        <v>389</v>
      </c>
      <c r="C12" s="415" cm="1">
        <f t="array" ref="C12:L12">[1]!calcM_Df(C6:INDEX(C6:I6,COUNT(C6:I6)))</f>
        <v>0</v>
      </c>
      <c r="D12" s="415">
        <v>1</v>
      </c>
      <c r="E12" s="415">
        <v>0.46125461254612549</v>
      </c>
      <c r="F12" s="415">
        <v>0.53874538745387446</v>
      </c>
      <c r="G12" s="415">
        <v>0.57912457912457915</v>
      </c>
      <c r="H12" s="415">
        <v>0.4208754208754209</v>
      </c>
      <c r="I12" s="415">
        <v>0.42410714285714285</v>
      </c>
      <c r="J12" s="415">
        <v>0.5758928571428571</v>
      </c>
      <c r="K12" s="415">
        <v>1</v>
      </c>
      <c r="L12" s="415">
        <v>0</v>
      </c>
      <c r="M12" s="415"/>
      <c r="N12" s="415"/>
      <c r="O12" s="415"/>
      <c r="P12" s="415"/>
      <c r="Q12" s="415"/>
      <c r="R12" s="415"/>
    </row>
    <row r="13" spans="2:20" x14ac:dyDescent="0.3">
      <c r="B13" s="2" t="s">
        <v>386</v>
      </c>
      <c r="C13" s="415">
        <v>0</v>
      </c>
      <c r="D13" s="415" cm="1">
        <f t="array" ref="D13">IFERROR(INDEX($C$7:$I$7,C10)*INDEX($C$3:$I$3,C10)*INDEX($C$3:$I$3,C10)/12,0)</f>
        <v>1.2789599999999999</v>
      </c>
      <c r="E13" s="415">
        <f>IFERROR(-D13,0)</f>
        <v>-1.2789599999999999</v>
      </c>
      <c r="F13" s="415" cm="1">
        <f t="array" ref="F13">IFERROR(INDEX($C$7:$I$7,E10)*INDEX($C$3:$I$3,E10)*INDEX($C$3:$I$3,E10)/12,0)</f>
        <v>0.9375</v>
      </c>
      <c r="G13" s="415">
        <f t="shared" ref="G13" si="1">IFERROR(-F13,0)</f>
        <v>-0.9375</v>
      </c>
      <c r="H13" s="415" cm="1">
        <f t="array" ref="H13">IFERROR(INDEX($C$7:$I$7,G10)*INDEX($C$3:$I$3,G10)*INDEX($C$3:$I$3,G10)/12,0)</f>
        <v>1.77504</v>
      </c>
      <c r="I13" s="415">
        <f t="shared" ref="I13" si="2">IFERROR(-H13,0)</f>
        <v>-1.77504</v>
      </c>
      <c r="J13" s="415" cm="1">
        <f t="array" ref="J13">IFERROR(INDEX($C$7:$I$7,I10)*INDEX($C$3:$I$3,I10)*INDEX($C$3:$I$3,I10)/12,0)</f>
        <v>0.96266666666666667</v>
      </c>
      <c r="K13" s="415">
        <f t="shared" ref="K13" si="3">IFERROR(-J13,0)</f>
        <v>-0.96266666666666667</v>
      </c>
      <c r="L13" s="415" cm="1">
        <f t="array" ref="L13">IFERROR(INDEX($C$7:$I$7,K10)*INDEX($C$3:$I$3,K10)*INDEX($C$3:$I$3,K10)/12,0)</f>
        <v>0</v>
      </c>
      <c r="M13" s="415">
        <f t="shared" ref="M13" si="4">IFERROR(-L13,0)</f>
        <v>0</v>
      </c>
      <c r="N13" s="415" cm="1">
        <f t="array" ref="N13">IFERROR(INDEX($C$7:$I$7,M10)*INDEX($C$3:$I$3,M10)*INDEX($C$3:$I$3,M10)/12,0)</f>
        <v>0</v>
      </c>
      <c r="O13" s="415">
        <f t="shared" ref="O13" si="5">IFERROR(-N13,0)</f>
        <v>0</v>
      </c>
      <c r="P13" s="415" cm="1">
        <f t="array" ref="P13">IFERROR(INDEX($C$7:$I$7,O10)*INDEX($C$3:$I$3,O10)*INDEX($C$3:$I$3,O10)/12,0)</f>
        <v>0</v>
      </c>
      <c r="Q13" s="415">
        <f t="shared" ref="Q13" si="6">IFERROR(-P13,0)</f>
        <v>0</v>
      </c>
      <c r="R13" s="415" cm="1">
        <f t="array" ref="R13">IFERROR(INDEX($C$7:$I$7,Q10)*INDEX($C$3:$I$3,Q10)*INDEX($C$3:$I$3,Q10)/12,0)</f>
        <v>0</v>
      </c>
    </row>
    <row r="14" spans="2:20" x14ac:dyDescent="0.3">
      <c r="C14" s="405">
        <f>-(D13+C13)*C$12</f>
        <v>0</v>
      </c>
      <c r="D14" s="405">
        <f>-(D13+C13)*D$12</f>
        <v>-1.2789599999999999</v>
      </c>
      <c r="E14" s="405">
        <f>-(F13+E13)*E$12</f>
        <v>0.15749999999999995</v>
      </c>
      <c r="F14" s="405">
        <f>-(F13+E13)*F$12</f>
        <v>0.1839599999999999</v>
      </c>
      <c r="G14" s="405">
        <f t="shared" ref="G14" si="7">-(H13+G13)*G$12</f>
        <v>-0.48503999999999997</v>
      </c>
      <c r="H14" s="405">
        <f t="shared" ref="H14" si="8">-(H13+G13)*H$12</f>
        <v>-0.35249999999999998</v>
      </c>
      <c r="I14" s="405">
        <f t="shared" ref="I14" si="9">-(J13+I13)*I$12</f>
        <v>0.3445333333333333</v>
      </c>
      <c r="J14" s="405">
        <f t="shared" ref="J14" si="10">-(J13+I13)*J$12</f>
        <v>0.46783999999999992</v>
      </c>
      <c r="K14" s="405">
        <f t="shared" ref="K14" si="11">-(L13+K13)*K$12</f>
        <v>0.96266666666666667</v>
      </c>
      <c r="L14" s="405">
        <f t="shared" ref="L14" si="12">-(L13+K13)*L$12</f>
        <v>0</v>
      </c>
      <c r="M14" s="405">
        <f>-(N13+M13)*M$12</f>
        <v>0</v>
      </c>
      <c r="N14" s="405">
        <f>-(N13+M13)*N$12</f>
        <v>0</v>
      </c>
      <c r="O14" s="405">
        <f>-(P13+O13)*O$12</f>
        <v>0</v>
      </c>
      <c r="P14" s="405">
        <f>-(P13+O13)*P$12</f>
        <v>0</v>
      </c>
      <c r="Q14" s="405">
        <f t="shared" ref="Q14" si="13">-(R13+Q13)*Q$12</f>
        <v>0</v>
      </c>
      <c r="R14" s="405">
        <f t="shared" ref="R14" si="14">-(R13+Q13)*R$12</f>
        <v>0</v>
      </c>
    </row>
    <row r="15" spans="2:20" x14ac:dyDescent="0.3">
      <c r="C15" s="405">
        <f>0</f>
        <v>0</v>
      </c>
      <c r="D15" s="405">
        <f>E14*0.5</f>
        <v>7.8749999999999973E-2</v>
      </c>
      <c r="E15" s="405">
        <f>D14*0.5</f>
        <v>-0.63947999999999994</v>
      </c>
      <c r="F15" s="405">
        <f>G14*0.5</f>
        <v>-0.24251999999999999</v>
      </c>
      <c r="G15" s="405">
        <f t="shared" ref="G15:G17" si="15">F14*0.5</f>
        <v>9.1979999999999951E-2</v>
      </c>
      <c r="H15" s="405">
        <f t="shared" ref="H15:H17" si="16">I14*0.5</f>
        <v>0.17226666666666665</v>
      </c>
      <c r="I15" s="405">
        <f t="shared" ref="I15:I17" si="17">H14*0.5</f>
        <v>-0.17624999999999999</v>
      </c>
      <c r="J15" s="405">
        <f t="shared" ref="J15:J17" si="18">K14*0.5</f>
        <v>0.48133333333333334</v>
      </c>
      <c r="K15" s="405">
        <f t="shared" ref="K15:K17" si="19">J14*0.5</f>
        <v>0.23391999999999996</v>
      </c>
      <c r="L15" s="405">
        <f>0</f>
        <v>0</v>
      </c>
      <c r="M15" s="405">
        <f>0</f>
        <v>0</v>
      </c>
      <c r="N15" s="405">
        <f>O14*0.5</f>
        <v>0</v>
      </c>
      <c r="O15" s="405">
        <f>N14*0.5</f>
        <v>0</v>
      </c>
      <c r="P15" s="405">
        <f t="shared" ref="P15:P17" si="20">Q14*0.5</f>
        <v>0</v>
      </c>
      <c r="Q15" s="405">
        <f t="shared" ref="Q15:Q17" si="21">P14*0.5</f>
        <v>0</v>
      </c>
      <c r="R15" s="405">
        <f t="shared" ref="R15:R17" si="22">S14*0.5</f>
        <v>0</v>
      </c>
    </row>
    <row r="16" spans="2:20" x14ac:dyDescent="0.3">
      <c r="C16" s="406">
        <f t="shared" ref="C16" si="23">-(D15+C15)*C$12</f>
        <v>0</v>
      </c>
      <c r="D16" s="406">
        <f t="shared" ref="D16" si="24">-(D15+C15)*D$12</f>
        <v>-7.8749999999999973E-2</v>
      </c>
      <c r="E16" s="406">
        <f t="shared" ref="E16" si="25">-(F15+E15)*E$12</f>
        <v>0.40682656826568264</v>
      </c>
      <c r="F16" s="406">
        <f t="shared" ref="F16" si="26">-(F15+E15)*F$12</f>
        <v>0.4751734317343172</v>
      </c>
      <c r="G16" s="406">
        <f t="shared" ref="G16" si="27">-(H15+G15)*G$12</f>
        <v>-0.15303173961840627</v>
      </c>
      <c r="H16" s="406">
        <f t="shared" ref="H16" si="28">-(H15+G15)*H$12</f>
        <v>-0.11121492704826037</v>
      </c>
      <c r="I16" s="406">
        <f t="shared" ref="I16" si="29">-(J15+I15)*I$12</f>
        <v>-0.12938802083333334</v>
      </c>
      <c r="J16" s="406">
        <f t="shared" ref="J16" si="30">-(J15+I15)*J$12</f>
        <v>-0.17569531250000001</v>
      </c>
      <c r="K16" s="406">
        <f t="shared" ref="K16" si="31">-(L15+K15)*K$12</f>
        <v>-0.23391999999999996</v>
      </c>
      <c r="L16" s="406">
        <f t="shared" ref="L16" si="32">-(L15+K15)*L$12</f>
        <v>0</v>
      </c>
      <c r="M16" s="406">
        <f t="shared" ref="M16" si="33">-(N15+M15)*M$12</f>
        <v>0</v>
      </c>
      <c r="N16" s="406">
        <f t="shared" ref="N16" si="34">-(N15+M15)*N$12</f>
        <v>0</v>
      </c>
      <c r="O16" s="406">
        <f t="shared" ref="O16" si="35">-(P15+O15)*O$12</f>
        <v>0</v>
      </c>
      <c r="P16" s="406">
        <f t="shared" ref="P16" si="36">-(P15+O15)*P$12</f>
        <v>0</v>
      </c>
      <c r="Q16" s="406">
        <f t="shared" ref="Q16" si="37">-(R15+Q15)*Q$12</f>
        <v>0</v>
      </c>
      <c r="R16" s="406">
        <f t="shared" ref="R16" si="38">-(R15+Q15)*R$12</f>
        <v>0</v>
      </c>
    </row>
    <row r="17" spans="3:18" x14ac:dyDescent="0.3">
      <c r="C17" s="406">
        <f>0</f>
        <v>0</v>
      </c>
      <c r="D17" s="406">
        <f t="shared" ref="D17" si="39">E16*0.5</f>
        <v>0.20341328413284132</v>
      </c>
      <c r="E17" s="406">
        <f t="shared" ref="E17" si="40">D16*0.5</f>
        <v>-3.9374999999999986E-2</v>
      </c>
      <c r="F17" s="406">
        <f t="shared" ref="F17" si="41">G16*0.5</f>
        <v>-7.6515869809203135E-2</v>
      </c>
      <c r="G17" s="406">
        <f t="shared" si="15"/>
        <v>0.2375867158671586</v>
      </c>
      <c r="H17" s="406">
        <f t="shared" si="16"/>
        <v>-6.469401041666667E-2</v>
      </c>
      <c r="I17" s="406">
        <f t="shared" si="17"/>
        <v>-5.5607463524130187E-2</v>
      </c>
      <c r="J17" s="406">
        <f t="shared" si="18"/>
        <v>-0.11695999999999998</v>
      </c>
      <c r="K17" s="406">
        <f t="shared" si="19"/>
        <v>-8.7847656250000003E-2</v>
      </c>
      <c r="L17" s="406">
        <f>0</f>
        <v>0</v>
      </c>
      <c r="M17" s="406">
        <f>0</f>
        <v>0</v>
      </c>
      <c r="N17" s="406">
        <f t="shared" ref="N17" si="42">O16*0.5</f>
        <v>0</v>
      </c>
      <c r="O17" s="406">
        <f t="shared" ref="O17" si="43">N16*0.5</f>
        <v>0</v>
      </c>
      <c r="P17" s="406">
        <f t="shared" si="20"/>
        <v>0</v>
      </c>
      <c r="Q17" s="406">
        <f t="shared" si="21"/>
        <v>0</v>
      </c>
      <c r="R17" s="406">
        <f t="shared" si="22"/>
        <v>0</v>
      </c>
    </row>
    <row r="18" spans="3:18" x14ac:dyDescent="0.3">
      <c r="C18" s="405">
        <f t="shared" ref="C18" si="44">-(D17+C17)*C$12</f>
        <v>0</v>
      </c>
      <c r="D18" s="405">
        <f t="shared" ref="D18" si="45">-(D17+C17)*D$12</f>
        <v>-0.20341328413284132</v>
      </c>
      <c r="E18" s="405">
        <f t="shared" ref="E18" si="46">-(F17+E17)*E$12</f>
        <v>5.3455198251477459E-2</v>
      </c>
      <c r="F18" s="405">
        <f t="shared" ref="F18" si="47">-(F17+E17)*F$12</f>
        <v>6.2435671557725662E-2</v>
      </c>
      <c r="G18" s="405">
        <f t="shared" ref="G18" si="48">-(H17+G17)*G$12</f>
        <v>-0.10012641527772598</v>
      </c>
      <c r="H18" s="405">
        <f t="shared" ref="H18" si="49">-(H17+G17)*H$12</f>
        <v>-7.2766290172765966E-2</v>
      </c>
      <c r="I18" s="405">
        <f t="shared" ref="I18" si="50">-(J17+I17)*I$12</f>
        <v>7.3187093905323061E-2</v>
      </c>
      <c r="J18" s="405">
        <f t="shared" ref="J18" si="51">-(J17+I17)*J$12</f>
        <v>9.9380369618807099E-2</v>
      </c>
      <c r="K18" s="405">
        <f t="shared" ref="K18" si="52">-(L17+K17)*K$12</f>
        <v>8.7847656250000003E-2</v>
      </c>
      <c r="L18" s="405">
        <f t="shared" ref="L18" si="53">-(L17+K17)*L$12</f>
        <v>0</v>
      </c>
      <c r="M18" s="405">
        <f t="shared" ref="M18" si="54">-(N17+M17)*M$12</f>
        <v>0</v>
      </c>
      <c r="N18" s="405">
        <f t="shared" ref="N18" si="55">-(N17+M17)*N$12</f>
        <v>0</v>
      </c>
      <c r="O18" s="405">
        <f t="shared" ref="O18" si="56">-(P17+O17)*O$12</f>
        <v>0</v>
      </c>
      <c r="P18" s="405">
        <f t="shared" ref="P18" si="57">-(P17+O17)*P$12</f>
        <v>0</v>
      </c>
      <c r="Q18" s="405">
        <f t="shared" ref="Q18" si="58">-(R17+Q17)*Q$12</f>
        <v>0</v>
      </c>
      <c r="R18" s="405">
        <f t="shared" ref="R18" si="59">-(R17+Q17)*R$12</f>
        <v>0</v>
      </c>
    </row>
    <row r="19" spans="3:18" x14ac:dyDescent="0.3">
      <c r="C19" s="405">
        <f>0</f>
        <v>0</v>
      </c>
      <c r="D19" s="405">
        <f t="shared" ref="D19" si="60">E18*0.5</f>
        <v>2.672759912573873E-2</v>
      </c>
      <c r="E19" s="405">
        <f t="shared" ref="E19" si="61">D18*0.5</f>
        <v>-0.10170664206642066</v>
      </c>
      <c r="F19" s="405">
        <f t="shared" ref="F19" si="62">G18*0.5</f>
        <v>-5.0063207638862989E-2</v>
      </c>
      <c r="G19" s="405">
        <f t="shared" ref="G19" si="63">F18*0.5</f>
        <v>3.1217835778862831E-2</v>
      </c>
      <c r="H19" s="405">
        <f t="shared" ref="H19" si="64">I18*0.5</f>
        <v>3.6593546952661531E-2</v>
      </c>
      <c r="I19" s="405">
        <f t="shared" ref="I19" si="65">H18*0.5</f>
        <v>-3.6383145086382983E-2</v>
      </c>
      <c r="J19" s="405">
        <f t="shared" ref="J19" si="66">K18*0.5</f>
        <v>4.3923828125000001E-2</v>
      </c>
      <c r="K19" s="405">
        <f t="shared" ref="K19" si="67">J18*0.5</f>
        <v>4.9690184809403549E-2</v>
      </c>
      <c r="L19" s="405">
        <f>0</f>
        <v>0</v>
      </c>
      <c r="M19" s="405">
        <f>0</f>
        <v>0</v>
      </c>
      <c r="N19" s="405">
        <f t="shared" ref="N19" si="68">O18*0.5</f>
        <v>0</v>
      </c>
      <c r="O19" s="405">
        <f t="shared" ref="O19" si="69">N18*0.5</f>
        <v>0</v>
      </c>
      <c r="P19" s="405">
        <f t="shared" ref="P19" si="70">Q18*0.5</f>
        <v>0</v>
      </c>
      <c r="Q19" s="405">
        <f t="shared" ref="Q19" si="71">P18*0.5</f>
        <v>0</v>
      </c>
      <c r="R19" s="405">
        <f t="shared" ref="R19" si="72">S18*0.5</f>
        <v>0</v>
      </c>
    </row>
    <row r="20" spans="3:18" x14ac:dyDescent="0.3">
      <c r="C20" s="406">
        <f t="shared" ref="C20" si="73">-(D19+C19)*C$12</f>
        <v>0</v>
      </c>
      <c r="D20" s="406">
        <f t="shared" ref="D20" si="74">-(D19+C19)*D$12</f>
        <v>-2.672759912573873E-2</v>
      </c>
      <c r="E20" s="406">
        <f t="shared" ref="E20" si="75">-(F19+E19)*E$12</f>
        <v>7.00045432219943E-2</v>
      </c>
      <c r="F20" s="406">
        <f t="shared" ref="F20" si="76">-(F19+E19)*F$12</f>
        <v>8.1765306483289335E-2</v>
      </c>
      <c r="G20" s="406">
        <f t="shared" ref="G20" si="77">-(H19+G19)*G$12</f>
        <v>-3.92712384842498E-2</v>
      </c>
      <c r="H20" s="406">
        <f t="shared" ref="H20" si="78">-(H19+G19)*H$12</f>
        <v>-2.8540144247274562E-2</v>
      </c>
      <c r="I20" s="406">
        <f t="shared" ref="I20" si="79">-(J19+I19)*I$12</f>
        <v>-3.1980575386991819E-3</v>
      </c>
      <c r="J20" s="406">
        <f t="shared" ref="J20" si="80">-(J19+I19)*J$12</f>
        <v>-4.3426254999178364E-3</v>
      </c>
      <c r="K20" s="406">
        <f t="shared" ref="K20" si="81">-(L19+K19)*K$12</f>
        <v>-4.9690184809403549E-2</v>
      </c>
      <c r="L20" s="406">
        <f t="shared" ref="L20" si="82">-(L19+K19)*L$12</f>
        <v>0</v>
      </c>
      <c r="M20" s="406">
        <f t="shared" ref="M20" si="83">-(N19+M19)*M$12</f>
        <v>0</v>
      </c>
      <c r="N20" s="406">
        <f t="shared" ref="N20" si="84">-(N19+M19)*N$12</f>
        <v>0</v>
      </c>
      <c r="O20" s="406">
        <f t="shared" ref="O20" si="85">-(P19+O19)*O$12</f>
        <v>0</v>
      </c>
      <c r="P20" s="406">
        <f t="shared" ref="P20" si="86">-(P19+O19)*P$12</f>
        <v>0</v>
      </c>
      <c r="Q20" s="406">
        <f t="shared" ref="Q20" si="87">-(R19+Q19)*Q$12</f>
        <v>0</v>
      </c>
      <c r="R20" s="406">
        <f t="shared" ref="R20" si="88">-(R19+Q19)*R$12</f>
        <v>0</v>
      </c>
    </row>
    <row r="21" spans="3:18" x14ac:dyDescent="0.3">
      <c r="C21" s="406">
        <f>0</f>
        <v>0</v>
      </c>
      <c r="D21" s="406">
        <f t="shared" ref="D21" si="89">E20*0.5</f>
        <v>3.500227161099715E-2</v>
      </c>
      <c r="E21" s="406">
        <f t="shared" ref="E21" si="90">D20*0.5</f>
        <v>-1.3363799562869365E-2</v>
      </c>
      <c r="F21" s="406">
        <f t="shared" ref="F21" si="91">G20*0.5</f>
        <v>-1.96356192421249E-2</v>
      </c>
      <c r="G21" s="406">
        <f t="shared" ref="G21" si="92">F20*0.5</f>
        <v>4.0882653241644668E-2</v>
      </c>
      <c r="H21" s="406">
        <f t="shared" ref="H21" si="93">I20*0.5</f>
        <v>-1.5990287693495909E-3</v>
      </c>
      <c r="I21" s="406">
        <f t="shared" ref="I21" si="94">H20*0.5</f>
        <v>-1.4270072123637281E-2</v>
      </c>
      <c r="J21" s="406">
        <f t="shared" ref="J21" si="95">K20*0.5</f>
        <v>-2.4845092404701775E-2</v>
      </c>
      <c r="K21" s="406">
        <f t="shared" ref="K21" si="96">J20*0.5</f>
        <v>-2.1713127499589182E-3</v>
      </c>
      <c r="L21" s="406">
        <f>0</f>
        <v>0</v>
      </c>
      <c r="M21" s="406">
        <f>0</f>
        <v>0</v>
      </c>
      <c r="N21" s="406">
        <f t="shared" ref="N21" si="97">O20*0.5</f>
        <v>0</v>
      </c>
      <c r="O21" s="406">
        <f t="shared" ref="O21" si="98">N20*0.5</f>
        <v>0</v>
      </c>
      <c r="P21" s="406">
        <f t="shared" ref="P21" si="99">Q20*0.5</f>
        <v>0</v>
      </c>
      <c r="Q21" s="406">
        <f t="shared" ref="Q21" si="100">P20*0.5</f>
        <v>0</v>
      </c>
      <c r="R21" s="406">
        <f t="shared" ref="R21" si="101">S20*0.5</f>
        <v>0</v>
      </c>
    </row>
    <row r="22" spans="3:18" x14ac:dyDescent="0.3">
      <c r="C22" s="405">
        <f t="shared" ref="C22" si="102">-(D21+C21)*C$12</f>
        <v>0</v>
      </c>
      <c r="D22" s="405">
        <f t="shared" ref="D22" si="103">-(D21+C21)*D$12</f>
        <v>-3.500227161099715E-2</v>
      </c>
      <c r="E22" s="405">
        <f t="shared" ref="E22" si="104">-(F21+E21)*E$12</f>
        <v>1.5221134135144958E-2</v>
      </c>
      <c r="F22" s="405">
        <f t="shared" ref="F22" si="105">-(F21+E21)*F$12</f>
        <v>1.7778284669849306E-2</v>
      </c>
      <c r="G22" s="405">
        <f t="shared" ref="G22" si="106">-(H21+G21)*G$12</f>
        <v>-2.2750112489005901E-2</v>
      </c>
      <c r="H22" s="405">
        <f t="shared" ref="H22" si="107">-(H21+G21)*H$12</f>
        <v>-1.6533511983289173E-2</v>
      </c>
      <c r="I22" s="405">
        <f t="shared" ref="I22" si="108">-(J21+I21)*I$12</f>
        <v>1.6589020670500939E-2</v>
      </c>
      <c r="J22" s="405">
        <f t="shared" ref="J22" si="109">-(J21+I21)*J$12</f>
        <v>2.2526143857838115E-2</v>
      </c>
      <c r="K22" s="405">
        <f t="shared" ref="K22" si="110">-(L21+K21)*K$12</f>
        <v>2.1713127499589182E-3</v>
      </c>
      <c r="L22" s="405">
        <f t="shared" ref="L22" si="111">-(L21+K21)*L$12</f>
        <v>0</v>
      </c>
      <c r="M22" s="405">
        <f t="shared" ref="M22" si="112">-(N21+M21)*M$12</f>
        <v>0</v>
      </c>
      <c r="N22" s="405">
        <f t="shared" ref="N22" si="113">-(N21+M21)*N$12</f>
        <v>0</v>
      </c>
      <c r="O22" s="405">
        <f t="shared" ref="O22" si="114">-(P21+O21)*O$12</f>
        <v>0</v>
      </c>
      <c r="P22" s="405">
        <f t="shared" ref="P22" si="115">-(P21+O21)*P$12</f>
        <v>0</v>
      </c>
      <c r="Q22" s="405">
        <f t="shared" ref="Q22" si="116">-(R21+Q21)*Q$12</f>
        <v>0</v>
      </c>
      <c r="R22" s="405">
        <f t="shared" ref="R22" si="117">-(R21+Q21)*R$12</f>
        <v>0</v>
      </c>
    </row>
    <row r="23" spans="3:18" x14ac:dyDescent="0.3">
      <c r="C23" s="405">
        <f>0</f>
        <v>0</v>
      </c>
      <c r="D23" s="405">
        <f t="shared" ref="D23" si="118">E22*0.5</f>
        <v>7.6105670675724792E-3</v>
      </c>
      <c r="E23" s="405">
        <f t="shared" ref="E23" si="119">D22*0.5</f>
        <v>-1.7501135805498575E-2</v>
      </c>
      <c r="F23" s="405">
        <f t="shared" ref="F23" si="120">G22*0.5</f>
        <v>-1.1375056244502951E-2</v>
      </c>
      <c r="G23" s="405">
        <f t="shared" ref="G23" si="121">F22*0.5</f>
        <v>8.8891423349246532E-3</v>
      </c>
      <c r="H23" s="405">
        <f t="shared" ref="H23" si="122">I22*0.5</f>
        <v>8.2945103352504695E-3</v>
      </c>
      <c r="I23" s="405">
        <f t="shared" ref="I23" si="123">H22*0.5</f>
        <v>-8.2667559916445865E-3</v>
      </c>
      <c r="J23" s="405">
        <f t="shared" ref="J23" si="124">K22*0.5</f>
        <v>1.0856563749794591E-3</v>
      </c>
      <c r="K23" s="405">
        <f t="shared" ref="K23" si="125">J22*0.5</f>
        <v>1.1263071928919057E-2</v>
      </c>
      <c r="L23" s="405">
        <f>0</f>
        <v>0</v>
      </c>
      <c r="M23" s="405">
        <f>0</f>
        <v>0</v>
      </c>
      <c r="N23" s="405">
        <f t="shared" ref="N23" si="126">O22*0.5</f>
        <v>0</v>
      </c>
      <c r="O23" s="405">
        <f t="shared" ref="O23" si="127">N22*0.5</f>
        <v>0</v>
      </c>
      <c r="P23" s="405">
        <f t="shared" ref="P23" si="128">Q22*0.5</f>
        <v>0</v>
      </c>
      <c r="Q23" s="405">
        <f t="shared" ref="Q23" si="129">P22*0.5</f>
        <v>0</v>
      </c>
      <c r="R23" s="405">
        <f t="shared" ref="R23" si="130">S22*0.5</f>
        <v>0</v>
      </c>
    </row>
    <row r="24" spans="3:18" x14ac:dyDescent="0.3">
      <c r="C24" s="406">
        <f t="shared" ref="C24" si="131">-(D23+C23)*C$12</f>
        <v>0</v>
      </c>
      <c r="D24" s="406">
        <f t="shared" ref="D24" si="132">-(D23+C23)*D$12</f>
        <v>-7.6105670675724792E-3</v>
      </c>
      <c r="E24" s="406">
        <f t="shared" ref="E24" si="133">-(F23+E23)*E$12</f>
        <v>1.3319276775830963E-2</v>
      </c>
      <c r="F24" s="406">
        <f t="shared" ref="F24" si="134">-(F23+E23)*F$12</f>
        <v>1.5556915274170561E-2</v>
      </c>
      <c r="G24" s="406">
        <f t="shared" ref="G24" si="135">-(H23+G23)*G$12</f>
        <v>-9.9514756204381188E-3</v>
      </c>
      <c r="H24" s="406">
        <f t="shared" ref="H24" si="136">-(H23+G23)*H$12</f>
        <v>-7.2321770497370055E-3</v>
      </c>
      <c r="I24" s="406">
        <f t="shared" ref="I24" si="137">-(J23+I23)*I$12</f>
        <v>3.0455556409963711E-3</v>
      </c>
      <c r="J24" s="406">
        <f t="shared" ref="J24" si="138">-(J23+I23)*J$12</f>
        <v>4.1355439756687561E-3</v>
      </c>
      <c r="K24" s="406">
        <f t="shared" ref="K24" si="139">-(L23+K23)*K$12</f>
        <v>-1.1263071928919057E-2</v>
      </c>
      <c r="L24" s="406">
        <f t="shared" ref="L24" si="140">-(L23+K23)*L$12</f>
        <v>0</v>
      </c>
      <c r="M24" s="406">
        <f t="shared" ref="M24" si="141">-(N23+M23)*M$12</f>
        <v>0</v>
      </c>
      <c r="N24" s="406">
        <f t="shared" ref="N24" si="142">-(N23+M23)*N$12</f>
        <v>0</v>
      </c>
      <c r="O24" s="406">
        <f t="shared" ref="O24" si="143">-(P23+O23)*O$12</f>
        <v>0</v>
      </c>
      <c r="P24" s="406">
        <f t="shared" ref="P24" si="144">-(P23+O23)*P$12</f>
        <v>0</v>
      </c>
      <c r="Q24" s="406">
        <f t="shared" ref="Q24" si="145">-(R23+Q23)*Q$12</f>
        <v>0</v>
      </c>
      <c r="R24" s="406">
        <f t="shared" ref="R24" si="146">-(R23+Q23)*R$12</f>
        <v>0</v>
      </c>
    </row>
    <row r="25" spans="3:18" x14ac:dyDescent="0.3">
      <c r="C25" s="406">
        <f>0</f>
        <v>0</v>
      </c>
      <c r="D25" s="406">
        <f t="shared" ref="D25" si="147">E24*0.5</f>
        <v>6.6596383879154817E-3</v>
      </c>
      <c r="E25" s="406">
        <f t="shared" ref="E25" si="148">D24*0.5</f>
        <v>-3.8052835337862396E-3</v>
      </c>
      <c r="F25" s="406">
        <f t="shared" ref="F25" si="149">G24*0.5</f>
        <v>-4.9757378102190594E-3</v>
      </c>
      <c r="G25" s="406">
        <f t="shared" ref="G25" si="150">F24*0.5</f>
        <v>7.7784576370852803E-3</v>
      </c>
      <c r="H25" s="406">
        <f t="shared" ref="H25" si="151">I24*0.5</f>
        <v>1.5227778204981856E-3</v>
      </c>
      <c r="I25" s="406">
        <f t="shared" ref="I25" si="152">H24*0.5</f>
        <v>-3.6160885248685028E-3</v>
      </c>
      <c r="J25" s="406">
        <f t="shared" ref="J25" si="153">K24*0.5</f>
        <v>-5.6315359644595287E-3</v>
      </c>
      <c r="K25" s="406">
        <f t="shared" ref="K25" si="154">J24*0.5</f>
        <v>2.067771987834378E-3</v>
      </c>
      <c r="L25" s="406">
        <f>0</f>
        <v>0</v>
      </c>
      <c r="M25" s="406">
        <f>0</f>
        <v>0</v>
      </c>
      <c r="N25" s="406">
        <f t="shared" ref="N25" si="155">O24*0.5</f>
        <v>0</v>
      </c>
      <c r="O25" s="406">
        <f t="shared" ref="O25" si="156">N24*0.5</f>
        <v>0</v>
      </c>
      <c r="P25" s="406">
        <f t="shared" ref="P25" si="157">Q24*0.5</f>
        <v>0</v>
      </c>
      <c r="Q25" s="406">
        <f t="shared" ref="Q25" si="158">P24*0.5</f>
        <v>0</v>
      </c>
      <c r="R25" s="406">
        <f t="shared" ref="R25" si="159">S24*0.5</f>
        <v>0</v>
      </c>
    </row>
    <row r="26" spans="3:18" x14ac:dyDescent="0.3">
      <c r="C26" s="405">
        <f t="shared" ref="C26" si="160">-(D25+C25)*C$12</f>
        <v>0</v>
      </c>
      <c r="D26" s="405">
        <f t="shared" ref="D26" si="161">-(D25+C25)*D$12</f>
        <v>-6.6596383879154817E-3</v>
      </c>
      <c r="E26" s="405">
        <f t="shared" ref="E26" si="162">-(F25+E25)*E$12</f>
        <v>4.0502865977884231E-3</v>
      </c>
      <c r="F26" s="405">
        <f t="shared" ref="F26" si="163">-(F25+E25)*F$12</f>
        <v>4.7307347462168768E-3</v>
      </c>
      <c r="G26" s="405">
        <f t="shared" ref="G26" si="164">-(H25+G25)*G$12</f>
        <v>-5.3865740697116365E-3</v>
      </c>
      <c r="H26" s="405">
        <f t="shared" ref="H26" si="165">-(H25+G25)*H$12</f>
        <v>-3.9146613878718291E-3</v>
      </c>
      <c r="I26" s="405">
        <f t="shared" ref="I26" si="166">-(J25+I25)*I$12</f>
        <v>3.9219836003846565E-3</v>
      </c>
      <c r="J26" s="405">
        <f t="shared" ref="J26" si="167">-(J25+I25)*J$12</f>
        <v>5.325640888943375E-3</v>
      </c>
      <c r="K26" s="405">
        <f t="shared" ref="K26" si="168">-(L25+K25)*K$12</f>
        <v>-2.067771987834378E-3</v>
      </c>
      <c r="L26" s="405">
        <f t="shared" ref="L26" si="169">-(L25+K25)*L$12</f>
        <v>0</v>
      </c>
      <c r="M26" s="405">
        <f t="shared" ref="M26" si="170">-(N25+M25)*M$12</f>
        <v>0</v>
      </c>
      <c r="N26" s="405">
        <f t="shared" ref="N26" si="171">-(N25+M25)*N$12</f>
        <v>0</v>
      </c>
      <c r="O26" s="405">
        <f t="shared" ref="O26" si="172">-(P25+O25)*O$12</f>
        <v>0</v>
      </c>
      <c r="P26" s="405">
        <f t="shared" ref="P26" si="173">-(P25+O25)*P$12</f>
        <v>0</v>
      </c>
      <c r="Q26" s="405">
        <f t="shared" ref="Q26" si="174">-(R25+Q25)*Q$12</f>
        <v>0</v>
      </c>
      <c r="R26" s="405">
        <f t="shared" ref="R26" si="175">-(R25+Q25)*R$12</f>
        <v>0</v>
      </c>
    </row>
    <row r="27" spans="3:18" x14ac:dyDescent="0.3">
      <c r="C27" s="405">
        <f>0</f>
        <v>0</v>
      </c>
      <c r="D27" s="405">
        <f t="shared" ref="D27" si="176">E26*0.5</f>
        <v>2.0251432988942115E-3</v>
      </c>
      <c r="E27" s="405">
        <f t="shared" ref="E27" si="177">D26*0.5</f>
        <v>-3.3298191939577408E-3</v>
      </c>
      <c r="F27" s="405">
        <f t="shared" ref="F27" si="178">G26*0.5</f>
        <v>-2.6932870348558183E-3</v>
      </c>
      <c r="G27" s="405">
        <f t="shared" ref="G27" si="179">F26*0.5</f>
        <v>2.3653673731084384E-3</v>
      </c>
      <c r="H27" s="405">
        <f t="shared" ref="H27" si="180">I26*0.5</f>
        <v>1.9609918001923282E-3</v>
      </c>
      <c r="I27" s="405">
        <f t="shared" ref="I27" si="181">H26*0.5</f>
        <v>-1.9573306939359146E-3</v>
      </c>
      <c r="J27" s="405">
        <f t="shared" ref="J27" si="182">K26*0.5</f>
        <v>-1.033885993917189E-3</v>
      </c>
      <c r="K27" s="405">
        <f t="shared" ref="K27" si="183">J26*0.5</f>
        <v>2.6628204444716875E-3</v>
      </c>
      <c r="L27" s="405">
        <f>0</f>
        <v>0</v>
      </c>
      <c r="M27" s="405">
        <f>0</f>
        <v>0</v>
      </c>
      <c r="N27" s="405">
        <f t="shared" ref="N27" si="184">O26*0.5</f>
        <v>0</v>
      </c>
      <c r="O27" s="405">
        <f t="shared" ref="O27" si="185">N26*0.5</f>
        <v>0</v>
      </c>
      <c r="P27" s="405">
        <f t="shared" ref="P27" si="186">Q26*0.5</f>
        <v>0</v>
      </c>
      <c r="Q27" s="405">
        <f t="shared" ref="Q27" si="187">P26*0.5</f>
        <v>0</v>
      </c>
      <c r="R27" s="405">
        <f t="shared" ref="R27" si="188">S26*0.5</f>
        <v>0</v>
      </c>
    </row>
    <row r="28" spans="3:18" x14ac:dyDescent="0.3">
      <c r="C28" s="406">
        <f t="shared" ref="C28" si="189">-(D27+C27)*C$12</f>
        <v>0</v>
      </c>
      <c r="D28" s="406">
        <f t="shared" ref="D28" si="190">-(D27+C27)*D$12</f>
        <v>-2.0251432988942115E-3</v>
      </c>
      <c r="E28" s="406">
        <f t="shared" ref="E28" si="191">-(F27+E27)*E$12</f>
        <v>2.7781855298955531E-3</v>
      </c>
      <c r="F28" s="406">
        <f t="shared" ref="F28" si="192">-(F27+E27)*F$12</f>
        <v>3.2449206989180052E-3</v>
      </c>
      <c r="G28" s="406">
        <f t="shared" ref="G28" si="193">-(H27+G27)*G$12</f>
        <v>-2.5055009353795684E-3</v>
      </c>
      <c r="H28" s="406">
        <f t="shared" ref="H28" si="194">-(H27+G27)*H$12</f>
        <v>-1.820858237921198E-3</v>
      </c>
      <c r="I28" s="406">
        <f t="shared" ref="I28" si="195">-(J27+I27)*I$12</f>
        <v>1.2685963631519858E-3</v>
      </c>
      <c r="J28" s="406">
        <f t="shared" ref="J28" si="196">-(J27+I27)*J$12</f>
        <v>1.7226203247011176E-3</v>
      </c>
      <c r="K28" s="406">
        <f t="shared" ref="K28" si="197">-(L27+K27)*K$12</f>
        <v>-2.6628204444716875E-3</v>
      </c>
      <c r="L28" s="406">
        <f t="shared" ref="L28" si="198">-(L27+K27)*L$12</f>
        <v>0</v>
      </c>
      <c r="M28" s="406">
        <f t="shared" ref="M28" si="199">-(N27+M27)*M$12</f>
        <v>0</v>
      </c>
      <c r="N28" s="406">
        <f t="shared" ref="N28" si="200">-(N27+M27)*N$12</f>
        <v>0</v>
      </c>
      <c r="O28" s="406">
        <f t="shared" ref="O28" si="201">-(P27+O27)*O$12</f>
        <v>0</v>
      </c>
      <c r="P28" s="406">
        <f t="shared" ref="P28" si="202">-(P27+O27)*P$12</f>
        <v>0</v>
      </c>
      <c r="Q28" s="406">
        <f t="shared" ref="Q28" si="203">-(R27+Q27)*Q$12</f>
        <v>0</v>
      </c>
      <c r="R28" s="406">
        <f t="shared" ref="R28" si="204">-(R27+Q27)*R$12</f>
        <v>0</v>
      </c>
    </row>
    <row r="29" spans="3:18" x14ac:dyDescent="0.3">
      <c r="C29" s="406">
        <f>0</f>
        <v>0</v>
      </c>
      <c r="D29" s="406">
        <f t="shared" ref="D29" si="205">E28*0.5</f>
        <v>1.3890927649477765E-3</v>
      </c>
      <c r="E29" s="406">
        <f t="shared" ref="E29" si="206">D28*0.5</f>
        <v>-1.0125716494471058E-3</v>
      </c>
      <c r="F29" s="406">
        <f t="shared" ref="F29" si="207">G28*0.5</f>
        <v>-1.2527504676897842E-3</v>
      </c>
      <c r="G29" s="406">
        <f t="shared" ref="G29" si="208">F28*0.5</f>
        <v>1.6224603494590026E-3</v>
      </c>
      <c r="H29" s="406">
        <f t="shared" ref="H29" si="209">I28*0.5</f>
        <v>6.3429818157599289E-4</v>
      </c>
      <c r="I29" s="406">
        <f t="shared" ref="I29" si="210">H28*0.5</f>
        <v>-9.10429118960599E-4</v>
      </c>
      <c r="J29" s="406">
        <f t="shared" ref="J29" si="211">K28*0.5</f>
        <v>-1.3314102222358438E-3</v>
      </c>
      <c r="K29" s="406">
        <f t="shared" ref="K29" si="212">J28*0.5</f>
        <v>8.6131016235055878E-4</v>
      </c>
      <c r="L29" s="406">
        <f>0</f>
        <v>0</v>
      </c>
      <c r="M29" s="406">
        <f>0</f>
        <v>0</v>
      </c>
      <c r="N29" s="406">
        <f t="shared" ref="N29" si="213">O28*0.5</f>
        <v>0</v>
      </c>
      <c r="O29" s="406">
        <f t="shared" ref="O29" si="214">N28*0.5</f>
        <v>0</v>
      </c>
      <c r="P29" s="406">
        <f t="shared" ref="P29" si="215">Q28*0.5</f>
        <v>0</v>
      </c>
      <c r="Q29" s="406">
        <f t="shared" ref="Q29" si="216">P28*0.5</f>
        <v>0</v>
      </c>
      <c r="R29" s="406">
        <f t="shared" ref="R29" si="217">S28*0.5</f>
        <v>0</v>
      </c>
    </row>
    <row r="30" spans="3:18" x14ac:dyDescent="0.3">
      <c r="C30" s="405">
        <f t="shared" ref="C30" si="218">-(D29+C29)*C$12</f>
        <v>0</v>
      </c>
      <c r="D30" s="405">
        <f t="shared" ref="D30" si="219">-(D29+C29)*D$12</f>
        <v>-1.3890927649477765E-3</v>
      </c>
      <c r="E30" s="405">
        <f t="shared" ref="E30" si="220">-(F29+E29)*E$12</f>
        <v>1.0448902754321447E-3</v>
      </c>
      <c r="F30" s="405">
        <f t="shared" ref="F30" si="221">-(F29+E29)*F$12</f>
        <v>1.2204318417047449E-3</v>
      </c>
      <c r="G30" s="405">
        <f t="shared" ref="G30" si="222">-(H29+G29)*G$12</f>
        <v>-1.3069443344714453E-3</v>
      </c>
      <c r="H30" s="405">
        <f t="shared" ref="H30" si="223">-(H29+G29)*H$12</f>
        <v>-9.4981419656355048E-4</v>
      </c>
      <c r="I30" s="405">
        <f t="shared" ref="I30" si="224">-(J29+I29)*I$12</f>
        <v>9.5078007773956275E-4</v>
      </c>
      <c r="J30" s="405">
        <f t="shared" ref="J30" si="225">-(J29+I29)*J$12</f>
        <v>1.29105926345688E-3</v>
      </c>
      <c r="K30" s="405">
        <f t="shared" ref="K30" si="226">-(L29+K29)*K$12</f>
        <v>-8.6131016235055878E-4</v>
      </c>
      <c r="L30" s="405">
        <f t="shared" ref="L30" si="227">-(L29+K29)*L$12</f>
        <v>0</v>
      </c>
      <c r="M30" s="405">
        <f t="shared" ref="M30" si="228">-(N29+M29)*M$12</f>
        <v>0</v>
      </c>
      <c r="N30" s="405">
        <f t="shared" ref="N30" si="229">-(N29+M29)*N$12</f>
        <v>0</v>
      </c>
      <c r="O30" s="405">
        <f t="shared" ref="O30" si="230">-(P29+O29)*O$12</f>
        <v>0</v>
      </c>
      <c r="P30" s="405">
        <f t="shared" ref="P30" si="231">-(P29+O29)*P$12</f>
        <v>0</v>
      </c>
      <c r="Q30" s="405">
        <f t="shared" ref="Q30" si="232">-(R29+Q29)*Q$12</f>
        <v>0</v>
      </c>
      <c r="R30" s="405">
        <f t="shared" ref="R30" si="233">-(R29+Q29)*R$12</f>
        <v>0</v>
      </c>
    </row>
    <row r="31" spans="3:18" x14ac:dyDescent="0.3">
      <c r="C31" s="405">
        <f>0</f>
        <v>0</v>
      </c>
      <c r="D31" s="405">
        <f t="shared" ref="D31" si="234">E30*0.5</f>
        <v>5.2244513771607234E-4</v>
      </c>
      <c r="E31" s="405">
        <f t="shared" ref="E31" si="235">D30*0.5</f>
        <v>-6.9454638247388827E-4</v>
      </c>
      <c r="F31" s="405">
        <f t="shared" ref="F31" si="236">G30*0.5</f>
        <v>-6.5347216723572266E-4</v>
      </c>
      <c r="G31" s="405">
        <f t="shared" ref="G31" si="237">F30*0.5</f>
        <v>6.1021592085237243E-4</v>
      </c>
      <c r="H31" s="405">
        <f t="shared" ref="H31" si="238">I30*0.5</f>
        <v>4.7539003886978138E-4</v>
      </c>
      <c r="I31" s="405">
        <f t="shared" ref="I31" si="239">H30*0.5</f>
        <v>-4.7490709828177524E-4</v>
      </c>
      <c r="J31" s="405">
        <f t="shared" ref="J31" si="240">K30*0.5</f>
        <v>-4.3065508117527939E-4</v>
      </c>
      <c r="K31" s="405">
        <f t="shared" ref="K31" si="241">J30*0.5</f>
        <v>6.4552963172844E-4</v>
      </c>
      <c r="L31" s="405">
        <f>0</f>
        <v>0</v>
      </c>
      <c r="M31" s="405">
        <f>0</f>
        <v>0</v>
      </c>
      <c r="N31" s="405">
        <f t="shared" ref="N31" si="242">O30*0.5</f>
        <v>0</v>
      </c>
      <c r="O31" s="405">
        <f t="shared" ref="O31" si="243">N30*0.5</f>
        <v>0</v>
      </c>
      <c r="P31" s="405">
        <f t="shared" ref="P31" si="244">Q30*0.5</f>
        <v>0</v>
      </c>
      <c r="Q31" s="405">
        <f t="shared" ref="Q31" si="245">P30*0.5</f>
        <v>0</v>
      </c>
      <c r="R31" s="405">
        <f t="shared" ref="R31" si="246">S30*0.5</f>
        <v>0</v>
      </c>
    </row>
    <row r="32" spans="3:18" x14ac:dyDescent="0.3">
      <c r="C32" s="406">
        <f t="shared" ref="C32" si="247">-(D31+C31)*C$12</f>
        <v>0</v>
      </c>
      <c r="D32" s="406">
        <f t="shared" ref="D32" si="248">-(D31+C31)*D$12</f>
        <v>-5.2244513771607234E-4</v>
      </c>
      <c r="E32" s="406">
        <f t="shared" ref="E32" si="249">-(F31+E31)*E$12</f>
        <v>6.2177977385129667E-4</v>
      </c>
      <c r="F32" s="406">
        <f t="shared" ref="F32" si="250">-(F31+E31)*F$12</f>
        <v>7.2623877585831437E-4</v>
      </c>
      <c r="G32" s="406">
        <f t="shared" ref="G32" si="251">-(H31+G31)*G$12</f>
        <v>-6.2870109451922715E-4</v>
      </c>
      <c r="H32" s="406">
        <f t="shared" ref="H32" si="252">-(H31+G31)*H$12</f>
        <v>-4.5690486520292672E-4</v>
      </c>
      <c r="I32" s="406">
        <f t="shared" ref="I32" si="253">-(J31+I31)*I$12</f>
        <v>3.8405538860901872E-4</v>
      </c>
      <c r="J32" s="406">
        <f t="shared" ref="J32" si="254">-(J31+I31)*J$12</f>
        <v>5.2150679084803585E-4</v>
      </c>
      <c r="K32" s="406">
        <f t="shared" ref="K32" si="255">-(L31+K31)*K$12</f>
        <v>-6.4552963172844E-4</v>
      </c>
      <c r="L32" s="406">
        <f t="shared" ref="L32" si="256">-(L31+K31)*L$12</f>
        <v>0</v>
      </c>
      <c r="M32" s="406">
        <f t="shared" ref="M32" si="257">-(N31+M31)*M$12</f>
        <v>0</v>
      </c>
      <c r="N32" s="406">
        <f t="shared" ref="N32" si="258">-(N31+M31)*N$12</f>
        <v>0</v>
      </c>
      <c r="O32" s="406">
        <f t="shared" ref="O32" si="259">-(P31+O31)*O$12</f>
        <v>0</v>
      </c>
      <c r="P32" s="406">
        <f t="shared" ref="P32" si="260">-(P31+O31)*P$12</f>
        <v>0</v>
      </c>
      <c r="Q32" s="406">
        <f t="shared" ref="Q32" si="261">-(R31+Q31)*Q$12</f>
        <v>0</v>
      </c>
      <c r="R32" s="406">
        <f t="shared" ref="R32" si="262">-(R31+Q31)*R$12</f>
        <v>0</v>
      </c>
    </row>
    <row r="33" spans="2:18" x14ac:dyDescent="0.3">
      <c r="C33" s="406">
        <f>0</f>
        <v>0</v>
      </c>
      <c r="D33" s="406">
        <f t="shared" ref="D33" si="263">E32*0.5</f>
        <v>3.1088988692564833E-4</v>
      </c>
      <c r="E33" s="406">
        <f t="shared" ref="E33" si="264">D32*0.5</f>
        <v>-2.6122256885803617E-4</v>
      </c>
      <c r="F33" s="406">
        <f t="shared" ref="F33" si="265">G32*0.5</f>
        <v>-3.1435054725961357E-4</v>
      </c>
      <c r="G33" s="406">
        <f t="shared" ref="G33" si="266">F32*0.5</f>
        <v>3.6311938792915719E-4</v>
      </c>
      <c r="H33" s="406">
        <f t="shared" ref="H33" si="267">I32*0.5</f>
        <v>1.9202769430450936E-4</v>
      </c>
      <c r="I33" s="406">
        <f t="shared" ref="I33" si="268">H32*0.5</f>
        <v>-2.2845243260146336E-4</v>
      </c>
      <c r="J33" s="406">
        <f t="shared" ref="J33" si="269">K32*0.5</f>
        <v>-3.2276481586422E-4</v>
      </c>
      <c r="K33" s="406">
        <f t="shared" ref="K33" si="270">J32*0.5</f>
        <v>2.6075339542401793E-4</v>
      </c>
      <c r="L33" s="406">
        <f>0</f>
        <v>0</v>
      </c>
      <c r="M33" s="406">
        <f>0</f>
        <v>0</v>
      </c>
      <c r="N33" s="406">
        <f t="shared" ref="N33" si="271">O32*0.5</f>
        <v>0</v>
      </c>
      <c r="O33" s="406">
        <f t="shared" ref="O33" si="272">N32*0.5</f>
        <v>0</v>
      </c>
      <c r="P33" s="406">
        <f t="shared" ref="P33" si="273">Q32*0.5</f>
        <v>0</v>
      </c>
      <c r="Q33" s="406">
        <f t="shared" ref="Q33" si="274">P32*0.5</f>
        <v>0</v>
      </c>
      <c r="R33" s="406">
        <f t="shared" ref="R33" si="275">S32*0.5</f>
        <v>0</v>
      </c>
    </row>
    <row r="34" spans="2:18" x14ac:dyDescent="0.3">
      <c r="C34" s="405">
        <f t="shared" ref="C34" si="276">-(D33+C33)*C$12</f>
        <v>0</v>
      </c>
      <c r="D34" s="405">
        <f t="shared" ref="D34" si="277">-(D33+C33)*D$12</f>
        <v>-3.1088988692564833E-4</v>
      </c>
      <c r="E34" s="405">
        <f t="shared" ref="E34" si="278">-(F33+E33)*E$12</f>
        <v>2.6548575466681264E-4</v>
      </c>
      <c r="F34" s="405">
        <f t="shared" ref="F34" si="279">-(F33+E33)*F$12</f>
        <v>3.100873614508371E-4</v>
      </c>
      <c r="G34" s="405">
        <f t="shared" ref="G34" si="280">-(H33+G33)*G$12</f>
        <v>-3.2149932035081027E-4</v>
      </c>
      <c r="H34" s="405">
        <f t="shared" ref="H34" si="281">-(H33+G33)*H$12</f>
        <v>-2.336477618828563E-4</v>
      </c>
      <c r="I34" s="405">
        <f t="shared" ref="I34" si="282">-(J33+I33)*I$12</f>
        <v>2.3377517234035678E-4</v>
      </c>
      <c r="J34" s="405">
        <f t="shared" ref="J34" si="283">-(J33+I33)*J$12</f>
        <v>3.1744207612532656E-4</v>
      </c>
      <c r="K34" s="405">
        <f t="shared" ref="K34" si="284">-(L33+K33)*K$12</f>
        <v>-2.6075339542401793E-4</v>
      </c>
      <c r="L34" s="405">
        <f t="shared" ref="L34" si="285">-(L33+K33)*L$12</f>
        <v>0</v>
      </c>
      <c r="M34" s="405">
        <f t="shared" ref="M34" si="286">-(N33+M33)*M$12</f>
        <v>0</v>
      </c>
      <c r="N34" s="405">
        <f t="shared" ref="N34" si="287">-(N33+M33)*N$12</f>
        <v>0</v>
      </c>
      <c r="O34" s="405">
        <f t="shared" ref="O34" si="288">-(P33+O33)*O$12</f>
        <v>0</v>
      </c>
      <c r="P34" s="405">
        <f t="shared" ref="P34" si="289">-(P33+O33)*P$12</f>
        <v>0</v>
      </c>
      <c r="Q34" s="405">
        <f t="shared" ref="Q34" si="290">-(R33+Q33)*Q$12</f>
        <v>0</v>
      </c>
      <c r="R34" s="405">
        <f t="shared" ref="R34" si="291">-(R33+Q33)*R$12</f>
        <v>0</v>
      </c>
    </row>
    <row r="35" spans="2:18" x14ac:dyDescent="0.3">
      <c r="C35" s="405">
        <f>0</f>
        <v>0</v>
      </c>
      <c r="D35" s="405">
        <f t="shared" ref="D35" si="292">E34*0.5</f>
        <v>1.3274287733340632E-4</v>
      </c>
      <c r="E35" s="405">
        <f t="shared" ref="E35" si="293">D34*0.5</f>
        <v>-1.5544494346282417E-4</v>
      </c>
      <c r="F35" s="405">
        <f t="shared" ref="F35" si="294">G34*0.5</f>
        <v>-1.6074966017540514E-4</v>
      </c>
      <c r="G35" s="405">
        <f t="shared" ref="G35" si="295">F34*0.5</f>
        <v>1.5504368072541855E-4</v>
      </c>
      <c r="H35" s="405">
        <f t="shared" ref="H35" si="296">I34*0.5</f>
        <v>1.1688758617017839E-4</v>
      </c>
      <c r="I35" s="405">
        <f t="shared" ref="I35" si="297">H34*0.5</f>
        <v>-1.1682388094142815E-4</v>
      </c>
      <c r="J35" s="405">
        <f t="shared" ref="J35" si="298">K34*0.5</f>
        <v>-1.3037669771200896E-4</v>
      </c>
      <c r="K35" s="405">
        <f t="shared" ref="K35" si="299">J34*0.5</f>
        <v>1.5872103806266328E-4</v>
      </c>
      <c r="L35" s="405">
        <f>0</f>
        <v>0</v>
      </c>
      <c r="M35" s="405">
        <f>0</f>
        <v>0</v>
      </c>
      <c r="N35" s="405">
        <f t="shared" ref="N35" si="300">O34*0.5</f>
        <v>0</v>
      </c>
      <c r="O35" s="405">
        <f t="shared" ref="O35" si="301">N34*0.5</f>
        <v>0</v>
      </c>
      <c r="P35" s="405">
        <f t="shared" ref="P35" si="302">Q34*0.5</f>
        <v>0</v>
      </c>
      <c r="Q35" s="405">
        <f t="shared" ref="Q35" si="303">P34*0.5</f>
        <v>0</v>
      </c>
      <c r="R35" s="405">
        <f t="shared" ref="R35" si="304">S34*0.5</f>
        <v>0</v>
      </c>
    </row>
    <row r="36" spans="2:18" x14ac:dyDescent="0.3">
      <c r="C36" s="406">
        <f t="shared" ref="C36" si="305">-(D35+C35)*C$12</f>
        <v>0</v>
      </c>
      <c r="D36" s="406">
        <f t="shared" ref="D36" si="306">-(D35+C35)*D$12</f>
        <v>-1.3274287733340632E-4</v>
      </c>
      <c r="E36" s="406">
        <f t="shared" ref="E36" si="307">-(F35+E35)*E$12</f>
        <v>1.4584621939032718E-4</v>
      </c>
      <c r="F36" s="406">
        <f t="shared" ref="F36" si="308">-(F35+E35)*F$12</f>
        <v>1.7034838424790209E-4</v>
      </c>
      <c r="G36" s="406">
        <f t="shared" ref="G36" si="309">-(H35+G35)*G$12</f>
        <v>-1.5748208049172618E-4</v>
      </c>
      <c r="H36" s="406">
        <f t="shared" ref="H36" si="310">-(H35+G35)*H$12</f>
        <v>-1.1444918640387077E-4</v>
      </c>
      <c r="I36" s="406">
        <f t="shared" ref="I36" si="311">-(J35+I35)*I$12</f>
        <v>1.0483953112534163E-4</v>
      </c>
      <c r="J36" s="406">
        <f t="shared" ref="J36" si="312">-(J35+I35)*J$12</f>
        <v>1.4236104752809547E-4</v>
      </c>
      <c r="K36" s="406">
        <f t="shared" ref="K36" si="313">-(L35+K35)*K$12</f>
        <v>-1.5872103806266328E-4</v>
      </c>
      <c r="L36" s="406">
        <f t="shared" ref="L36" si="314">-(L35+K35)*L$12</f>
        <v>0</v>
      </c>
      <c r="M36" s="406">
        <f t="shared" ref="M36" si="315">-(N35+M35)*M$12</f>
        <v>0</v>
      </c>
      <c r="N36" s="406">
        <f t="shared" ref="N36" si="316">-(N35+M35)*N$12</f>
        <v>0</v>
      </c>
      <c r="O36" s="406">
        <f t="shared" ref="O36" si="317">-(P35+O35)*O$12</f>
        <v>0</v>
      </c>
      <c r="P36" s="406">
        <f t="shared" ref="P36" si="318">-(P35+O35)*P$12</f>
        <v>0</v>
      </c>
      <c r="Q36" s="406">
        <f t="shared" ref="Q36" si="319">-(R35+Q35)*Q$12</f>
        <v>0</v>
      </c>
      <c r="R36" s="406">
        <f t="shared" ref="R36" si="320">-(R35+Q35)*R$12</f>
        <v>0</v>
      </c>
    </row>
    <row r="37" spans="2:18" x14ac:dyDescent="0.3">
      <c r="C37" s="406">
        <f>0</f>
        <v>0</v>
      </c>
      <c r="D37" s="406">
        <f t="shared" ref="D37" si="321">E36*0.5</f>
        <v>7.292310969516359E-5</v>
      </c>
      <c r="E37" s="406">
        <f t="shared" ref="E37" si="322">D36*0.5</f>
        <v>-6.637143866670316E-5</v>
      </c>
      <c r="F37" s="406">
        <f t="shared" ref="F37" si="323">G36*0.5</f>
        <v>-7.874104024586309E-5</v>
      </c>
      <c r="G37" s="406">
        <f t="shared" ref="G37" si="324">F36*0.5</f>
        <v>8.5174192123951047E-5</v>
      </c>
      <c r="H37" s="406">
        <f t="shared" ref="H37" si="325">I36*0.5</f>
        <v>5.2419765562670814E-5</v>
      </c>
      <c r="I37" s="406">
        <f t="shared" ref="I37" si="326">H36*0.5</f>
        <v>-5.7224593201935387E-5</v>
      </c>
      <c r="J37" s="406">
        <f t="shared" ref="J37" si="327">K36*0.5</f>
        <v>-7.9360519031331639E-5</v>
      </c>
      <c r="K37" s="406">
        <f t="shared" ref="K37" si="328">J36*0.5</f>
        <v>7.1180523764047737E-5</v>
      </c>
      <c r="L37" s="406">
        <f>0</f>
        <v>0</v>
      </c>
      <c r="M37" s="406">
        <f>0</f>
        <v>0</v>
      </c>
      <c r="N37" s="406">
        <f t="shared" ref="N37" si="329">O36*0.5</f>
        <v>0</v>
      </c>
      <c r="O37" s="406">
        <f t="shared" ref="O37" si="330">N36*0.5</f>
        <v>0</v>
      </c>
      <c r="P37" s="406">
        <f t="shared" ref="P37" si="331">Q36*0.5</f>
        <v>0</v>
      </c>
      <c r="Q37" s="406">
        <f t="shared" ref="Q37" si="332">P36*0.5</f>
        <v>0</v>
      </c>
      <c r="R37" s="406">
        <f t="shared" ref="R37" si="333">S36*0.5</f>
        <v>0</v>
      </c>
    </row>
    <row r="38" spans="2:18" x14ac:dyDescent="0.3">
      <c r="C38" s="405">
        <f t="shared" ref="C38" si="334">-(D37+C37)*C$12</f>
        <v>0</v>
      </c>
      <c r="D38" s="405">
        <f t="shared" ref="D38" si="335">-(D37+C37)*D$12</f>
        <v>-7.292310969516359E-5</v>
      </c>
      <c r="E38" s="405">
        <f t="shared" ref="E38" si="336">-(F37+E37)*E$12</f>
        <v>6.6933800236423558E-5</v>
      </c>
      <c r="F38" s="405">
        <f t="shared" ref="F38" si="337">-(F37+E37)*F$12</f>
        <v>7.8178678676142692E-5</v>
      </c>
      <c r="G38" s="405">
        <f t="shared" ref="G38" si="338">-(H37+G37)*G$12</f>
        <v>-7.9684042835350032E-5</v>
      </c>
      <c r="H38" s="405">
        <f t="shared" ref="H38" si="339">-(H37+G37)*H$12</f>
        <v>-5.790991485127183E-5</v>
      </c>
      <c r="I38" s="405">
        <f t="shared" ref="I38" si="340">-(J37+I37)*I$12</f>
        <v>5.7926721706073071E-5</v>
      </c>
      <c r="J38" s="405">
        <f t="shared" ref="J38" si="341">-(J37+I37)*J$12</f>
        <v>7.8658390527193948E-5</v>
      </c>
      <c r="K38" s="405">
        <f t="shared" ref="K38" si="342">-(L37+K37)*K$12</f>
        <v>-7.1180523764047737E-5</v>
      </c>
      <c r="L38" s="405">
        <f t="shared" ref="L38" si="343">-(L37+K37)*L$12</f>
        <v>0</v>
      </c>
      <c r="M38" s="405">
        <f t="shared" ref="M38" si="344">-(N37+M37)*M$12</f>
        <v>0</v>
      </c>
      <c r="N38" s="405">
        <f t="shared" ref="N38" si="345">-(N37+M37)*N$12</f>
        <v>0</v>
      </c>
      <c r="O38" s="405">
        <f t="shared" ref="O38" si="346">-(P37+O37)*O$12</f>
        <v>0</v>
      </c>
      <c r="P38" s="405">
        <f t="shared" ref="P38" si="347">-(P37+O37)*P$12</f>
        <v>0</v>
      </c>
      <c r="Q38" s="405">
        <f t="shared" ref="Q38" si="348">-(R37+Q37)*Q$12</f>
        <v>0</v>
      </c>
      <c r="R38" s="405">
        <f t="shared" ref="R38" si="349">-(R37+Q37)*R$12</f>
        <v>0</v>
      </c>
    </row>
    <row r="39" spans="2:18" x14ac:dyDescent="0.3">
      <c r="C39" s="405">
        <f>0</f>
        <v>0</v>
      </c>
      <c r="D39" s="405">
        <f t="shared" ref="D39" si="350">E38*0.5</f>
        <v>3.3466900118211779E-5</v>
      </c>
      <c r="E39" s="405">
        <f t="shared" ref="E39" si="351">D38*0.5</f>
        <v>-3.6461554847581795E-5</v>
      </c>
      <c r="F39" s="405">
        <f t="shared" ref="F39" si="352">G38*0.5</f>
        <v>-3.9842021417675016E-5</v>
      </c>
      <c r="G39" s="405">
        <f t="shared" ref="G39" si="353">F38*0.5</f>
        <v>3.9089339338071346E-5</v>
      </c>
      <c r="H39" s="405">
        <f t="shared" ref="H39" si="354">I38*0.5</f>
        <v>2.8963360853036536E-5</v>
      </c>
      <c r="I39" s="405">
        <f t="shared" ref="I39" si="355">H38*0.5</f>
        <v>-2.8954957425635915E-5</v>
      </c>
      <c r="J39" s="405">
        <f t="shared" ref="J39" si="356">K38*0.5</f>
        <v>-3.5590261882023869E-5</v>
      </c>
      <c r="K39" s="405">
        <f t="shared" ref="K39" si="357">J38*0.5</f>
        <v>3.9329195263596974E-5</v>
      </c>
      <c r="L39" s="405">
        <f>0</f>
        <v>0</v>
      </c>
      <c r="M39" s="405">
        <f>0</f>
        <v>0</v>
      </c>
      <c r="N39" s="405">
        <f t="shared" ref="N39" si="358">O38*0.5</f>
        <v>0</v>
      </c>
      <c r="O39" s="405">
        <f t="shared" ref="O39" si="359">N38*0.5</f>
        <v>0</v>
      </c>
      <c r="P39" s="405">
        <f t="shared" ref="P39" si="360">Q38*0.5</f>
        <v>0</v>
      </c>
      <c r="Q39" s="405">
        <f t="shared" ref="Q39" si="361">P38*0.5</f>
        <v>0</v>
      </c>
      <c r="R39" s="405">
        <f t="shared" ref="R39" si="362">S38*0.5</f>
        <v>0</v>
      </c>
    </row>
    <row r="40" spans="2:18" x14ac:dyDescent="0.3">
      <c r="B40" s="2" t="s">
        <v>390</v>
      </c>
      <c r="C40" s="414">
        <f>SUM(C13:C39)</f>
        <v>0</v>
      </c>
      <c r="D40" s="414">
        <f t="shared" ref="D40:R40" si="363">SUM(D13:D39)</f>
        <v>3.3466900118211779E-5</v>
      </c>
      <c r="E40" s="414">
        <f t="shared" si="363"/>
        <v>-1.3744481700988971</v>
      </c>
      <c r="F40" s="414">
        <f t="shared" si="363"/>
        <v>1.3743718665226319</v>
      </c>
      <c r="G40" s="414">
        <f t="shared" si="363"/>
        <v>-1.3344820922643739</v>
      </c>
      <c r="H40" s="414">
        <f t="shared" si="363"/>
        <v>1.3345501449645645</v>
      </c>
      <c r="I40" s="414">
        <f t="shared" si="363"/>
        <v>-1.7615167659928344</v>
      </c>
      <c r="J40" s="414">
        <f t="shared" si="363"/>
        <v>1.7614522207735268</v>
      </c>
      <c r="K40" s="414">
        <f t="shared" si="363"/>
        <v>3.9329195263596974E-5</v>
      </c>
      <c r="L40" s="414">
        <f t="shared" si="363"/>
        <v>0</v>
      </c>
      <c r="M40" s="414">
        <f t="shared" si="363"/>
        <v>0</v>
      </c>
      <c r="N40" s="414">
        <f t="shared" si="363"/>
        <v>0</v>
      </c>
      <c r="O40" s="414">
        <f t="shared" si="363"/>
        <v>0</v>
      </c>
      <c r="P40" s="414">
        <f t="shared" si="363"/>
        <v>0</v>
      </c>
      <c r="Q40" s="414">
        <f t="shared" si="363"/>
        <v>0</v>
      </c>
      <c r="R40" s="414">
        <f t="shared" si="363"/>
        <v>0</v>
      </c>
    </row>
    <row r="41" spans="2:18" x14ac:dyDescent="0.3">
      <c r="C41" s="7">
        <f>(C40-D40)/2</f>
        <v>-1.6733450059105889E-5</v>
      </c>
      <c r="D41" s="7">
        <f>0</f>
        <v>0</v>
      </c>
      <c r="E41" s="7">
        <f t="shared" ref="E41" si="364">(E40-F40)/2</f>
        <v>-1.3744100183107646</v>
      </c>
      <c r="F41" s="7">
        <f>0</f>
        <v>0</v>
      </c>
      <c r="G41" s="7">
        <f>(G40-H40)/2</f>
        <v>-1.3345161186144692</v>
      </c>
      <c r="H41" s="7">
        <f>0</f>
        <v>0</v>
      </c>
      <c r="I41" s="7">
        <f t="shared" ref="I41" si="365">(I40-J40)/2</f>
        <v>-1.7614844933831806</v>
      </c>
      <c r="J41" s="7">
        <f>0</f>
        <v>0</v>
      </c>
      <c r="K41" s="7">
        <f t="shared" ref="K41" si="366">(K40-L40)/2</f>
        <v>1.9664597631798487E-5</v>
      </c>
      <c r="L41" s="7">
        <f>0</f>
        <v>0</v>
      </c>
      <c r="M41" s="7">
        <f t="shared" ref="M41" si="367">(M40-N40)/2</f>
        <v>0</v>
      </c>
      <c r="N41" s="7">
        <f>0</f>
        <v>0</v>
      </c>
      <c r="O41" s="7">
        <f t="shared" ref="O41" si="368">(O40-P40)/2</f>
        <v>0</v>
      </c>
      <c r="P41" s="7">
        <f>0</f>
        <v>0</v>
      </c>
      <c r="Q41" s="7">
        <f t="shared" ref="Q41" si="369">(Q40-R40)/2</f>
        <v>0</v>
      </c>
      <c r="R41" s="7">
        <f>0</f>
        <v>0</v>
      </c>
    </row>
    <row r="43" spans="2:18" x14ac:dyDescent="0.3">
      <c r="B43" s="2" t="s">
        <v>406</v>
      </c>
      <c r="C43">
        <v>0</v>
      </c>
    </row>
    <row r="44" spans="2:18" x14ac:dyDescent="0.3">
      <c r="B44" s="2" t="s">
        <v>407</v>
      </c>
      <c r="C44">
        <v>-2.3199999999999998</v>
      </c>
    </row>
    <row r="45" spans="2:18" x14ac:dyDescent="0.3">
      <c r="B45" s="2" t="s">
        <v>73</v>
      </c>
      <c r="C45">
        <v>1.2</v>
      </c>
    </row>
    <row r="46" spans="2:18" x14ac:dyDescent="0.3">
      <c r="B46" s="2" t="s">
        <v>401</v>
      </c>
      <c r="C46">
        <v>3.8</v>
      </c>
    </row>
    <row r="47" spans="2:18" x14ac:dyDescent="0.3">
      <c r="B47" s="2" t="s">
        <v>402</v>
      </c>
      <c r="C47">
        <f>C45*C46*C46/8</f>
        <v>2.1659999999999999</v>
      </c>
    </row>
    <row r="48" spans="2:18" x14ac:dyDescent="0.3">
      <c r="B48" s="2" t="s">
        <v>303</v>
      </c>
      <c r="C48" cm="1">
        <f t="array" ref="C48">[1]!BeamPositiveMomentPeakFactor(C43,C44,C45,C46)</f>
        <v>2.4087719298245616</v>
      </c>
    </row>
    <row r="49" spans="2:3" x14ac:dyDescent="0.3">
      <c r="B49" s="2" t="s">
        <v>403</v>
      </c>
      <c r="C49" s="372" cm="1">
        <f t="array" ref="C49">[1]!BeamPositiveMoment(C43,C44,C45,C46)</f>
        <v>0.54007202216066452</v>
      </c>
    </row>
  </sheetData>
  <mergeCells count="9">
    <mergeCell ref="S10:T10"/>
    <mergeCell ref="I10:J10"/>
    <mergeCell ref="K10:L10"/>
    <mergeCell ref="M10:N10"/>
    <mergeCell ref="C10:D10"/>
    <mergeCell ref="E10:F10"/>
    <mergeCell ref="G10:H10"/>
    <mergeCell ref="O10:P10"/>
    <mergeCell ref="Q10:R1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Design of Section</vt:lpstr>
      <vt:lpstr>Falnged Section Design</vt:lpstr>
      <vt:lpstr>Section Analysis</vt:lpstr>
      <vt:lpstr>ContinousBeam</vt:lpstr>
      <vt:lpstr>Coulmns</vt:lpstr>
      <vt:lpstr>FLAT SLAP</vt:lpstr>
      <vt:lpstr>mommemt distribution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mohamed nour</dc:creator>
  <cp:lastModifiedBy>mohammed nour eldein</cp:lastModifiedBy>
  <dcterms:created xsi:type="dcterms:W3CDTF">2015-06-05T18:17:20Z</dcterms:created>
  <dcterms:modified xsi:type="dcterms:W3CDTF">2023-10-26T14:33:20Z</dcterms:modified>
</cp:coreProperties>
</file>