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gineering\Spreed sheets\"/>
    </mc:Choice>
  </mc:AlternateContent>
  <xr:revisionPtr revIDLastSave="0" documentId="13_ncr:1_{6B8DB0B8-F260-459B-93C5-B0B874F0F36A}" xr6:coauthVersionLast="47" xr6:coauthVersionMax="47" xr10:uidLastSave="{00000000-0000-0000-0000-000000000000}"/>
  <bookViews>
    <workbookView xWindow="-108" yWindow="-108" windowWidth="23256" windowHeight="12720" firstSheet="6" activeTab="6" xr2:uid="{36FBFA1D-8E2A-4A3E-95AE-76D732528AC0}"/>
  </bookViews>
  <sheets>
    <sheet name="Loading Cases" sheetId="7" r:id="rId1"/>
    <sheet name="Rectangular Beam" sheetId="1" r:id="rId2"/>
    <sheet name="T-Section Beam" sheetId="2" r:id="rId3"/>
    <sheet name="L-Section Beam" sheetId="3" r:id="rId4"/>
    <sheet name="Coulmn" sheetId="4" r:id="rId5"/>
    <sheet name="Solid Slap Pannel" sheetId="5" r:id="rId6"/>
    <sheet name="Solid Slaps" sheetId="6" r:id="rId7"/>
    <sheet name="Beams" sheetId="8" r:id="rId8"/>
    <sheet name="Isolated Footing Column Based" sheetId="9" r:id="rId9"/>
    <sheet name="Isolated Footing" sheetId="10" r:id="rId10"/>
  </sheets>
  <externalReferences>
    <externalReference r:id="rId11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7" i="10" l="1"/>
  <c r="W56" i="10"/>
  <c r="W55" i="10"/>
  <c r="W54" i="10"/>
  <c r="W53" i="10"/>
  <c r="W52" i="10"/>
  <c r="W51" i="10"/>
  <c r="W50" i="10"/>
  <c r="W49" i="10"/>
  <c r="W48" i="10"/>
  <c r="E31" i="10"/>
  <c r="E21" i="10"/>
  <c r="E16" i="10"/>
  <c r="E15" i="10"/>
  <c r="E14" i="10"/>
  <c r="E13" i="10"/>
  <c r="U49" i="9"/>
  <c r="V49" i="9" s="1"/>
  <c r="U50" i="9"/>
  <c r="V50" i="9"/>
  <c r="U51" i="9"/>
  <c r="U52" i="9"/>
  <c r="V52" i="9"/>
  <c r="U53" i="9"/>
  <c r="V53" i="9" s="1"/>
  <c r="U54" i="9"/>
  <c r="V54" i="9"/>
  <c r="U55" i="9"/>
  <c r="V55" i="9"/>
  <c r="U56" i="9"/>
  <c r="V56" i="9"/>
  <c r="U57" i="9"/>
  <c r="V57" i="9" s="1"/>
  <c r="AE49" i="9"/>
  <c r="AE50" i="9"/>
  <c r="AE51" i="9"/>
  <c r="AE52" i="9"/>
  <c r="AE53" i="9"/>
  <c r="AE54" i="9"/>
  <c r="AE55" i="9"/>
  <c r="AE57" i="9"/>
  <c r="AD49" i="9"/>
  <c r="AD50" i="9"/>
  <c r="AD51" i="9"/>
  <c r="AD52" i="9"/>
  <c r="AD53" i="9"/>
  <c r="AD54" i="9"/>
  <c r="AD55" i="9"/>
  <c r="AD56" i="9"/>
  <c r="AE56" i="9" s="1"/>
  <c r="AD57" i="9"/>
  <c r="Z49" i="9"/>
  <c r="Z50" i="9"/>
  <c r="Z51" i="9"/>
  <c r="Z52" i="9"/>
  <c r="Z53" i="9"/>
  <c r="Z54" i="9"/>
  <c r="Z55" i="9"/>
  <c r="Z56" i="9"/>
  <c r="Z57" i="9"/>
  <c r="Z48" i="9"/>
  <c r="AD48" i="9"/>
  <c r="E36" i="9"/>
  <c r="E16" i="9"/>
  <c r="E33" i="9"/>
  <c r="E21" i="9"/>
  <c r="E15" i="9"/>
  <c r="E14" i="9"/>
  <c r="E13" i="9"/>
  <c r="E31" i="9"/>
  <c r="E32" i="9" s="1"/>
  <c r="AM35" i="8"/>
  <c r="AM36" i="8"/>
  <c r="AM37" i="8"/>
  <c r="AM38" i="8"/>
  <c r="AM39" i="8"/>
  <c r="AM40" i="8"/>
  <c r="AM34" i="8"/>
  <c r="D123" i="2"/>
  <c r="F131" i="2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D108" i="2"/>
  <c r="I100" i="2"/>
  <c r="J131" i="3"/>
  <c r="F131" i="3" s="1"/>
  <c r="D120" i="3"/>
  <c r="G120" i="3" s="1"/>
  <c r="G114" i="3"/>
  <c r="D114" i="3"/>
  <c r="I104" i="3"/>
  <c r="I103" i="3"/>
  <c r="I105" i="3" s="1"/>
  <c r="I101" i="3"/>
  <c r="I100" i="3"/>
  <c r="H74" i="3"/>
  <c r="H69" i="3"/>
  <c r="H43" i="3"/>
  <c r="G43" i="3"/>
  <c r="F43" i="3"/>
  <c r="E43" i="3"/>
  <c r="J43" i="3" s="1"/>
  <c r="D43" i="3"/>
  <c r="I43" i="3" s="1"/>
  <c r="J42" i="3"/>
  <c r="I42" i="3"/>
  <c r="H42" i="3"/>
  <c r="G42" i="3"/>
  <c r="F42" i="3"/>
  <c r="E42" i="3"/>
  <c r="D42" i="3"/>
  <c r="H41" i="3"/>
  <c r="G41" i="3"/>
  <c r="F41" i="3"/>
  <c r="E41" i="3"/>
  <c r="J41" i="3" s="1"/>
  <c r="D41" i="3"/>
  <c r="I41" i="3" s="1"/>
  <c r="J40" i="3"/>
  <c r="I40" i="3"/>
  <c r="H40" i="3"/>
  <c r="G40" i="3"/>
  <c r="F40" i="3"/>
  <c r="E40" i="3"/>
  <c r="D40" i="3"/>
  <c r="H39" i="3"/>
  <c r="G39" i="3"/>
  <c r="F39" i="3"/>
  <c r="E39" i="3"/>
  <c r="J39" i="3" s="1"/>
  <c r="D39" i="3"/>
  <c r="I39" i="3" s="1"/>
  <c r="J38" i="3"/>
  <c r="I38" i="3"/>
  <c r="H38" i="3"/>
  <c r="G38" i="3"/>
  <c r="F38" i="3"/>
  <c r="E38" i="3"/>
  <c r="I37" i="3"/>
  <c r="H37" i="3"/>
  <c r="G37" i="3"/>
  <c r="F37" i="3"/>
  <c r="E37" i="3"/>
  <c r="J37" i="3" s="1"/>
  <c r="I36" i="3"/>
  <c r="H36" i="3"/>
  <c r="G36" i="3"/>
  <c r="F36" i="3"/>
  <c r="E36" i="3"/>
  <c r="J36" i="3" s="1"/>
  <c r="I35" i="3"/>
  <c r="H35" i="3"/>
  <c r="G35" i="3"/>
  <c r="F35" i="3"/>
  <c r="E35" i="3"/>
  <c r="J35" i="3" s="1"/>
  <c r="D23" i="3"/>
  <c r="D22" i="3"/>
  <c r="D21" i="3"/>
  <c r="D20" i="3"/>
  <c r="D19" i="3"/>
  <c r="D18" i="3"/>
  <c r="H13" i="3"/>
  <c r="D53" i="4"/>
  <c r="D34" i="3"/>
  <c r="D10" i="7"/>
  <c r="D11" i="7"/>
  <c r="D23" i="7"/>
  <c r="D12" i="7"/>
  <c r="D13" i="7"/>
  <c r="D14" i="7"/>
  <c r="D26" i="7"/>
  <c r="D15" i="7"/>
  <c r="D27" i="7"/>
  <c r="D16" i="7"/>
  <c r="D17" i="7"/>
  <c r="D18" i="7"/>
  <c r="D21" i="7"/>
  <c r="D19" i="7"/>
  <c r="D20" i="7"/>
  <c r="D22" i="7"/>
  <c r="D24" i="7"/>
  <c r="D25" i="7"/>
  <c r="E11" i="7"/>
  <c r="I12" i="7"/>
  <c r="E14" i="7"/>
  <c r="I15" i="7"/>
  <c r="E17" i="7"/>
  <c r="I18" i="7"/>
  <c r="E20" i="7"/>
  <c r="I21" i="7"/>
  <c r="E23" i="7"/>
  <c r="I24" i="7"/>
  <c r="E26" i="7"/>
  <c r="I27" i="7"/>
  <c r="F11" i="7"/>
  <c r="J12" i="7"/>
  <c r="F14" i="7"/>
  <c r="J15" i="7"/>
  <c r="F17" i="7"/>
  <c r="J18" i="7"/>
  <c r="F20" i="7"/>
  <c r="J21" i="7"/>
  <c r="F23" i="7"/>
  <c r="J24" i="7"/>
  <c r="F26" i="7"/>
  <c r="J27" i="7"/>
  <c r="H27" i="7"/>
  <c r="G11" i="7"/>
  <c r="G14" i="7"/>
  <c r="G17" i="7"/>
  <c r="G20" i="7"/>
  <c r="G23" i="7"/>
  <c r="G26" i="7"/>
  <c r="H24" i="7"/>
  <c r="H11" i="7"/>
  <c r="H14" i="7"/>
  <c r="H17" i="7"/>
  <c r="H20" i="7"/>
  <c r="H23" i="7"/>
  <c r="H26" i="7"/>
  <c r="I11" i="7"/>
  <c r="E13" i="7"/>
  <c r="I14" i="7"/>
  <c r="E16" i="7"/>
  <c r="I17" i="7"/>
  <c r="E19" i="7"/>
  <c r="I20" i="7"/>
  <c r="E22" i="7"/>
  <c r="I23" i="7"/>
  <c r="E25" i="7"/>
  <c r="I26" i="7"/>
  <c r="H18" i="7"/>
  <c r="J11" i="7"/>
  <c r="F13" i="7"/>
  <c r="J14" i="7"/>
  <c r="F16" i="7"/>
  <c r="J17" i="7"/>
  <c r="F19" i="7"/>
  <c r="J20" i="7"/>
  <c r="F22" i="7"/>
  <c r="J23" i="7"/>
  <c r="F25" i="7"/>
  <c r="J26" i="7"/>
  <c r="G13" i="7"/>
  <c r="G16" i="7"/>
  <c r="G19" i="7"/>
  <c r="G22" i="7"/>
  <c r="G25" i="7"/>
  <c r="H15" i="7"/>
  <c r="H13" i="7"/>
  <c r="H16" i="7"/>
  <c r="H19" i="7"/>
  <c r="H22" i="7"/>
  <c r="H25" i="7"/>
  <c r="E12" i="7"/>
  <c r="I13" i="7"/>
  <c r="E15" i="7"/>
  <c r="I16" i="7"/>
  <c r="E18" i="7"/>
  <c r="I19" i="7"/>
  <c r="E21" i="7"/>
  <c r="I22" i="7"/>
  <c r="E24" i="7"/>
  <c r="I25" i="7"/>
  <c r="E27" i="7"/>
  <c r="H21" i="7"/>
  <c r="F12" i="7"/>
  <c r="J13" i="7"/>
  <c r="F15" i="7"/>
  <c r="J16" i="7"/>
  <c r="F18" i="7"/>
  <c r="J19" i="7"/>
  <c r="F21" i="7"/>
  <c r="J22" i="7"/>
  <c r="F24" i="7"/>
  <c r="J25" i="7"/>
  <c r="F27" i="7"/>
  <c r="G12" i="7"/>
  <c r="G15" i="7"/>
  <c r="G18" i="7"/>
  <c r="G21" i="7"/>
  <c r="G24" i="7"/>
  <c r="G27" i="7"/>
  <c r="H12" i="7"/>
  <c r="F10" i="7"/>
  <c r="H10" i="7"/>
  <c r="J10" i="7"/>
  <c r="I10" i="7"/>
  <c r="E10" i="7"/>
  <c r="G10" i="7"/>
  <c r="C50" i="10"/>
  <c r="C51" i="10"/>
  <c r="C52" i="10"/>
  <c r="C53" i="10"/>
  <c r="C54" i="10"/>
  <c r="C55" i="10"/>
  <c r="C56" i="10"/>
  <c r="C57" i="10"/>
  <c r="C49" i="10"/>
  <c r="C48" i="10"/>
  <c r="E42" i="10"/>
  <c r="E40" i="10"/>
  <c r="D49" i="9"/>
  <c r="D50" i="9"/>
  <c r="D51" i="9"/>
  <c r="D52" i="9"/>
  <c r="D53" i="9"/>
  <c r="D54" i="9"/>
  <c r="D55" i="9"/>
  <c r="D56" i="9"/>
  <c r="D57" i="9"/>
  <c r="D48" i="9"/>
  <c r="I35" i="6"/>
  <c r="F49" i="9"/>
  <c r="F50" i="9"/>
  <c r="F51" i="9"/>
  <c r="F52" i="9"/>
  <c r="F53" i="9"/>
  <c r="F54" i="9"/>
  <c r="F55" i="9"/>
  <c r="F56" i="9"/>
  <c r="F57" i="9"/>
  <c r="F48" i="9"/>
  <c r="E42" i="9"/>
  <c r="C49" i="9"/>
  <c r="E49" i="9" s="1"/>
  <c r="C50" i="9"/>
  <c r="E50" i="9" s="1"/>
  <c r="C51" i="9"/>
  <c r="E51" i="9" s="1"/>
  <c r="C52" i="9"/>
  <c r="E52" i="9" s="1"/>
  <c r="C53" i="9"/>
  <c r="E53" i="9" s="1"/>
  <c r="C54" i="9"/>
  <c r="E54" i="9" s="1"/>
  <c r="C55" i="9"/>
  <c r="E55" i="9" s="1"/>
  <c r="C56" i="9"/>
  <c r="E56" i="9" s="1"/>
  <c r="C57" i="9"/>
  <c r="E57" i="9" s="1"/>
  <c r="C48" i="9"/>
  <c r="E48" i="9" s="1"/>
  <c r="E40" i="9"/>
  <c r="G49" i="9"/>
  <c r="H49" i="9"/>
  <c r="G50" i="9"/>
  <c r="H50" i="9"/>
  <c r="G51" i="9"/>
  <c r="H51" i="9"/>
  <c r="G52" i="9"/>
  <c r="H52" i="9"/>
  <c r="G53" i="9"/>
  <c r="H53" i="9"/>
  <c r="G54" i="9"/>
  <c r="H54" i="9"/>
  <c r="G55" i="9"/>
  <c r="H55" i="9"/>
  <c r="G56" i="9"/>
  <c r="H56" i="9"/>
  <c r="G57" i="9"/>
  <c r="H57" i="9"/>
  <c r="G48" i="9"/>
  <c r="H48" i="9"/>
  <c r="J37" i="8"/>
  <c r="C38" i="8"/>
  <c r="AE38" i="8"/>
  <c r="AF37" i="8"/>
  <c r="J35" i="8"/>
  <c r="J38" i="8"/>
  <c r="J39" i="8"/>
  <c r="D36" i="8"/>
  <c r="P37" i="8"/>
  <c r="D37" i="8"/>
  <c r="C34" i="8"/>
  <c r="AF39" i="8"/>
  <c r="J40" i="8"/>
  <c r="C35" i="8"/>
  <c r="AE35" i="8"/>
  <c r="C40" i="8"/>
  <c r="AF40" i="8"/>
  <c r="J34" i="8"/>
  <c r="E37" i="8"/>
  <c r="D38" i="8"/>
  <c r="AE40" i="8"/>
  <c r="P36" i="8"/>
  <c r="P38" i="8"/>
  <c r="C39" i="8"/>
  <c r="P34" i="8"/>
  <c r="E38" i="8"/>
  <c r="AF36" i="8"/>
  <c r="E36" i="8"/>
  <c r="D34" i="8"/>
  <c r="F38" i="8"/>
  <c r="J36" i="8"/>
  <c r="F36" i="8"/>
  <c r="C36" i="8"/>
  <c r="AE36" i="8"/>
  <c r="AE34" i="8"/>
  <c r="D35" i="8"/>
  <c r="AE37" i="8"/>
  <c r="P40" i="8"/>
  <c r="D39" i="8"/>
  <c r="AF34" i="8"/>
  <c r="P39" i="8"/>
  <c r="D40" i="8"/>
  <c r="C37" i="8"/>
  <c r="AF38" i="8"/>
  <c r="P35" i="8"/>
  <c r="AF35" i="8"/>
  <c r="AE39" i="8"/>
  <c r="F39" i="8"/>
  <c r="F40" i="8"/>
  <c r="G34" i="3"/>
  <c r="D31" i="3"/>
  <c r="J34" i="3"/>
  <c r="D26" i="3"/>
  <c r="F34" i="3"/>
  <c r="I34" i="3"/>
  <c r="H34" i="3"/>
  <c r="E34" i="3"/>
  <c r="D27" i="3"/>
  <c r="F34" i="8"/>
  <c r="E35" i="8"/>
  <c r="F35" i="8"/>
  <c r="W50" i="9" a="1"/>
  <c r="W49" i="9" a="1"/>
  <c r="W54" i="9" a="1"/>
  <c r="W52" i="9" a="1"/>
  <c r="W57" i="9" a="1"/>
  <c r="W53" i="9" a="1"/>
  <c r="W55" i="9" a="1"/>
  <c r="W56" i="9" a="1"/>
  <c r="C33" i="8"/>
  <c r="I27" i="3" l="1"/>
  <c r="E36" i="10"/>
  <c r="AA53" i="10" s="1"/>
  <c r="E32" i="10"/>
  <c r="E33" i="10"/>
  <c r="K48" i="10"/>
  <c r="K53" i="10"/>
  <c r="K51" i="10"/>
  <c r="K56" i="10"/>
  <c r="K49" i="10"/>
  <c r="K54" i="10"/>
  <c r="K52" i="10"/>
  <c r="K55" i="10"/>
  <c r="L53" i="10"/>
  <c r="L51" i="10"/>
  <c r="L56" i="10"/>
  <c r="L49" i="10"/>
  <c r="L54" i="10"/>
  <c r="L52" i="10"/>
  <c r="N52" i="10" s="1"/>
  <c r="F48" i="10"/>
  <c r="G48" i="10" s="1"/>
  <c r="L50" i="10"/>
  <c r="F51" i="10"/>
  <c r="G51" i="10" s="1"/>
  <c r="F53" i="10"/>
  <c r="G53" i="10" s="1"/>
  <c r="L57" i="10"/>
  <c r="L55" i="10"/>
  <c r="F56" i="10"/>
  <c r="G56" i="10" s="1"/>
  <c r="L48" i="10"/>
  <c r="F49" i="10"/>
  <c r="G49" i="10" s="1"/>
  <c r="K50" i="10"/>
  <c r="F54" i="10"/>
  <c r="G54" i="10" s="1"/>
  <c r="F52" i="10"/>
  <c r="G52" i="10" s="1"/>
  <c r="F57" i="10"/>
  <c r="G57" i="10" s="1"/>
  <c r="F50" i="10"/>
  <c r="G50" i="10" s="1"/>
  <c r="F55" i="10"/>
  <c r="G55" i="10" s="1"/>
  <c r="K57" i="10"/>
  <c r="AA50" i="10"/>
  <c r="AA49" i="10"/>
  <c r="AA48" i="10"/>
  <c r="W55" i="9"/>
  <c r="X55" i="9" s="1"/>
  <c r="W50" i="9"/>
  <c r="X50" i="9" s="1"/>
  <c r="W53" i="9"/>
  <c r="X53" i="9" s="1"/>
  <c r="W57" i="9"/>
  <c r="X57" i="9" s="1"/>
  <c r="W52" i="9"/>
  <c r="X52" i="9" s="1"/>
  <c r="W54" i="9"/>
  <c r="X54" i="9" s="1"/>
  <c r="W49" i="9"/>
  <c r="X49" i="9" s="1"/>
  <c r="W56" i="9"/>
  <c r="X56" i="9" s="1"/>
  <c r="V51" i="9"/>
  <c r="O48" i="9"/>
  <c r="N48" i="9"/>
  <c r="S48" i="9" s="1"/>
  <c r="O57" i="9"/>
  <c r="N57" i="9"/>
  <c r="Q57" i="9" s="1"/>
  <c r="O56" i="9"/>
  <c r="N56" i="9"/>
  <c r="O55" i="9"/>
  <c r="N55" i="9"/>
  <c r="Q55" i="9" s="1"/>
  <c r="O54" i="9"/>
  <c r="N54" i="9"/>
  <c r="O53" i="9"/>
  <c r="N53" i="9"/>
  <c r="Q53" i="9" s="1"/>
  <c r="O52" i="9"/>
  <c r="N52" i="9"/>
  <c r="O51" i="9"/>
  <c r="N51" i="9"/>
  <c r="Q51" i="9" s="1"/>
  <c r="O50" i="9"/>
  <c r="N50" i="9"/>
  <c r="O49" i="9"/>
  <c r="N49" i="9"/>
  <c r="Q49" i="9" s="1"/>
  <c r="I57" i="9"/>
  <c r="J57" i="9" s="1"/>
  <c r="I56" i="9"/>
  <c r="J56" i="9" s="1"/>
  <c r="I55" i="9"/>
  <c r="J55" i="9" s="1"/>
  <c r="I54" i="9"/>
  <c r="J54" i="9" s="1"/>
  <c r="I53" i="9"/>
  <c r="J53" i="9" s="1"/>
  <c r="I52" i="9"/>
  <c r="J52" i="9" s="1"/>
  <c r="I51" i="9"/>
  <c r="J51" i="9" s="1"/>
  <c r="I50" i="9"/>
  <c r="J50" i="9" s="1"/>
  <c r="I49" i="9"/>
  <c r="J49" i="9" s="1"/>
  <c r="I48" i="9"/>
  <c r="J48" i="9" s="1"/>
  <c r="AE48" i="9" s="1"/>
  <c r="S53" i="9"/>
  <c r="G40" i="8"/>
  <c r="G39" i="8"/>
  <c r="G38" i="8"/>
  <c r="H38" i="8" s="1"/>
  <c r="G36" i="8"/>
  <c r="I36" i="8" s="1"/>
  <c r="G34" i="8"/>
  <c r="AG34" i="8"/>
  <c r="AG37" i="8"/>
  <c r="AG36" i="8"/>
  <c r="AG38" i="8"/>
  <c r="AG39" i="8"/>
  <c r="AG40" i="8"/>
  <c r="G35" i="8"/>
  <c r="H35" i="8" s="1"/>
  <c r="AG35" i="8"/>
  <c r="D100" i="3"/>
  <c r="D95" i="3"/>
  <c r="D51" i="3"/>
  <c r="D52" i="3"/>
  <c r="D96" i="3"/>
  <c r="I27" i="2"/>
  <c r="D23" i="2"/>
  <c r="I105" i="2"/>
  <c r="I101" i="2"/>
  <c r="I103" i="2" s="1"/>
  <c r="D96" i="1"/>
  <c r="I43" i="2"/>
  <c r="I42" i="2"/>
  <c r="I41" i="2"/>
  <c r="I40" i="2"/>
  <c r="I39" i="2"/>
  <c r="I38" i="2"/>
  <c r="I37" i="2"/>
  <c r="I36" i="2"/>
  <c r="I35" i="2"/>
  <c r="J131" i="2"/>
  <c r="D120" i="2"/>
  <c r="G120" i="2" s="1"/>
  <c r="D114" i="2"/>
  <c r="G114" i="2" s="1"/>
  <c r="D120" i="1"/>
  <c r="G120" i="1" s="1"/>
  <c r="D114" i="1"/>
  <c r="D23" i="1"/>
  <c r="H35" i="1"/>
  <c r="I35" i="1"/>
  <c r="H36" i="1"/>
  <c r="I36" i="1"/>
  <c r="H37" i="1"/>
  <c r="I37" i="1"/>
  <c r="H38" i="1"/>
  <c r="I38" i="1"/>
  <c r="H39" i="1"/>
  <c r="H40" i="1"/>
  <c r="H41" i="1"/>
  <c r="H42" i="1"/>
  <c r="H43" i="1"/>
  <c r="AM33" i="8"/>
  <c r="D23" i="8"/>
  <c r="D22" i="8"/>
  <c r="D21" i="8"/>
  <c r="D20" i="8"/>
  <c r="D19" i="8"/>
  <c r="D18" i="8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F8" i="7"/>
  <c r="I8" i="7"/>
  <c r="H8" i="7"/>
  <c r="G8" i="7"/>
  <c r="J8" i="7"/>
  <c r="D27" i="8"/>
  <c r="J34" i="2"/>
  <c r="I34" i="2"/>
  <c r="D34" i="1"/>
  <c r="J34" i="1"/>
  <c r="I34" i="1"/>
  <c r="F37" i="8"/>
  <c r="E40" i="8"/>
  <c r="E39" i="8"/>
  <c r="E34" i="8"/>
  <c r="D28" i="3"/>
  <c r="W51" i="9" a="1"/>
  <c r="AE33" i="8"/>
  <c r="J33" i="8"/>
  <c r="AF33" i="8"/>
  <c r="P33" i="8"/>
  <c r="D33" i="8"/>
  <c r="I34" i="8" l="1"/>
  <c r="H39" i="8"/>
  <c r="I40" i="8"/>
  <c r="D30" i="3"/>
  <c r="D66" i="3" s="1"/>
  <c r="D101" i="3"/>
  <c r="D104" i="3" s="1"/>
  <c r="G37" i="8"/>
  <c r="I37" i="8" s="1"/>
  <c r="K37" i="8" s="1"/>
  <c r="I35" i="8"/>
  <c r="Q35" i="8" s="1"/>
  <c r="AH36" i="8"/>
  <c r="AI36" i="8" s="1"/>
  <c r="AK36" i="8" s="1"/>
  <c r="AN36" i="8" s="1"/>
  <c r="AO36" i="8" s="1"/>
  <c r="AH35" i="8"/>
  <c r="AI35" i="8" s="1"/>
  <c r="AK35" i="8" s="1"/>
  <c r="AN35" i="8" s="1"/>
  <c r="AO35" i="8" s="1"/>
  <c r="H36" i="8"/>
  <c r="N53" i="10"/>
  <c r="AA51" i="10"/>
  <c r="AB51" i="10" s="1"/>
  <c r="AA56" i="10"/>
  <c r="P55" i="10"/>
  <c r="P52" i="10"/>
  <c r="AA54" i="10"/>
  <c r="AB54" i="10" s="1"/>
  <c r="AA55" i="10"/>
  <c r="AA52" i="10"/>
  <c r="AB52" i="10" s="1"/>
  <c r="AA57" i="10"/>
  <c r="AB57" i="10" s="1"/>
  <c r="N49" i="10"/>
  <c r="N56" i="10"/>
  <c r="P56" i="10"/>
  <c r="N51" i="10"/>
  <c r="P51" i="10"/>
  <c r="P53" i="10"/>
  <c r="N55" i="10"/>
  <c r="N54" i="10"/>
  <c r="P48" i="10"/>
  <c r="N57" i="10"/>
  <c r="P57" i="10"/>
  <c r="N48" i="10"/>
  <c r="P54" i="10"/>
  <c r="P49" i="10"/>
  <c r="N50" i="10"/>
  <c r="P50" i="10"/>
  <c r="I48" i="10"/>
  <c r="H48" i="10"/>
  <c r="AB48" i="10"/>
  <c r="I55" i="10"/>
  <c r="H55" i="10"/>
  <c r="AB55" i="10"/>
  <c r="I57" i="10"/>
  <c r="H57" i="10"/>
  <c r="I50" i="10"/>
  <c r="AB50" i="10"/>
  <c r="H50" i="10"/>
  <c r="I52" i="10"/>
  <c r="H52" i="10"/>
  <c r="H54" i="10"/>
  <c r="I54" i="10"/>
  <c r="H49" i="10"/>
  <c r="I49" i="10"/>
  <c r="AB49" i="10"/>
  <c r="I56" i="10"/>
  <c r="H56" i="10"/>
  <c r="AB56" i="10"/>
  <c r="I51" i="10"/>
  <c r="H51" i="10"/>
  <c r="I53" i="10"/>
  <c r="H53" i="10"/>
  <c r="AB53" i="10"/>
  <c r="W51" i="9"/>
  <c r="X51" i="9" s="1"/>
  <c r="Q50" i="9"/>
  <c r="Q56" i="9"/>
  <c r="Q54" i="9"/>
  <c r="Q52" i="9"/>
  <c r="Q48" i="9"/>
  <c r="K55" i="9"/>
  <c r="L55" i="9"/>
  <c r="K56" i="9"/>
  <c r="L56" i="9"/>
  <c r="K50" i="9"/>
  <c r="L50" i="9"/>
  <c r="L52" i="9"/>
  <c r="K52" i="9"/>
  <c r="K54" i="9"/>
  <c r="L54" i="9"/>
  <c r="L49" i="9"/>
  <c r="K49" i="9"/>
  <c r="L51" i="9"/>
  <c r="K51" i="9"/>
  <c r="L53" i="9"/>
  <c r="K53" i="9"/>
  <c r="K57" i="9"/>
  <c r="L57" i="9"/>
  <c r="K48" i="9"/>
  <c r="L48" i="9"/>
  <c r="S56" i="9"/>
  <c r="S57" i="9"/>
  <c r="S55" i="9"/>
  <c r="S54" i="9"/>
  <c r="S49" i="9"/>
  <c r="S50" i="9"/>
  <c r="S51" i="9"/>
  <c r="S52" i="9"/>
  <c r="Q34" i="8"/>
  <c r="K34" i="8"/>
  <c r="Q40" i="8"/>
  <c r="K40" i="8"/>
  <c r="H34" i="8"/>
  <c r="I38" i="8"/>
  <c r="H40" i="8"/>
  <c r="AH40" i="8"/>
  <c r="AI40" i="8" s="1"/>
  <c r="AK40" i="8" s="1"/>
  <c r="AN40" i="8" s="1"/>
  <c r="AO40" i="8" s="1"/>
  <c r="AH38" i="8"/>
  <c r="AI38" i="8" s="1"/>
  <c r="AK38" i="8" s="1"/>
  <c r="AN38" i="8" s="1"/>
  <c r="AO38" i="8" s="1"/>
  <c r="I39" i="8"/>
  <c r="AH34" i="8"/>
  <c r="AI34" i="8" s="1"/>
  <c r="AK34" i="8" s="1"/>
  <c r="AN34" i="8" s="1"/>
  <c r="AO34" i="8" s="1"/>
  <c r="AH39" i="8"/>
  <c r="AI39" i="8" s="1"/>
  <c r="AK39" i="8" s="1"/>
  <c r="AN39" i="8" s="1"/>
  <c r="AO39" i="8" s="1"/>
  <c r="K36" i="8"/>
  <c r="Q36" i="8"/>
  <c r="Y39" i="7"/>
  <c r="Y46" i="7"/>
  <c r="Y41" i="7"/>
  <c r="Y27" i="7"/>
  <c r="Y24" i="7"/>
  <c r="Y42" i="7"/>
  <c r="Y36" i="7"/>
  <c r="Y22" i="7"/>
  <c r="Y17" i="7"/>
  <c r="Y26" i="7"/>
  <c r="Y45" i="7"/>
  <c r="Y49" i="7"/>
  <c r="Y18" i="7"/>
  <c r="Y34" i="7"/>
  <c r="Y15" i="7"/>
  <c r="Y33" i="7"/>
  <c r="Y50" i="7"/>
  <c r="Y14" i="7"/>
  <c r="Y44" i="7"/>
  <c r="Y40" i="7"/>
  <c r="Y37" i="7"/>
  <c r="Y47" i="7"/>
  <c r="Y32" i="7"/>
  <c r="Y28" i="7"/>
  <c r="Y25" i="7"/>
  <c r="Y35" i="7"/>
  <c r="Y20" i="7"/>
  <c r="Y16" i="7"/>
  <c r="Y13" i="7"/>
  <c r="Y23" i="7"/>
  <c r="Y29" i="7"/>
  <c r="Y12" i="7"/>
  <c r="Y53" i="7"/>
  <c r="Y43" i="7"/>
  <c r="Y54" i="7"/>
  <c r="Y21" i="7"/>
  <c r="Y11" i="7"/>
  <c r="Y38" i="7"/>
  <c r="Y19" i="7"/>
  <c r="Y31" i="7"/>
  <c r="Y52" i="7"/>
  <c r="Y30" i="7"/>
  <c r="Y51" i="7"/>
  <c r="Y48" i="7"/>
  <c r="H58" i="3"/>
  <c r="D67" i="3"/>
  <c r="D69" i="3" s="1"/>
  <c r="D61" i="3"/>
  <c r="D58" i="3"/>
  <c r="D68" i="3"/>
  <c r="I104" i="2"/>
  <c r="AG33" i="8"/>
  <c r="AD10" i="6"/>
  <c r="D53" i="5"/>
  <c r="X49" i="6" a="1"/>
  <c r="X49" i="6" s="1"/>
  <c r="X50" i="6" a="1"/>
  <c r="X50" i="6" s="1"/>
  <c r="X51" i="6" a="1"/>
  <c r="X51" i="6" s="1"/>
  <c r="X52" i="6" a="1"/>
  <c r="X52" i="6" s="1"/>
  <c r="X53" i="6" a="1"/>
  <c r="X53" i="6" s="1"/>
  <c r="X54" i="6" a="1"/>
  <c r="X54" i="6" s="1"/>
  <c r="X55" i="6" a="1"/>
  <c r="X55" i="6" s="1"/>
  <c r="X56" i="6" a="1"/>
  <c r="X56" i="6" s="1"/>
  <c r="X57" i="6" a="1"/>
  <c r="X57" i="6" s="1"/>
  <c r="X58" i="6" a="1"/>
  <c r="X58" i="6" s="1"/>
  <c r="X59" i="6" a="1"/>
  <c r="X59" i="6" s="1"/>
  <c r="S49" i="6"/>
  <c r="S50" i="6"/>
  <c r="S51" i="6"/>
  <c r="S52" i="6"/>
  <c r="S53" i="6"/>
  <c r="S54" i="6"/>
  <c r="S55" i="6"/>
  <c r="S56" i="6"/>
  <c r="S57" i="6"/>
  <c r="S58" i="6"/>
  <c r="S59" i="6"/>
  <c r="N49" i="6" a="1"/>
  <c r="N49" i="6" s="1"/>
  <c r="N50" i="6" a="1"/>
  <c r="N50" i="6" s="1"/>
  <c r="N51" i="6" a="1"/>
  <c r="N51" i="6" s="1"/>
  <c r="N52" i="6" a="1"/>
  <c r="N52" i="6" s="1"/>
  <c r="N53" i="6" a="1"/>
  <c r="N53" i="6" s="1"/>
  <c r="N54" i="6" a="1"/>
  <c r="N54" i="6" s="1"/>
  <c r="N55" i="6" a="1"/>
  <c r="N55" i="6" s="1"/>
  <c r="N56" i="6" a="1"/>
  <c r="N56" i="6" s="1"/>
  <c r="N57" i="6" a="1"/>
  <c r="N57" i="6" s="1"/>
  <c r="N58" i="6" a="1"/>
  <c r="N58" i="6" s="1"/>
  <c r="N59" i="6" a="1"/>
  <c r="N59" i="6" s="1"/>
  <c r="I49" i="6"/>
  <c r="I50" i="6"/>
  <c r="I51" i="6"/>
  <c r="I52" i="6"/>
  <c r="I53" i="6"/>
  <c r="I54" i="6"/>
  <c r="I55" i="6"/>
  <c r="I56" i="6"/>
  <c r="I57" i="6"/>
  <c r="I58" i="6"/>
  <c r="I59" i="6"/>
  <c r="D23" i="6"/>
  <c r="E49" i="6" a="1"/>
  <c r="E49" i="6" s="1"/>
  <c r="F49" i="6" s="1"/>
  <c r="E50" i="6" a="1"/>
  <c r="E50" i="6" s="1"/>
  <c r="F50" i="6" s="1"/>
  <c r="E51" i="6" a="1"/>
  <c r="E51" i="6" s="1"/>
  <c r="F51" i="6" s="1"/>
  <c r="E52" i="6" a="1"/>
  <c r="E52" i="6" s="1"/>
  <c r="F52" i="6" s="1"/>
  <c r="E53" i="6" a="1"/>
  <c r="E53" i="6" s="1"/>
  <c r="F53" i="6" s="1"/>
  <c r="E54" i="6" a="1"/>
  <c r="E54" i="6" s="1"/>
  <c r="F54" i="6" s="1"/>
  <c r="E55" i="6" a="1"/>
  <c r="E55" i="6" s="1"/>
  <c r="F55" i="6" s="1"/>
  <c r="E56" i="6" a="1"/>
  <c r="E56" i="6" s="1"/>
  <c r="F56" i="6" s="1"/>
  <c r="E57" i="6" a="1"/>
  <c r="E57" i="6" s="1"/>
  <c r="F57" i="6" s="1"/>
  <c r="E58" i="6" a="1"/>
  <c r="E58" i="6" s="1"/>
  <c r="F58" i="6" s="1"/>
  <c r="E59" i="6" a="1"/>
  <c r="E59" i="6" s="1"/>
  <c r="F59" i="6" s="1"/>
  <c r="D49" i="6" a="1"/>
  <c r="D49" i="6" s="1"/>
  <c r="D50" i="6" a="1"/>
  <c r="D50" i="6" s="1"/>
  <c r="D51" i="6" a="1"/>
  <c r="D51" i="6" s="1"/>
  <c r="D52" i="6" a="1"/>
  <c r="D52" i="6" s="1"/>
  <c r="D53" i="6" a="1"/>
  <c r="D53" i="6" s="1"/>
  <c r="D54" i="6" a="1"/>
  <c r="D54" i="6" s="1"/>
  <c r="D55" i="6" a="1"/>
  <c r="D55" i="6" s="1"/>
  <c r="D56" i="6" a="1"/>
  <c r="D56" i="6" s="1"/>
  <c r="D57" i="6" a="1"/>
  <c r="D57" i="6" s="1"/>
  <c r="D58" i="6" a="1"/>
  <c r="D58" i="6" s="1"/>
  <c r="D59" i="6" a="1"/>
  <c r="D59" i="6" s="1"/>
  <c r="D14" i="6"/>
  <c r="AD11" i="6" s="1"/>
  <c r="D19" i="6"/>
  <c r="F80" i="5"/>
  <c r="F79" i="5"/>
  <c r="F35" i="5" a="1"/>
  <c r="F35" i="5" s="1"/>
  <c r="G35" i="5" a="1"/>
  <c r="G35" i="5" s="1"/>
  <c r="H35" i="5" a="1"/>
  <c r="H35" i="5" s="1"/>
  <c r="I35" i="5" a="1"/>
  <c r="I35" i="5" s="1"/>
  <c r="F36" i="5" a="1"/>
  <c r="F36" i="5" s="1"/>
  <c r="G36" i="5" a="1"/>
  <c r="G36" i="5" s="1"/>
  <c r="H36" i="5" a="1"/>
  <c r="H36" i="5" s="1"/>
  <c r="I36" i="5" a="1"/>
  <c r="I36" i="5" s="1"/>
  <c r="F37" i="5" a="1"/>
  <c r="F37" i="5" s="1"/>
  <c r="G37" i="5" a="1"/>
  <c r="G37" i="5" s="1"/>
  <c r="H37" i="5" a="1"/>
  <c r="H37" i="5" s="1"/>
  <c r="I37" i="5" a="1"/>
  <c r="I37" i="5" s="1"/>
  <c r="F38" i="5" a="1"/>
  <c r="F38" i="5" s="1"/>
  <c r="G38" i="5" a="1"/>
  <c r="G38" i="5" s="1"/>
  <c r="H38" i="5" a="1"/>
  <c r="H38" i="5" s="1"/>
  <c r="I38" i="5" a="1"/>
  <c r="I38" i="5" s="1"/>
  <c r="F39" i="5" a="1"/>
  <c r="F39" i="5" s="1"/>
  <c r="G39" i="5" a="1"/>
  <c r="G39" i="5" s="1"/>
  <c r="H39" i="5" a="1"/>
  <c r="H39" i="5" s="1"/>
  <c r="I39" i="5" a="1"/>
  <c r="I39" i="5" s="1"/>
  <c r="F40" i="5" a="1"/>
  <c r="F40" i="5" s="1"/>
  <c r="G40" i="5" a="1"/>
  <c r="G40" i="5" s="1"/>
  <c r="H40" i="5" a="1"/>
  <c r="H40" i="5" s="1"/>
  <c r="I40" i="5" a="1"/>
  <c r="I40" i="5" s="1"/>
  <c r="F41" i="5" a="1"/>
  <c r="F41" i="5" s="1"/>
  <c r="G41" i="5" a="1"/>
  <c r="G41" i="5" s="1"/>
  <c r="H41" i="5" a="1"/>
  <c r="H41" i="5" s="1"/>
  <c r="I41" i="5" a="1"/>
  <c r="I41" i="5" s="1"/>
  <c r="F42" i="5" a="1"/>
  <c r="F42" i="5" s="1"/>
  <c r="G42" i="5" a="1"/>
  <c r="G42" i="5" s="1"/>
  <c r="H42" i="5" a="1"/>
  <c r="H42" i="5" s="1"/>
  <c r="I42" i="5" a="1"/>
  <c r="I42" i="5" s="1"/>
  <c r="F43" i="5" a="1"/>
  <c r="F43" i="5" s="1"/>
  <c r="G43" i="5" a="1"/>
  <c r="G43" i="5" s="1"/>
  <c r="H43" i="5" a="1"/>
  <c r="H43" i="5" s="1"/>
  <c r="I43" i="5" a="1"/>
  <c r="I43" i="5" s="1"/>
  <c r="F65" i="5"/>
  <c r="F66" i="5"/>
  <c r="E43" i="5"/>
  <c r="E42" i="5"/>
  <c r="E41" i="5"/>
  <c r="E40" i="5"/>
  <c r="E39" i="5"/>
  <c r="H28" i="5"/>
  <c r="E22" i="5"/>
  <c r="E21" i="5"/>
  <c r="E20" i="5"/>
  <c r="E19" i="5"/>
  <c r="E18" i="5"/>
  <c r="H74" i="2"/>
  <c r="H69" i="2"/>
  <c r="C59" i="6" a="1"/>
  <c r="C51" i="6" a="1"/>
  <c r="C52" i="6" a="1"/>
  <c r="C58" i="6" a="1"/>
  <c r="C53" i="6" a="1"/>
  <c r="C54" i="6" a="1"/>
  <c r="C57" i="6" a="1"/>
  <c r="C49" i="6" a="1"/>
  <c r="C55" i="6" a="1"/>
  <c r="C50" i="6" a="1"/>
  <c r="C56" i="6" a="1"/>
  <c r="E8" i="7"/>
  <c r="E28" i="5" a="1"/>
  <c r="E26" i="5" a="1"/>
  <c r="F34" i="5" a="1"/>
  <c r="E34" i="5"/>
  <c r="I34" i="5" a="1"/>
  <c r="H34" i="5" a="1"/>
  <c r="G34" i="5" a="1"/>
  <c r="D34" i="2"/>
  <c r="D31" i="2"/>
  <c r="D26" i="6"/>
  <c r="I39" i="6"/>
  <c r="I45" i="6"/>
  <c r="S38" i="6"/>
  <c r="I44" i="6"/>
  <c r="X48" i="6" a="1"/>
  <c r="N37" i="6" a="1"/>
  <c r="X46" i="6" a="1"/>
  <c r="X38" i="6" a="1"/>
  <c r="E38" i="6" a="1"/>
  <c r="E46" i="6" a="1"/>
  <c r="C42" i="6" a="1"/>
  <c r="E47" i="6" a="1"/>
  <c r="I38" i="6"/>
  <c r="E42" i="6" a="1"/>
  <c r="X45" i="6" a="1"/>
  <c r="N39" i="6" a="1"/>
  <c r="E44" i="6" a="1"/>
  <c r="S46" i="6"/>
  <c r="X41" i="6" a="1"/>
  <c r="C47" i="6" a="1"/>
  <c r="E48" i="6" a="1"/>
  <c r="C39" i="6" a="1"/>
  <c r="X39" i="6" a="1"/>
  <c r="E40" i="6" a="1"/>
  <c r="D42" i="6" a="1"/>
  <c r="S44" i="6"/>
  <c r="C41" i="6" a="1"/>
  <c r="S48" i="6"/>
  <c r="C45" i="6" a="1"/>
  <c r="N48" i="6" a="1"/>
  <c r="S42" i="6"/>
  <c r="X42" i="6" a="1"/>
  <c r="S47" i="6"/>
  <c r="S41" i="6"/>
  <c r="C44" i="6" a="1"/>
  <c r="X36" i="6" a="1"/>
  <c r="C46" i="6" a="1"/>
  <c r="N45" i="6" a="1"/>
  <c r="C48" i="6" a="1"/>
  <c r="N43" i="6" a="1"/>
  <c r="S43" i="6"/>
  <c r="D38" i="6" a="1"/>
  <c r="D43" i="6" a="1"/>
  <c r="D48" i="6" a="1"/>
  <c r="D39" i="6" a="1"/>
  <c r="N38" i="6" a="1"/>
  <c r="D40" i="6" a="1"/>
  <c r="D37" i="6" a="1"/>
  <c r="S36" i="6"/>
  <c r="I47" i="6"/>
  <c r="X37" i="6" a="1"/>
  <c r="I43" i="6"/>
  <c r="I41" i="6"/>
  <c r="E41" i="6" a="1"/>
  <c r="D46" i="6" a="1"/>
  <c r="S45" i="6"/>
  <c r="I36" i="6"/>
  <c r="D47" i="6" a="1"/>
  <c r="I37" i="6"/>
  <c r="C38" i="6" a="1"/>
  <c r="S40" i="6"/>
  <c r="I46" i="6"/>
  <c r="D44" i="6" a="1"/>
  <c r="C37" i="6" a="1"/>
  <c r="N42" i="6" a="1"/>
  <c r="X44" i="6" a="1"/>
  <c r="S39" i="6"/>
  <c r="N46" i="6" a="1"/>
  <c r="E45" i="6" a="1"/>
  <c r="C43" i="6" a="1"/>
  <c r="X40" i="6" a="1"/>
  <c r="I48" i="6"/>
  <c r="N40" i="6" a="1"/>
  <c r="S37" i="6"/>
  <c r="D41" i="6" a="1"/>
  <c r="E43" i="6" a="1"/>
  <c r="N47" i="6" a="1"/>
  <c r="N44" i="6" a="1"/>
  <c r="E36" i="6" a="1"/>
  <c r="D36" i="6" a="1"/>
  <c r="N36" i="6" a="1"/>
  <c r="N41" i="6" a="1"/>
  <c r="X43" i="6" a="1"/>
  <c r="D45" i="6" a="1"/>
  <c r="I42" i="6"/>
  <c r="E39" i="6" a="1"/>
  <c r="E37" i="6" a="1"/>
  <c r="I40" i="6"/>
  <c r="X47" i="6" a="1"/>
  <c r="C40" i="6" a="1"/>
  <c r="C36" i="6" a="1"/>
  <c r="E35" i="6" a="1"/>
  <c r="C35" i="6" a="1"/>
  <c r="X35" i="6" a="1"/>
  <c r="D35" i="6" a="1"/>
  <c r="N35" i="6" a="1"/>
  <c r="S35" i="6"/>
  <c r="H59" i="3" a="1"/>
  <c r="D59" i="3" a="1"/>
  <c r="D70" i="3" a="1"/>
  <c r="E33" i="8"/>
  <c r="L40" i="8" a="1"/>
  <c r="R36" i="8" a="1"/>
  <c r="L37" i="8" a="1"/>
  <c r="F33" i="8"/>
  <c r="L36" i="8" a="1"/>
  <c r="R35" i="8" a="1"/>
  <c r="L34" i="8" a="1"/>
  <c r="R34" i="8" a="1"/>
  <c r="R40" i="8" a="1"/>
  <c r="Q37" i="8" l="1"/>
  <c r="AH37" i="8"/>
  <c r="AI37" i="8" s="1"/>
  <c r="AK37" i="8" s="1"/>
  <c r="AN37" i="8" s="1"/>
  <c r="AO37" i="8" s="1"/>
  <c r="H37" i="8"/>
  <c r="O37" i="8" s="1"/>
  <c r="D119" i="3"/>
  <c r="D121" i="3" s="1"/>
  <c r="D122" i="3" s="1"/>
  <c r="F123" i="3" s="1"/>
  <c r="D107" i="3"/>
  <c r="D111" i="3" s="1"/>
  <c r="D113" i="3" s="1"/>
  <c r="D115" i="3" s="1"/>
  <c r="D128" i="3" s="1"/>
  <c r="D103" i="3"/>
  <c r="D105" i="3" s="1"/>
  <c r="D108" i="3" s="1"/>
  <c r="D118" i="3" s="1"/>
  <c r="F132" i="3" s="1"/>
  <c r="K35" i="8"/>
  <c r="J57" i="10"/>
  <c r="M57" i="10" s="1"/>
  <c r="J52" i="10"/>
  <c r="M52" i="10" s="1"/>
  <c r="O52" i="10" s="1"/>
  <c r="Q52" i="10" s="1"/>
  <c r="O57" i="10"/>
  <c r="Q57" i="10" s="1"/>
  <c r="J48" i="10"/>
  <c r="M48" i="10" s="1"/>
  <c r="O48" i="10" s="1"/>
  <c r="Q48" i="10" s="1"/>
  <c r="J55" i="10"/>
  <c r="M55" i="10" s="1"/>
  <c r="O55" i="10" s="1"/>
  <c r="Q55" i="10" s="1"/>
  <c r="J51" i="10"/>
  <c r="M51" i="10" s="1"/>
  <c r="O51" i="10" s="1"/>
  <c r="Q51" i="10" s="1"/>
  <c r="J53" i="10"/>
  <c r="J56" i="10"/>
  <c r="Y56" i="10" s="1"/>
  <c r="Z56" i="10" s="1"/>
  <c r="J50" i="10"/>
  <c r="R57" i="10"/>
  <c r="S57" i="10" s="1"/>
  <c r="J49" i="10"/>
  <c r="J54" i="10"/>
  <c r="M51" i="9"/>
  <c r="P51" i="9"/>
  <c r="R51" i="9" s="1"/>
  <c r="T51" i="9" s="1"/>
  <c r="M57" i="9"/>
  <c r="AB57" i="9" s="1"/>
  <c r="AC57" i="9" s="1"/>
  <c r="M50" i="9"/>
  <c r="M54" i="9"/>
  <c r="M52" i="9"/>
  <c r="M53" i="9"/>
  <c r="M55" i="9"/>
  <c r="M49" i="9"/>
  <c r="M56" i="9"/>
  <c r="M48" i="9"/>
  <c r="U48" i="9" s="1"/>
  <c r="AB51" i="9"/>
  <c r="AC51" i="9" s="1"/>
  <c r="L40" i="8"/>
  <c r="N40" i="8" s="1"/>
  <c r="O40" i="8"/>
  <c r="R35" i="8"/>
  <c r="T35" i="8" s="1"/>
  <c r="U35" i="8"/>
  <c r="L36" i="8"/>
  <c r="N36" i="8" s="1"/>
  <c r="O36" i="8"/>
  <c r="L34" i="8"/>
  <c r="N34" i="8" s="1"/>
  <c r="O34" i="8"/>
  <c r="R34" i="8"/>
  <c r="T34" i="8" s="1"/>
  <c r="U34" i="8"/>
  <c r="R36" i="8"/>
  <c r="T36" i="8" s="1"/>
  <c r="U36" i="8"/>
  <c r="R40" i="8"/>
  <c r="T40" i="8" s="1"/>
  <c r="U40" i="8"/>
  <c r="L37" i="8"/>
  <c r="K38" i="8"/>
  <c r="Q38" i="8"/>
  <c r="Q39" i="8"/>
  <c r="K39" i="8"/>
  <c r="G33" i="8"/>
  <c r="H33" i="8" s="1"/>
  <c r="Y10" i="7"/>
  <c r="H59" i="3"/>
  <c r="H62" i="3" s="1"/>
  <c r="D70" i="3"/>
  <c r="D72" i="3" s="1"/>
  <c r="D73" i="3" s="1"/>
  <c r="D59" i="3"/>
  <c r="D62" i="3" s="1"/>
  <c r="D75" i="3" s="1"/>
  <c r="AD12" i="6"/>
  <c r="AD13" i="6" s="1"/>
  <c r="AD14" i="6" s="1"/>
  <c r="G56" i="6"/>
  <c r="G57" i="6"/>
  <c r="G55" i="6"/>
  <c r="G54" i="6"/>
  <c r="G53" i="6"/>
  <c r="G52" i="6"/>
  <c r="G51" i="6"/>
  <c r="G50" i="6"/>
  <c r="G49" i="6"/>
  <c r="G59" i="6"/>
  <c r="G58" i="6"/>
  <c r="H57" i="6"/>
  <c r="O57" i="6" s="1"/>
  <c r="H56" i="6"/>
  <c r="J56" i="6" s="1"/>
  <c r="H55" i="6"/>
  <c r="O55" i="6" s="1"/>
  <c r="H54" i="6"/>
  <c r="T54" i="6" s="1"/>
  <c r="H53" i="6"/>
  <c r="O53" i="6" s="1"/>
  <c r="H52" i="6"/>
  <c r="Y52" i="6" s="1"/>
  <c r="H51" i="6"/>
  <c r="T51" i="6" s="1"/>
  <c r="H50" i="6"/>
  <c r="T50" i="6" s="1"/>
  <c r="H49" i="6"/>
  <c r="Y49" i="6" s="1"/>
  <c r="H59" i="6"/>
  <c r="J59" i="6" s="1"/>
  <c r="H58" i="6"/>
  <c r="O58" i="6" s="1"/>
  <c r="X47" i="6"/>
  <c r="X41" i="6"/>
  <c r="X40" i="6"/>
  <c r="X46" i="6"/>
  <c r="X45" i="6"/>
  <c r="X39" i="6"/>
  <c r="X38" i="6"/>
  <c r="X44" i="6"/>
  <c r="X37" i="6"/>
  <c r="X43" i="6"/>
  <c r="X48" i="6"/>
  <c r="X42" i="6"/>
  <c r="X36" i="6"/>
  <c r="X35" i="6"/>
  <c r="N42" i="6"/>
  <c r="N41" i="6"/>
  <c r="N40" i="6"/>
  <c r="N46" i="6"/>
  <c r="N47" i="6"/>
  <c r="N45" i="6"/>
  <c r="N39" i="6"/>
  <c r="N38" i="6"/>
  <c r="N44" i="6"/>
  <c r="N37" i="6"/>
  <c r="N43" i="6"/>
  <c r="N48" i="6"/>
  <c r="N36" i="6"/>
  <c r="N35" i="6"/>
  <c r="E44" i="6"/>
  <c r="F44" i="6" s="1"/>
  <c r="E38" i="6"/>
  <c r="F38" i="6" s="1"/>
  <c r="H38" i="6" s="1"/>
  <c r="J38" i="6" s="1"/>
  <c r="E43" i="6"/>
  <c r="F43" i="6" s="1"/>
  <c r="H43" i="6" s="1"/>
  <c r="E37" i="6"/>
  <c r="F37" i="6" s="1"/>
  <c r="H37" i="6" s="1"/>
  <c r="E48" i="6"/>
  <c r="F48" i="6" s="1"/>
  <c r="H48" i="6" s="1"/>
  <c r="E42" i="6"/>
  <c r="F42" i="6" s="1"/>
  <c r="H42" i="6" s="1"/>
  <c r="E36" i="6"/>
  <c r="F36" i="6" s="1"/>
  <c r="H36" i="6" s="1"/>
  <c r="E47" i="6"/>
  <c r="F47" i="6" s="1"/>
  <c r="H47" i="6" s="1"/>
  <c r="T47" i="6" s="1"/>
  <c r="E40" i="6"/>
  <c r="F40" i="6" s="1"/>
  <c r="H40" i="6" s="1"/>
  <c r="J40" i="6" s="1"/>
  <c r="E45" i="6"/>
  <c r="F45" i="6" s="1"/>
  <c r="H45" i="6" s="1"/>
  <c r="J45" i="6" s="1"/>
  <c r="E39" i="6"/>
  <c r="F39" i="6" s="1"/>
  <c r="H39" i="6" s="1"/>
  <c r="E41" i="6"/>
  <c r="F41" i="6" s="1"/>
  <c r="H41" i="6" s="1"/>
  <c r="J41" i="6" s="1"/>
  <c r="E46" i="6"/>
  <c r="F46" i="6" s="1"/>
  <c r="H46" i="6" s="1"/>
  <c r="E35" i="6"/>
  <c r="F35" i="6" s="1"/>
  <c r="H35" i="6" s="1"/>
  <c r="T35" i="6" s="1"/>
  <c r="D38" i="6"/>
  <c r="D43" i="6"/>
  <c r="D37" i="6"/>
  <c r="D48" i="6"/>
  <c r="D42" i="6"/>
  <c r="D36" i="6"/>
  <c r="D41" i="6"/>
  <c r="D46" i="6"/>
  <c r="D40" i="6"/>
  <c r="D39" i="6"/>
  <c r="D47" i="6"/>
  <c r="D45" i="6"/>
  <c r="D44" i="6"/>
  <c r="D35" i="6"/>
  <c r="C56" i="6"/>
  <c r="C50" i="6"/>
  <c r="C55" i="6"/>
  <c r="C49" i="6"/>
  <c r="C57" i="6"/>
  <c r="C54" i="6"/>
  <c r="C53" i="6"/>
  <c r="C58" i="6"/>
  <c r="C52" i="6"/>
  <c r="C51" i="6"/>
  <c r="C59" i="6"/>
  <c r="C44" i="6"/>
  <c r="C48" i="6"/>
  <c r="C42" i="6"/>
  <c r="C46" i="6"/>
  <c r="C41" i="6"/>
  <c r="C40" i="6"/>
  <c r="C47" i="6"/>
  <c r="C39" i="6"/>
  <c r="C45" i="6"/>
  <c r="C38" i="6"/>
  <c r="C37" i="6"/>
  <c r="C43" i="6"/>
  <c r="C36" i="6"/>
  <c r="C35" i="6"/>
  <c r="F34" i="5"/>
  <c r="G34" i="5"/>
  <c r="D52" i="5" s="1"/>
  <c r="H34" i="5"/>
  <c r="F51" i="5" s="1"/>
  <c r="I34" i="5"/>
  <c r="F52" i="5" s="1"/>
  <c r="D51" i="5"/>
  <c r="E26" i="5"/>
  <c r="E28" i="5"/>
  <c r="E30" i="5" s="1"/>
  <c r="Z52" i="6" a="1"/>
  <c r="U35" i="6" a="1"/>
  <c r="P53" i="6" a="1"/>
  <c r="K41" i="6" a="1"/>
  <c r="Z49" i="6" a="1"/>
  <c r="U47" i="6" a="1"/>
  <c r="K59" i="6" a="1"/>
  <c r="U51" i="6" a="1"/>
  <c r="K56" i="6" a="1"/>
  <c r="T57" i="10" a="1"/>
  <c r="K40" i="6" a="1"/>
  <c r="P55" i="6" a="1"/>
  <c r="U54" i="6" a="1"/>
  <c r="P58" i="6" a="1"/>
  <c r="P57" i="6" a="1"/>
  <c r="U50" i="6" a="1"/>
  <c r="K45" i="6" a="1"/>
  <c r="K38" i="6" a="1"/>
  <c r="L35" i="8" a="1"/>
  <c r="L39" i="8" a="1"/>
  <c r="L38" i="8" a="1"/>
  <c r="R38" i="8" a="1"/>
  <c r="R37" i="8" a="1"/>
  <c r="R39" i="8" a="1"/>
  <c r="U37" i="8" l="1"/>
  <c r="R37" i="8"/>
  <c r="T37" i="8" s="1"/>
  <c r="N37" i="8"/>
  <c r="V36" i="8"/>
  <c r="W36" i="8" s="1"/>
  <c r="D109" i="3"/>
  <c r="H109" i="3" s="1"/>
  <c r="V48" i="9"/>
  <c r="O35" i="8"/>
  <c r="Y35" i="8" s="1"/>
  <c r="Z35" i="8" s="1"/>
  <c r="L35" i="8"/>
  <c r="N35" i="8" s="1"/>
  <c r="V35" i="8" s="1"/>
  <c r="AB35" i="8" s="1"/>
  <c r="AC35" i="8" s="1"/>
  <c r="V40" i="8"/>
  <c r="W40" i="8" s="1"/>
  <c r="Y37" i="8"/>
  <c r="Z37" i="8" s="1"/>
  <c r="V37" i="8"/>
  <c r="W37" i="8" s="1"/>
  <c r="Y57" i="10"/>
  <c r="Z57" i="10" s="1"/>
  <c r="R48" i="10"/>
  <c r="S48" i="10" s="1"/>
  <c r="R55" i="10"/>
  <c r="S55" i="10" s="1"/>
  <c r="Y52" i="10"/>
  <c r="Z52" i="10" s="1"/>
  <c r="R52" i="10"/>
  <c r="S52" i="10" s="1"/>
  <c r="Y48" i="10"/>
  <c r="Z48" i="10" s="1"/>
  <c r="Y55" i="10"/>
  <c r="Z55" i="10" s="1"/>
  <c r="R51" i="10"/>
  <c r="S51" i="10" s="1"/>
  <c r="Y51" i="10"/>
  <c r="Z51" i="10" s="1"/>
  <c r="Y53" i="10"/>
  <c r="Z53" i="10" s="1"/>
  <c r="M53" i="10"/>
  <c r="O53" i="10" s="1"/>
  <c r="Q53" i="10" s="1"/>
  <c r="R53" i="10"/>
  <c r="S53" i="10" s="1"/>
  <c r="M56" i="10"/>
  <c r="O56" i="10" s="1"/>
  <c r="Q56" i="10" s="1"/>
  <c r="R56" i="10"/>
  <c r="S56" i="10" s="1"/>
  <c r="T57" i="10"/>
  <c r="U57" i="10" s="1"/>
  <c r="X57" i="10" s="1"/>
  <c r="Y50" i="10"/>
  <c r="Z50" i="10" s="1"/>
  <c r="R50" i="10"/>
  <c r="M50" i="10"/>
  <c r="O50" i="10" s="1"/>
  <c r="Q50" i="10" s="1"/>
  <c r="M54" i="10"/>
  <c r="O54" i="10" s="1"/>
  <c r="Q54" i="10" s="1"/>
  <c r="R54" i="10"/>
  <c r="Y54" i="10"/>
  <c r="Z54" i="10" s="1"/>
  <c r="Y49" i="10"/>
  <c r="Z49" i="10" s="1"/>
  <c r="R49" i="10"/>
  <c r="M49" i="10"/>
  <c r="O49" i="10" s="1"/>
  <c r="Q49" i="10" s="1"/>
  <c r="AA52" i="9"/>
  <c r="AA54" i="9"/>
  <c r="AA49" i="9"/>
  <c r="AA51" i="9"/>
  <c r="AA53" i="9"/>
  <c r="P48" i="9"/>
  <c r="R48" i="9" s="1"/>
  <c r="AB48" i="9"/>
  <c r="AC48" i="9" s="1"/>
  <c r="AB56" i="9"/>
  <c r="AC56" i="9" s="1"/>
  <c r="P50" i="9"/>
  <c r="R50" i="9" s="1"/>
  <c r="T50" i="9" s="1"/>
  <c r="P57" i="9"/>
  <c r="R57" i="9" s="1"/>
  <c r="T57" i="9" s="1"/>
  <c r="P55" i="9"/>
  <c r="R55" i="9" s="1"/>
  <c r="T55" i="9" s="1"/>
  <c r="AB50" i="9"/>
  <c r="AC50" i="9" s="1"/>
  <c r="P56" i="9"/>
  <c r="AB49" i="9"/>
  <c r="AC49" i="9" s="1"/>
  <c r="P49" i="9"/>
  <c r="P53" i="9"/>
  <c r="P52" i="9"/>
  <c r="P54" i="9"/>
  <c r="AB53" i="9"/>
  <c r="AC53" i="9" s="1"/>
  <c r="AB54" i="9"/>
  <c r="AC54" i="9" s="1"/>
  <c r="AB52" i="9"/>
  <c r="AC52" i="9" s="1"/>
  <c r="AB55" i="9"/>
  <c r="AC55" i="9" s="1"/>
  <c r="T48" i="9"/>
  <c r="R38" i="8"/>
  <c r="T38" i="8" s="1"/>
  <c r="U38" i="8"/>
  <c r="L38" i="8"/>
  <c r="N38" i="8" s="1"/>
  <c r="O38" i="8"/>
  <c r="L39" i="8"/>
  <c r="N39" i="8" s="1"/>
  <c r="O39" i="8"/>
  <c r="R39" i="8"/>
  <c r="T39" i="8" s="1"/>
  <c r="U39" i="8"/>
  <c r="Y36" i="8"/>
  <c r="Z36" i="8" s="1"/>
  <c r="Y34" i="8"/>
  <c r="Z34" i="8" s="1"/>
  <c r="V34" i="8"/>
  <c r="Y40" i="8"/>
  <c r="Z40" i="8" s="1"/>
  <c r="I33" i="8"/>
  <c r="Q33" i="8" s="1"/>
  <c r="AH33" i="8"/>
  <c r="AI33" i="8" s="1"/>
  <c r="AK33" i="8" s="1"/>
  <c r="AN33" i="8" s="1"/>
  <c r="AO33" i="8" s="1"/>
  <c r="D63" i="3"/>
  <c r="D76" i="3" s="1"/>
  <c r="H67" i="3" s="1"/>
  <c r="H70" i="3" s="1"/>
  <c r="H63" i="3"/>
  <c r="D130" i="3"/>
  <c r="H128" i="3"/>
  <c r="G48" i="6"/>
  <c r="G43" i="6"/>
  <c r="G47" i="6"/>
  <c r="G45" i="6"/>
  <c r="G37" i="6"/>
  <c r="Y45" i="6"/>
  <c r="G40" i="6"/>
  <c r="J57" i="6"/>
  <c r="G38" i="6"/>
  <c r="Y50" i="6"/>
  <c r="G39" i="6"/>
  <c r="G46" i="6"/>
  <c r="G35" i="6"/>
  <c r="G41" i="6"/>
  <c r="G36" i="6"/>
  <c r="G42" i="6"/>
  <c r="H44" i="6"/>
  <c r="T44" i="6" s="1"/>
  <c r="G44" i="6"/>
  <c r="T49" i="6"/>
  <c r="Y56" i="6"/>
  <c r="O38" i="6"/>
  <c r="U47" i="6"/>
  <c r="Z52" i="6"/>
  <c r="P57" i="6"/>
  <c r="U54" i="6"/>
  <c r="P55" i="6"/>
  <c r="P58" i="6"/>
  <c r="R58" i="6" s="1"/>
  <c r="K56" i="6"/>
  <c r="K59" i="6"/>
  <c r="M59" i="6" s="1"/>
  <c r="K40" i="6"/>
  <c r="Z49" i="6"/>
  <c r="K38" i="6"/>
  <c r="U50" i="6"/>
  <c r="U35" i="6"/>
  <c r="U51" i="6"/>
  <c r="K41" i="6"/>
  <c r="P53" i="6"/>
  <c r="R53" i="6" s="1"/>
  <c r="K45" i="6"/>
  <c r="Y54" i="6"/>
  <c r="Y57" i="6"/>
  <c r="O45" i="6"/>
  <c r="T57" i="6"/>
  <c r="J49" i="6"/>
  <c r="J43" i="6"/>
  <c r="T43" i="6"/>
  <c r="O51" i="6"/>
  <c r="J55" i="6"/>
  <c r="Y55" i="6"/>
  <c r="J47" i="6"/>
  <c r="T56" i="6"/>
  <c r="Y43" i="6"/>
  <c r="J53" i="6"/>
  <c r="T55" i="6"/>
  <c r="Y51" i="6"/>
  <c r="O56" i="6"/>
  <c r="O54" i="6"/>
  <c r="J46" i="6"/>
  <c r="T46" i="6"/>
  <c r="J39" i="6"/>
  <c r="T39" i="6"/>
  <c r="T36" i="6"/>
  <c r="J36" i="6"/>
  <c r="T42" i="6"/>
  <c r="J42" i="6"/>
  <c r="T48" i="6"/>
  <c r="J48" i="6"/>
  <c r="T37" i="6"/>
  <c r="J37" i="6"/>
  <c r="Y37" i="6"/>
  <c r="T52" i="6"/>
  <c r="O40" i="6"/>
  <c r="T58" i="6"/>
  <c r="T38" i="6"/>
  <c r="J35" i="6"/>
  <c r="O35" i="6"/>
  <c r="O41" i="6"/>
  <c r="Y46" i="6"/>
  <c r="J54" i="6"/>
  <c r="Y58" i="6"/>
  <c r="Y48" i="6"/>
  <c r="O39" i="6"/>
  <c r="J58" i="6"/>
  <c r="O36" i="6"/>
  <c r="Y40" i="6"/>
  <c r="T53" i="6"/>
  <c r="O49" i="6"/>
  <c r="O50" i="6"/>
  <c r="T41" i="6"/>
  <c r="O43" i="6"/>
  <c r="Y36" i="6"/>
  <c r="Y47" i="6"/>
  <c r="J50" i="6"/>
  <c r="J51" i="6"/>
  <c r="O42" i="6"/>
  <c r="T40" i="6"/>
  <c r="O48" i="6"/>
  <c r="Y35" i="6"/>
  <c r="Y41" i="6"/>
  <c r="O37" i="6"/>
  <c r="Y42" i="6"/>
  <c r="Y53" i="6"/>
  <c r="T45" i="6"/>
  <c r="O52" i="6"/>
  <c r="J52" i="6"/>
  <c r="O47" i="6"/>
  <c r="Y38" i="6"/>
  <c r="O46" i="6"/>
  <c r="Y39" i="6"/>
  <c r="O59" i="6"/>
  <c r="T59" i="6"/>
  <c r="Y59" i="6"/>
  <c r="D57" i="5"/>
  <c r="I57" i="5"/>
  <c r="D71" i="5"/>
  <c r="I71" i="5"/>
  <c r="U39" i="6" a="1"/>
  <c r="P50" i="6" a="1"/>
  <c r="K58" i="6" a="1"/>
  <c r="Z35" i="6" a="1"/>
  <c r="K42" i="6" a="1"/>
  <c r="P49" i="6" a="1"/>
  <c r="K55" i="6" a="1"/>
  <c r="P54" i="6" a="1"/>
  <c r="P47" i="6" a="1"/>
  <c r="Z42" i="6" a="1"/>
  <c r="I74" i="5" a="1"/>
  <c r="U56" i="6" a="1"/>
  <c r="P52" i="6" a="1"/>
  <c r="Z40" i="6" a="1"/>
  <c r="T56" i="10" a="1"/>
  <c r="U46" i="6" a="1"/>
  <c r="U43" i="6" a="1"/>
  <c r="U36" i="6" a="1"/>
  <c r="Z56" i="6" a="1"/>
  <c r="T48" i="10" a="1"/>
  <c r="K57" i="6" a="1"/>
  <c r="Z58" i="6" a="1"/>
  <c r="P39" i="6" a="1"/>
  <c r="Z43" i="6" a="1"/>
  <c r="K52" i="6" a="1"/>
  <c r="U41" i="6" a="1"/>
  <c r="K49" i="6" a="1"/>
  <c r="K54" i="6" a="1"/>
  <c r="Z55" i="6" a="1"/>
  <c r="P46" i="6" a="1"/>
  <c r="U49" i="6" a="1"/>
  <c r="P48" i="6" a="1"/>
  <c r="K48" i="6" a="1"/>
  <c r="P36" i="6" a="1"/>
  <c r="Z54" i="6" a="1"/>
  <c r="U59" i="6" a="1"/>
  <c r="P41" i="6" a="1"/>
  <c r="U44" i="6" a="1"/>
  <c r="P40" i="6" a="1"/>
  <c r="P59" i="6" a="1"/>
  <c r="K51" i="6" a="1"/>
  <c r="Z48" i="6" a="1"/>
  <c r="W48" i="9" a="1"/>
  <c r="K37" i="6" a="1"/>
  <c r="T52" i="10" a="1"/>
  <c r="K46" i="6" a="1"/>
  <c r="P37" i="6" a="1"/>
  <c r="Z47" i="6" a="1"/>
  <c r="P35" i="6" a="1"/>
  <c r="Z50" i="6" a="1"/>
  <c r="Z41" i="6" a="1"/>
  <c r="P43" i="6" a="1"/>
  <c r="Z37" i="6" a="1"/>
  <c r="Z59" i="6" a="1"/>
  <c r="P42" i="6" a="1"/>
  <c r="P56" i="6" a="1"/>
  <c r="T53" i="10" a="1"/>
  <c r="T55" i="10" a="1"/>
  <c r="K43" i="6" a="1"/>
  <c r="K39" i="6" a="1"/>
  <c r="Z57" i="6" a="1"/>
  <c r="Z36" i="6" a="1"/>
  <c r="U48" i="6" a="1"/>
  <c r="K47" i="6" a="1"/>
  <c r="Z46" i="6" a="1"/>
  <c r="K50" i="6" a="1"/>
  <c r="Z51" i="6" a="1"/>
  <c r="K53" i="6" a="1"/>
  <c r="T51" i="10" a="1"/>
  <c r="K35" i="6" a="1"/>
  <c r="Z38" i="6" a="1"/>
  <c r="U45" i="6" a="1"/>
  <c r="U37" i="6" a="1"/>
  <c r="D74" i="5" a="1"/>
  <c r="P51" i="6" a="1"/>
  <c r="U42" i="6" a="1"/>
  <c r="Z45" i="6" a="1"/>
  <c r="U40" i="6" a="1"/>
  <c r="P45" i="6" a="1"/>
  <c r="U52" i="6" a="1"/>
  <c r="Z39" i="6" a="1"/>
  <c r="U53" i="6" a="1"/>
  <c r="U58" i="6" a="1"/>
  <c r="U55" i="6" a="1"/>
  <c r="P38" i="6" a="1"/>
  <c r="U38" i="6" a="1"/>
  <c r="K36" i="6" a="1"/>
  <c r="Z53" i="6" a="1"/>
  <c r="U57" i="6" a="1"/>
  <c r="R33" i="8" a="1"/>
  <c r="AB36" i="8" l="1"/>
  <c r="AC36" i="8" s="1"/>
  <c r="Y38" i="8"/>
  <c r="Z38" i="8" s="1"/>
  <c r="AB37" i="8"/>
  <c r="AC37" i="8" s="1"/>
  <c r="K33" i="8"/>
  <c r="W35" i="8"/>
  <c r="AB40" i="8"/>
  <c r="AC40" i="8" s="1"/>
  <c r="V38" i="8"/>
  <c r="W38" i="8" s="1"/>
  <c r="T48" i="10"/>
  <c r="U48" i="10" s="1"/>
  <c r="X48" i="10" s="1"/>
  <c r="T51" i="10"/>
  <c r="U51" i="10" s="1"/>
  <c r="X51" i="10" s="1"/>
  <c r="T56" i="10"/>
  <c r="U56" i="10" s="1"/>
  <c r="X56" i="10" s="1"/>
  <c r="T52" i="10"/>
  <c r="U52" i="10" s="1"/>
  <c r="X52" i="10" s="1"/>
  <c r="T55" i="10"/>
  <c r="U55" i="10" s="1"/>
  <c r="X55" i="10" s="1"/>
  <c r="T53" i="10"/>
  <c r="U53" i="10" s="1"/>
  <c r="X53" i="10" s="1"/>
  <c r="S54" i="10"/>
  <c r="S50" i="10"/>
  <c r="S49" i="10"/>
  <c r="AA50" i="9"/>
  <c r="AA56" i="9"/>
  <c r="W48" i="9"/>
  <c r="X48" i="9" s="1"/>
  <c r="AA55" i="9"/>
  <c r="AA57" i="9"/>
  <c r="R54" i="9"/>
  <c r="T54" i="9" s="1"/>
  <c r="R53" i="9"/>
  <c r="T53" i="9" s="1"/>
  <c r="R52" i="9"/>
  <c r="T52" i="9" s="1"/>
  <c r="R49" i="9"/>
  <c r="T49" i="9" s="1"/>
  <c r="R56" i="9"/>
  <c r="T56" i="9" s="1"/>
  <c r="AB34" i="8"/>
  <c r="AC34" i="8" s="1"/>
  <c r="W34" i="8"/>
  <c r="Y39" i="8"/>
  <c r="Z39" i="8" s="1"/>
  <c r="V39" i="8"/>
  <c r="R33" i="8"/>
  <c r="T33" i="8" s="1"/>
  <c r="U33" i="8"/>
  <c r="M40" i="6"/>
  <c r="H72" i="3"/>
  <c r="H75" i="3" s="1"/>
  <c r="D131" i="3"/>
  <c r="D132" i="3"/>
  <c r="M45" i="6"/>
  <c r="M41" i="6"/>
  <c r="W47" i="6"/>
  <c r="M38" i="6"/>
  <c r="W35" i="6"/>
  <c r="W50" i="6"/>
  <c r="AB49" i="6"/>
  <c r="M56" i="6"/>
  <c r="R55" i="6"/>
  <c r="W54" i="6"/>
  <c r="R57" i="6"/>
  <c r="W51" i="6"/>
  <c r="AB52" i="6"/>
  <c r="Z45" i="6"/>
  <c r="AB45" i="6" s="1"/>
  <c r="O44" i="6"/>
  <c r="K57" i="6"/>
  <c r="Z50" i="6"/>
  <c r="Y44" i="6"/>
  <c r="J44" i="6"/>
  <c r="P38" i="6"/>
  <c r="R38" i="6" s="1"/>
  <c r="Z56" i="6"/>
  <c r="U49" i="6"/>
  <c r="Z53" i="6"/>
  <c r="Z36" i="6"/>
  <c r="AB36" i="6" s="1"/>
  <c r="P54" i="6"/>
  <c r="K43" i="6"/>
  <c r="M43" i="6" s="1"/>
  <c r="Z42" i="6"/>
  <c r="P56" i="6"/>
  <c r="K49" i="6"/>
  <c r="U59" i="6"/>
  <c r="P37" i="6"/>
  <c r="U41" i="6"/>
  <c r="W41" i="6" s="1"/>
  <c r="P41" i="6"/>
  <c r="K42" i="6"/>
  <c r="Z51" i="6"/>
  <c r="U57" i="6"/>
  <c r="P59" i="6"/>
  <c r="Z41" i="6"/>
  <c r="P50" i="6"/>
  <c r="P35" i="6"/>
  <c r="R35" i="6" s="1"/>
  <c r="U42" i="6"/>
  <c r="W42" i="6" s="1"/>
  <c r="U55" i="6"/>
  <c r="P45" i="6"/>
  <c r="R45" i="6" s="1"/>
  <c r="Z39" i="6"/>
  <c r="Z35" i="6"/>
  <c r="P49" i="6"/>
  <c r="K36" i="6"/>
  <c r="M36" i="6" s="1"/>
  <c r="K53" i="6"/>
  <c r="Z57" i="6"/>
  <c r="P46" i="6"/>
  <c r="R46" i="6" s="1"/>
  <c r="P48" i="6"/>
  <c r="U53" i="6"/>
  <c r="U38" i="6"/>
  <c r="W38" i="6" s="1"/>
  <c r="U36" i="6"/>
  <c r="W36" i="6" s="1"/>
  <c r="Z43" i="6"/>
  <c r="Z54" i="6"/>
  <c r="U45" i="6"/>
  <c r="Z47" i="6"/>
  <c r="K54" i="6"/>
  <c r="K48" i="6"/>
  <c r="M48" i="6" s="1"/>
  <c r="Z59" i="6"/>
  <c r="P43" i="6"/>
  <c r="Z46" i="6"/>
  <c r="U48" i="6"/>
  <c r="Z38" i="6"/>
  <c r="AB38" i="6" s="1"/>
  <c r="U40" i="6"/>
  <c r="W40" i="6" s="1"/>
  <c r="Z40" i="6"/>
  <c r="U58" i="6"/>
  <c r="U39" i="6"/>
  <c r="U56" i="6"/>
  <c r="P47" i="6"/>
  <c r="P42" i="6"/>
  <c r="R42" i="6" s="1"/>
  <c r="P36" i="6"/>
  <c r="R36" i="6" s="1"/>
  <c r="P40" i="6"/>
  <c r="K39" i="6"/>
  <c r="M39" i="6" s="1"/>
  <c r="K47" i="6"/>
  <c r="K52" i="6"/>
  <c r="K58" i="6"/>
  <c r="U52" i="6"/>
  <c r="Z55" i="6"/>
  <c r="K51" i="6"/>
  <c r="P39" i="6"/>
  <c r="Z37" i="6"/>
  <c r="AB37" i="6" s="1"/>
  <c r="U44" i="6"/>
  <c r="W44" i="6" s="1"/>
  <c r="K55" i="6"/>
  <c r="P52" i="6"/>
  <c r="K50" i="6"/>
  <c r="Z48" i="6"/>
  <c r="AB48" i="6" s="1"/>
  <c r="K37" i="6"/>
  <c r="U46" i="6"/>
  <c r="P51" i="6"/>
  <c r="Z58" i="6"/>
  <c r="U37" i="6"/>
  <c r="K46" i="6"/>
  <c r="U43" i="6"/>
  <c r="K35" i="6"/>
  <c r="M35" i="6" s="1"/>
  <c r="I74" i="5"/>
  <c r="I75" i="5" s="1"/>
  <c r="I76" i="5" s="1"/>
  <c r="D79" i="5" s="1"/>
  <c r="J75" i="5"/>
  <c r="J76" i="5" s="1"/>
  <c r="E75" i="5"/>
  <c r="E76" i="5" s="1"/>
  <c r="D74" i="5"/>
  <c r="D75" i="5" s="1"/>
  <c r="D76" i="5" s="1"/>
  <c r="D80" i="5" s="1"/>
  <c r="Z44" i="6" a="1"/>
  <c r="T49" i="10" a="1"/>
  <c r="I60" i="5" a="1"/>
  <c r="D60" i="5" a="1"/>
  <c r="T54" i="10" a="1"/>
  <c r="T50" i="10" a="1"/>
  <c r="P44" i="6" a="1"/>
  <c r="K44" i="6" a="1"/>
  <c r="L33" i="8" a="1"/>
  <c r="O33" i="8" l="1"/>
  <c r="Y33" i="8" s="1"/>
  <c r="Z33" i="8" s="1"/>
  <c r="L33" i="8"/>
  <c r="N33" i="8" s="1"/>
  <c r="V33" i="8" s="1"/>
  <c r="W33" i="8" s="1"/>
  <c r="AB38" i="8"/>
  <c r="AC38" i="8" s="1"/>
  <c r="T49" i="10"/>
  <c r="U49" i="10" s="1"/>
  <c r="X49" i="10" s="1"/>
  <c r="T50" i="10"/>
  <c r="U50" i="10" s="1"/>
  <c r="X50" i="10" s="1"/>
  <c r="T54" i="10"/>
  <c r="U54" i="10" s="1"/>
  <c r="X54" i="10" s="1"/>
  <c r="AA48" i="9"/>
  <c r="W39" i="8"/>
  <c r="AB39" i="8"/>
  <c r="AC39" i="8" s="1"/>
  <c r="AE38" i="6"/>
  <c r="AE36" i="6"/>
  <c r="AC38" i="6"/>
  <c r="AC45" i="6"/>
  <c r="AC36" i="6"/>
  <c r="AC35" i="6"/>
  <c r="M37" i="6"/>
  <c r="M52" i="6"/>
  <c r="M49" i="6"/>
  <c r="AB50" i="6"/>
  <c r="AE50" i="6" s="1"/>
  <c r="M50" i="6"/>
  <c r="AB42" i="6"/>
  <c r="AE42" i="6" s="1"/>
  <c r="AB41" i="6"/>
  <c r="AE41" i="6" s="1"/>
  <c r="M55" i="6"/>
  <c r="AC55" i="6" s="1"/>
  <c r="AB59" i="6"/>
  <c r="AB57" i="6"/>
  <c r="R59" i="6"/>
  <c r="AC59" i="6" s="1"/>
  <c r="R54" i="6"/>
  <c r="W48" i="6"/>
  <c r="AE48" i="6" s="1"/>
  <c r="M54" i="6"/>
  <c r="AB51" i="6"/>
  <c r="AE51" i="6" s="1"/>
  <c r="R40" i="6"/>
  <c r="AC40" i="6" s="1"/>
  <c r="M53" i="6"/>
  <c r="AC53" i="6" s="1"/>
  <c r="R47" i="6"/>
  <c r="M46" i="6"/>
  <c r="AC46" i="6" s="1"/>
  <c r="R39" i="6"/>
  <c r="AC39" i="6" s="1"/>
  <c r="W56" i="6"/>
  <c r="AB47" i="6"/>
  <c r="AE47" i="6" s="1"/>
  <c r="R49" i="6"/>
  <c r="M42" i="6"/>
  <c r="AC42" i="6" s="1"/>
  <c r="W49" i="6"/>
  <c r="AE49" i="6" s="1"/>
  <c r="R56" i="6"/>
  <c r="AC56" i="6" s="1"/>
  <c r="M57" i="6"/>
  <c r="AC57" i="6" s="1"/>
  <c r="AB46" i="6"/>
  <c r="R48" i="6"/>
  <c r="AC48" i="6" s="1"/>
  <c r="R50" i="6"/>
  <c r="W37" i="6"/>
  <c r="AE37" i="6" s="1"/>
  <c r="M51" i="6"/>
  <c r="W39" i="6"/>
  <c r="W45" i="6"/>
  <c r="AE45" i="6" s="1"/>
  <c r="AB35" i="6"/>
  <c r="AE35" i="6" s="1"/>
  <c r="R41" i="6"/>
  <c r="AC41" i="6" s="1"/>
  <c r="AB56" i="6"/>
  <c r="M47" i="6"/>
  <c r="W53" i="6"/>
  <c r="R52" i="6"/>
  <c r="R43" i="6"/>
  <c r="AC43" i="6" s="1"/>
  <c r="W43" i="6"/>
  <c r="AB58" i="6"/>
  <c r="AB55" i="6"/>
  <c r="W58" i="6"/>
  <c r="AB54" i="6"/>
  <c r="AE54" i="6" s="1"/>
  <c r="AB39" i="6"/>
  <c r="W57" i="6"/>
  <c r="AB53" i="6"/>
  <c r="R51" i="6"/>
  <c r="W52" i="6"/>
  <c r="AE52" i="6" s="1"/>
  <c r="AB40" i="6"/>
  <c r="AE40" i="6" s="1"/>
  <c r="AB43" i="6"/>
  <c r="R37" i="6"/>
  <c r="W46" i="6"/>
  <c r="M58" i="6"/>
  <c r="AC58" i="6" s="1"/>
  <c r="W55" i="6"/>
  <c r="W59" i="6"/>
  <c r="P44" i="6"/>
  <c r="Z44" i="6"/>
  <c r="K44" i="6"/>
  <c r="G80" i="5"/>
  <c r="G84" i="5" s="1"/>
  <c r="I80" i="5"/>
  <c r="G79" i="5"/>
  <c r="H84" i="5" s="1"/>
  <c r="H85" i="5" s="1"/>
  <c r="H86" i="5" s="1"/>
  <c r="H87" i="5" s="1"/>
  <c r="I79" i="5"/>
  <c r="E61" i="5"/>
  <c r="E62" i="5" s="1"/>
  <c r="D60" i="5"/>
  <c r="D61" i="5" s="1"/>
  <c r="D62" i="5" s="1"/>
  <c r="D66" i="5" s="1"/>
  <c r="J61" i="5"/>
  <c r="J62" i="5" s="1"/>
  <c r="I60" i="5"/>
  <c r="I61" i="5" s="1"/>
  <c r="I62" i="5" s="1"/>
  <c r="D65" i="5" s="1"/>
  <c r="AE55" i="6" l="1"/>
  <c r="AB33" i="8"/>
  <c r="AC33" i="8" s="1"/>
  <c r="AC50" i="6"/>
  <c r="AC49" i="6"/>
  <c r="AC54" i="6"/>
  <c r="AC52" i="6"/>
  <c r="AC51" i="6"/>
  <c r="AE53" i="6"/>
  <c r="AE59" i="6"/>
  <c r="AE57" i="6"/>
  <c r="AE43" i="6"/>
  <c r="G85" i="5"/>
  <c r="G86" i="5" s="1"/>
  <c r="G87" i="5" s="1"/>
  <c r="F85" i="5"/>
  <c r="F86" i="5" s="1"/>
  <c r="F87" i="5" s="1"/>
  <c r="AC47" i="6"/>
  <c r="AC37" i="6"/>
  <c r="AE58" i="6"/>
  <c r="AE39" i="6"/>
  <c r="AE56" i="6"/>
  <c r="AE46" i="6"/>
  <c r="AB44" i="6"/>
  <c r="AE44" i="6" s="1"/>
  <c r="R44" i="6"/>
  <c r="M44" i="6"/>
  <c r="G66" i="5"/>
  <c r="E84" i="5" s="1"/>
  <c r="E85" i="5" s="1"/>
  <c r="E86" i="5" s="1"/>
  <c r="E87" i="5" s="1"/>
  <c r="I66" i="5"/>
  <c r="G65" i="5"/>
  <c r="F84" i="5" s="1"/>
  <c r="I65" i="5"/>
  <c r="I58" i="4" a="1"/>
  <c r="I58" i="4" s="1"/>
  <c r="I59" i="4" a="1"/>
  <c r="I59" i="4" s="1"/>
  <c r="I60" i="4" a="1"/>
  <c r="I60" i="4" s="1"/>
  <c r="I61" i="4" a="1"/>
  <c r="I61" i="4" s="1"/>
  <c r="I62" i="4" a="1"/>
  <c r="I62" i="4" s="1"/>
  <c r="I63" i="4" a="1"/>
  <c r="I63" i="4" s="1"/>
  <c r="I64" i="4" a="1"/>
  <c r="I64" i="4" s="1"/>
  <c r="I65" i="4" a="1"/>
  <c r="I65" i="4" s="1"/>
  <c r="I66" i="4" a="1"/>
  <c r="I66" i="4" s="1"/>
  <c r="I67" i="4" a="1"/>
  <c r="I67" i="4" s="1"/>
  <c r="I68" i="4" a="1"/>
  <c r="I68" i="4" s="1"/>
  <c r="I69" i="4" a="1"/>
  <c r="I69" i="4" s="1"/>
  <c r="I70" i="4" a="1"/>
  <c r="I70" i="4" s="1"/>
  <c r="I71" i="4" a="1"/>
  <c r="I71" i="4" s="1"/>
  <c r="I72" i="4" a="1"/>
  <c r="I72" i="4" s="1"/>
  <c r="I57" i="4" a="1"/>
  <c r="I56" i="4" a="1"/>
  <c r="I54" i="4" a="1"/>
  <c r="I55" i="4" a="1"/>
  <c r="E53" i="4" a="1"/>
  <c r="I53" i="4" a="1"/>
  <c r="AC44" i="6" l="1"/>
  <c r="E53" i="4"/>
  <c r="I57" i="4"/>
  <c r="I55" i="4"/>
  <c r="I54" i="4"/>
  <c r="I56" i="4"/>
  <c r="I53" i="4"/>
  <c r="H58" i="4" l="1" a="1"/>
  <c r="H58" i="4" s="1"/>
  <c r="H59" i="4" a="1"/>
  <c r="H59" i="4" s="1"/>
  <c r="H60" i="4" a="1"/>
  <c r="H60" i="4" s="1"/>
  <c r="H61" i="4" a="1"/>
  <c r="H61" i="4" s="1"/>
  <c r="H62" i="4" a="1"/>
  <c r="H62" i="4" s="1"/>
  <c r="H63" i="4" a="1"/>
  <c r="H63" i="4" s="1"/>
  <c r="H64" i="4" a="1"/>
  <c r="H64" i="4" s="1"/>
  <c r="H65" i="4" a="1"/>
  <c r="H65" i="4" s="1"/>
  <c r="H66" i="4" a="1"/>
  <c r="H66" i="4" s="1"/>
  <c r="H67" i="4" a="1"/>
  <c r="H67" i="4" s="1"/>
  <c r="H68" i="4" a="1"/>
  <c r="H68" i="4" s="1"/>
  <c r="H69" i="4" a="1"/>
  <c r="H69" i="4" s="1"/>
  <c r="H70" i="4" a="1"/>
  <c r="H70" i="4" s="1"/>
  <c r="H71" i="4" a="1"/>
  <c r="H71" i="4" s="1"/>
  <c r="H72" i="4" a="1"/>
  <c r="H72" i="4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E58" i="4" a="1"/>
  <c r="E58" i="4" s="1"/>
  <c r="E59" i="4" a="1"/>
  <c r="E59" i="4" s="1"/>
  <c r="E60" i="4" a="1"/>
  <c r="E60" i="4" s="1"/>
  <c r="E61" i="4" a="1"/>
  <c r="E61" i="4" s="1"/>
  <c r="E62" i="4" a="1"/>
  <c r="E62" i="4" s="1"/>
  <c r="E63" i="4" a="1"/>
  <c r="E63" i="4" s="1"/>
  <c r="E64" i="4" a="1"/>
  <c r="E64" i="4" s="1"/>
  <c r="E65" i="4" a="1"/>
  <c r="E65" i="4" s="1"/>
  <c r="E66" i="4" a="1"/>
  <c r="E66" i="4" s="1"/>
  <c r="E67" i="4" a="1"/>
  <c r="E67" i="4" s="1"/>
  <c r="E68" i="4" a="1"/>
  <c r="E68" i="4" s="1"/>
  <c r="E69" i="4" a="1"/>
  <c r="E69" i="4" s="1"/>
  <c r="E70" i="4" a="1"/>
  <c r="E70" i="4" s="1"/>
  <c r="E71" i="4" a="1"/>
  <c r="E71" i="4" s="1"/>
  <c r="E72" i="4" a="1"/>
  <c r="E72" i="4" s="1"/>
  <c r="D61" i="4"/>
  <c r="J61" i="4" s="1" a="1"/>
  <c r="J61" i="4" s="1"/>
  <c r="D62" i="4"/>
  <c r="J62" i="4" s="1" a="1"/>
  <c r="J62" i="4" s="1"/>
  <c r="D63" i="4"/>
  <c r="J63" i="4" s="1" a="1"/>
  <c r="J63" i="4" s="1"/>
  <c r="D64" i="4"/>
  <c r="J64" i="4" s="1" a="1"/>
  <c r="J64" i="4" s="1"/>
  <c r="D65" i="4"/>
  <c r="J65" i="4" s="1" a="1"/>
  <c r="J65" i="4" s="1"/>
  <c r="D66" i="4"/>
  <c r="J66" i="4" s="1" a="1"/>
  <c r="J66" i="4" s="1"/>
  <c r="D67" i="4"/>
  <c r="J67" i="4" s="1" a="1"/>
  <c r="J67" i="4" s="1"/>
  <c r="D68" i="4"/>
  <c r="J68" i="4" s="1" a="1"/>
  <c r="J68" i="4" s="1"/>
  <c r="D69" i="4"/>
  <c r="J69" i="4" s="1" a="1"/>
  <c r="J69" i="4" s="1"/>
  <c r="D70" i="4"/>
  <c r="J70" i="4" s="1" a="1"/>
  <c r="J70" i="4" s="1"/>
  <c r="D71" i="4"/>
  <c r="J71" i="4" s="1" a="1"/>
  <c r="J71" i="4" s="1"/>
  <c r="D72" i="4"/>
  <c r="J72" i="4" s="1" a="1"/>
  <c r="J72" i="4" s="1"/>
  <c r="D58" i="4"/>
  <c r="J58" i="4" s="1" a="1"/>
  <c r="J58" i="4" s="1"/>
  <c r="D59" i="4"/>
  <c r="J59" i="4" s="1" a="1"/>
  <c r="J59" i="4" s="1"/>
  <c r="D60" i="4"/>
  <c r="J60" i="4" s="1" a="1"/>
  <c r="J60" i="4" s="1"/>
  <c r="G123" i="4"/>
  <c r="G122" i="4"/>
  <c r="G121" i="4"/>
  <c r="H115" i="4"/>
  <c r="H114" i="4"/>
  <c r="H121" i="4" s="1"/>
  <c r="I23" i="4"/>
  <c r="I22" i="4"/>
  <c r="D22" i="4"/>
  <c r="I21" i="4"/>
  <c r="D21" i="4"/>
  <c r="D20" i="4"/>
  <c r="H43" i="2"/>
  <c r="G43" i="2"/>
  <c r="F43" i="2"/>
  <c r="E43" i="2"/>
  <c r="J43" i="2" s="1"/>
  <c r="D43" i="2"/>
  <c r="H42" i="2"/>
  <c r="G42" i="2"/>
  <c r="F42" i="2"/>
  <c r="E42" i="2"/>
  <c r="J42" i="2" s="1"/>
  <c r="D42" i="2"/>
  <c r="H41" i="2"/>
  <c r="G41" i="2"/>
  <c r="F41" i="2"/>
  <c r="E41" i="2"/>
  <c r="J41" i="2" s="1"/>
  <c r="D41" i="2"/>
  <c r="H40" i="2"/>
  <c r="G40" i="2"/>
  <c r="F40" i="2"/>
  <c r="E40" i="2"/>
  <c r="J40" i="2" s="1"/>
  <c r="D40" i="2"/>
  <c r="H39" i="2"/>
  <c r="G39" i="2"/>
  <c r="F39" i="2"/>
  <c r="E39" i="2"/>
  <c r="J39" i="2" s="1"/>
  <c r="D39" i="2"/>
  <c r="H38" i="2"/>
  <c r="G38" i="2"/>
  <c r="F38" i="2"/>
  <c r="E38" i="2"/>
  <c r="J38" i="2" s="1"/>
  <c r="H37" i="2"/>
  <c r="G37" i="2"/>
  <c r="F37" i="2"/>
  <c r="E37" i="2"/>
  <c r="J37" i="2" s="1"/>
  <c r="H36" i="2"/>
  <c r="G36" i="2"/>
  <c r="F36" i="2"/>
  <c r="E36" i="2"/>
  <c r="J36" i="2" s="1"/>
  <c r="H35" i="2"/>
  <c r="G35" i="2"/>
  <c r="F35" i="2"/>
  <c r="E35" i="2"/>
  <c r="J35" i="2" s="1"/>
  <c r="H13" i="2"/>
  <c r="D22" i="2"/>
  <c r="D21" i="2"/>
  <c r="D20" i="2"/>
  <c r="D19" i="2"/>
  <c r="D18" i="2"/>
  <c r="G114" i="1"/>
  <c r="D20" i="1"/>
  <c r="D21" i="1"/>
  <c r="D22" i="1"/>
  <c r="G76" i="1"/>
  <c r="H72" i="1"/>
  <c r="G75" i="1"/>
  <c r="H67" i="1"/>
  <c r="G35" i="1"/>
  <c r="G36" i="1"/>
  <c r="G37" i="1"/>
  <c r="G38" i="1"/>
  <c r="G39" i="1"/>
  <c r="G40" i="1"/>
  <c r="G41" i="1"/>
  <c r="G42" i="1"/>
  <c r="G43" i="1"/>
  <c r="F35" i="1"/>
  <c r="F36" i="1"/>
  <c r="F37" i="1"/>
  <c r="F38" i="1"/>
  <c r="F39" i="1"/>
  <c r="F40" i="1"/>
  <c r="F41" i="1"/>
  <c r="F42" i="1"/>
  <c r="F43" i="1"/>
  <c r="E35" i="1"/>
  <c r="J35" i="1" s="1"/>
  <c r="E36" i="1"/>
  <c r="J36" i="1" s="1"/>
  <c r="E37" i="1"/>
  <c r="J37" i="1" s="1"/>
  <c r="E38" i="1"/>
  <c r="J38" i="1" s="1"/>
  <c r="E39" i="1"/>
  <c r="J39" i="1" s="1"/>
  <c r="E40" i="1"/>
  <c r="J40" i="1" s="1"/>
  <c r="E41" i="1"/>
  <c r="J41" i="1" s="1"/>
  <c r="E42" i="1"/>
  <c r="J42" i="1" s="1"/>
  <c r="E43" i="1"/>
  <c r="J43" i="1" s="1"/>
  <c r="H28" i="1"/>
  <c r="D18" i="1"/>
  <c r="D19" i="1"/>
  <c r="D39" i="1"/>
  <c r="I39" i="1" s="1"/>
  <c r="D40" i="1"/>
  <c r="I40" i="1" s="1"/>
  <c r="D41" i="1"/>
  <c r="I41" i="1" s="1"/>
  <c r="D42" i="1"/>
  <c r="I42" i="1" s="1"/>
  <c r="D43" i="1"/>
  <c r="I43" i="1" s="1"/>
  <c r="F57" i="4"/>
  <c r="H57" i="4" a="1"/>
  <c r="E57" i="4" a="1"/>
  <c r="G57" i="4"/>
  <c r="H54" i="4" a="1"/>
  <c r="H55" i="4" a="1"/>
  <c r="H56" i="4" a="1"/>
  <c r="G56" i="4"/>
  <c r="G54" i="4"/>
  <c r="G55" i="4"/>
  <c r="F54" i="4"/>
  <c r="F55" i="4"/>
  <c r="F56" i="4"/>
  <c r="E54" i="4" a="1"/>
  <c r="E55" i="4" a="1"/>
  <c r="E56" i="4" a="1"/>
  <c r="D57" i="4"/>
  <c r="D56" i="4"/>
  <c r="J56" i="4" s="1" a="1"/>
  <c r="D55" i="4"/>
  <c r="J55" i="4" s="1" a="1"/>
  <c r="D54" i="4"/>
  <c r="J54" i="4" s="1" a="1"/>
  <c r="G34" i="2"/>
  <c r="D26" i="2"/>
  <c r="H34" i="2"/>
  <c r="E34" i="2"/>
  <c r="D28" i="2"/>
  <c r="D27" i="2"/>
  <c r="F34" i="2"/>
  <c r="E28" i="4"/>
  <c r="E30" i="4"/>
  <c r="E31" i="4"/>
  <c r="E32" i="4"/>
  <c r="H53" i="4" a="1"/>
  <c r="G53" i="4"/>
  <c r="F53" i="4"/>
  <c r="D31" i="1"/>
  <c r="F34" i="1"/>
  <c r="D26" i="1"/>
  <c r="H34" i="1"/>
  <c r="D28" i="1"/>
  <c r="E34" i="1"/>
  <c r="G34" i="1"/>
  <c r="D95" i="1" l="1"/>
  <c r="D100" i="2"/>
  <c r="D101" i="2"/>
  <c r="D95" i="2"/>
  <c r="D107" i="2" s="1"/>
  <c r="D96" i="2"/>
  <c r="E84" i="4"/>
  <c r="J54" i="4"/>
  <c r="J55" i="4"/>
  <c r="J56" i="4"/>
  <c r="E57" i="4"/>
  <c r="H57" i="4"/>
  <c r="F80" i="4"/>
  <c r="D77" i="4"/>
  <c r="E78" i="4"/>
  <c r="H56" i="4"/>
  <c r="H55" i="4"/>
  <c r="H54" i="4"/>
  <c r="H53" i="4"/>
  <c r="E56" i="4"/>
  <c r="E55" i="4"/>
  <c r="E54" i="4"/>
  <c r="J122" i="4"/>
  <c r="D30" i="2"/>
  <c r="D51" i="2"/>
  <c r="D58" i="2" s="1"/>
  <c r="D52" i="2"/>
  <c r="D30" i="1"/>
  <c r="D100" i="1" s="1"/>
  <c r="D51" i="1"/>
  <c r="D52" i="1"/>
  <c r="J57" i="4" a="1"/>
  <c r="J53" i="4" a="1"/>
  <c r="D27" i="1"/>
  <c r="J53" i="4" l="1"/>
  <c r="D104" i="2"/>
  <c r="D103" i="2"/>
  <c r="D105" i="2" s="1"/>
  <c r="D119" i="2"/>
  <c r="D121" i="2" s="1"/>
  <c r="D122" i="2" s="1"/>
  <c r="F123" i="2" s="1"/>
  <c r="D111" i="2"/>
  <c r="D113" i="2" s="1"/>
  <c r="D115" i="2" s="1"/>
  <c r="D68" i="2"/>
  <c r="D99" i="1"/>
  <c r="H58" i="2"/>
  <c r="J57" i="4"/>
  <c r="C80" i="4"/>
  <c r="C92" i="4"/>
  <c r="D92" i="4" s="1"/>
  <c r="C77" i="4"/>
  <c r="D76" i="4"/>
  <c r="C78" i="4"/>
  <c r="E79" i="4"/>
  <c r="D105" i="1"/>
  <c r="I57" i="1"/>
  <c r="D57" i="1"/>
  <c r="H59" i="2" a="1"/>
  <c r="I60" i="1" a="1"/>
  <c r="D60" i="1" a="1"/>
  <c r="F81" i="4" l="1"/>
  <c r="C93" i="4" s="1"/>
  <c r="D93" i="4" s="1"/>
  <c r="D118" i="2"/>
  <c r="F132" i="2" s="1"/>
  <c r="D109" i="2"/>
  <c r="H109" i="2" s="1"/>
  <c r="D128" i="2"/>
  <c r="H128" i="2" s="1"/>
  <c r="D119" i="1"/>
  <c r="D121" i="1" s="1"/>
  <c r="D66" i="2"/>
  <c r="D102" i="1"/>
  <c r="D103" i="1"/>
  <c r="D111" i="1"/>
  <c r="D113" i="1" s="1"/>
  <c r="D115" i="1" s="1"/>
  <c r="H59" i="2"/>
  <c r="H62" i="2" s="1"/>
  <c r="E80" i="4" a="1"/>
  <c r="E80" i="4" s="1"/>
  <c r="H80" i="4" s="1"/>
  <c r="D80" i="4" a="1"/>
  <c r="D80" i="4" s="1"/>
  <c r="C76" i="4"/>
  <c r="C79" i="4"/>
  <c r="F77" i="4" a="1"/>
  <c r="F77" i="4" s="1"/>
  <c r="G77" i="4" s="1"/>
  <c r="E77" i="4" a="1"/>
  <c r="E77" i="4" s="1"/>
  <c r="F78" i="4" a="1"/>
  <c r="F78" i="4" s="1"/>
  <c r="H78" i="4" s="1"/>
  <c r="D78" i="4" a="1"/>
  <c r="D78" i="4" s="1"/>
  <c r="J61" i="1"/>
  <c r="J62" i="1" s="1"/>
  <c r="I60" i="1"/>
  <c r="I61" i="1" s="1"/>
  <c r="I62" i="1" s="1"/>
  <c r="E61" i="1"/>
  <c r="E62" i="1" s="1"/>
  <c r="D60" i="1"/>
  <c r="D61" i="1" s="1"/>
  <c r="D62" i="1" s="1"/>
  <c r="D59" i="2" a="1"/>
  <c r="C81" i="4" l="1"/>
  <c r="E81" i="4" s="1" a="1"/>
  <c r="E81" i="4" s="1"/>
  <c r="H81" i="4" s="1"/>
  <c r="D130" i="2"/>
  <c r="D132" i="2" s="1"/>
  <c r="D122" i="1"/>
  <c r="D128" i="1"/>
  <c r="D130" i="1" s="1"/>
  <c r="D59" i="2"/>
  <c r="D62" i="2" s="1"/>
  <c r="D63" i="2" s="1"/>
  <c r="D61" i="2"/>
  <c r="D67" i="2"/>
  <c r="D69" i="2" s="1"/>
  <c r="D106" i="1"/>
  <c r="H63" i="2"/>
  <c r="H77" i="4"/>
  <c r="F89" i="4" s="1"/>
  <c r="G78" i="4"/>
  <c r="F90" i="4" s="1"/>
  <c r="G80" i="4"/>
  <c r="E92" i="4" s="1"/>
  <c r="C90" i="4"/>
  <c r="D90" i="4" s="1"/>
  <c r="C89" i="4"/>
  <c r="D89" i="4" s="1"/>
  <c r="F76" i="4" a="1"/>
  <c r="F76" i="4" s="1"/>
  <c r="G76" i="4" s="1"/>
  <c r="E76" i="4" a="1"/>
  <c r="E76" i="4" s="1"/>
  <c r="D79" i="4" a="1"/>
  <c r="D79" i="4" s="1"/>
  <c r="F79" i="4" a="1"/>
  <c r="F79" i="4" s="1"/>
  <c r="H79" i="4" s="1"/>
  <c r="D66" i="1"/>
  <c r="D68" i="1" s="1"/>
  <c r="D71" i="1"/>
  <c r="D73" i="1" s="1"/>
  <c r="D70" i="2" a="1"/>
  <c r="H76" i="4" l="1"/>
  <c r="D81" i="4" a="1"/>
  <c r="D81" i="4" s="1"/>
  <c r="G81" i="4" s="1"/>
  <c r="F93" i="4" s="1"/>
  <c r="D131" i="2"/>
  <c r="H128" i="1"/>
  <c r="D107" i="1"/>
  <c r="H107" i="1" s="1"/>
  <c r="D118" i="1"/>
  <c r="D70" i="2"/>
  <c r="D72" i="2" s="1"/>
  <c r="D73" i="2" s="1"/>
  <c r="D75" i="2" s="1"/>
  <c r="D132" i="1"/>
  <c r="E89" i="4"/>
  <c r="G79" i="4"/>
  <c r="F91" i="4" s="1"/>
  <c r="F92" i="4"/>
  <c r="E90" i="4"/>
  <c r="C88" i="4"/>
  <c r="C91" i="4"/>
  <c r="D91" i="4" s="1"/>
  <c r="E75" i="1"/>
  <c r="H68" i="1"/>
  <c r="E93" i="4" l="1"/>
  <c r="F132" i="1"/>
  <c r="J131" i="1"/>
  <c r="D131" i="1" s="1"/>
  <c r="F123" i="1"/>
  <c r="D76" i="2"/>
  <c r="H67" i="2" s="1"/>
  <c r="H70" i="2" s="1"/>
  <c r="F88" i="4"/>
  <c r="D88" i="4"/>
  <c r="E88" i="4" s="1"/>
  <c r="E91" i="4"/>
  <c r="E76" i="1"/>
  <c r="H73" i="1"/>
  <c r="G88" i="4" a="1"/>
  <c r="G93" i="4" a="1"/>
  <c r="G90" i="4" a="1"/>
  <c r="G91" i="4" a="1"/>
  <c r="G89" i="4" a="1"/>
  <c r="G92" i="4" a="1"/>
  <c r="H72" i="2" l="1"/>
  <c r="H75" i="2" s="1"/>
  <c r="G90" i="4"/>
  <c r="G92" i="4"/>
  <c r="G89" i="4"/>
  <c r="G91" i="4"/>
  <c r="G93" i="4"/>
  <c r="G88" i="4"/>
  <c r="D106" i="4" l="1"/>
  <c r="D107" i="4" s="1"/>
  <c r="D108" i="4" s="1"/>
  <c r="F122" i="4" s="1"/>
  <c r="I122" i="4" l="1"/>
  <c r="H122" i="4"/>
  <c r="F123" i="4" l="1"/>
  <c r="I123" i="4" s="1"/>
  <c r="H123" i="4" l="1"/>
  <c r="H1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<sst xmlns="http://schemas.openxmlformats.org/spreadsheetml/2006/main" count="1288" uniqueCount="387">
  <si>
    <t>code specifications</t>
  </si>
  <si>
    <t>factor of long term strength (k1)</t>
  </si>
  <si>
    <t>factor of sample correction (k2)</t>
  </si>
  <si>
    <t>factor of stress distribution (k3)</t>
  </si>
  <si>
    <t xml:space="preserve">factor of fallier criteria </t>
  </si>
  <si>
    <t>Concrete proberties</t>
  </si>
  <si>
    <t>fcu</t>
  </si>
  <si>
    <t>ec</t>
  </si>
  <si>
    <t>yc</t>
  </si>
  <si>
    <t xml:space="preserve">fc </t>
  </si>
  <si>
    <t>fy</t>
  </si>
  <si>
    <t>E</t>
  </si>
  <si>
    <t>ys</t>
  </si>
  <si>
    <t>fs</t>
  </si>
  <si>
    <t>T section</t>
  </si>
  <si>
    <t>effective width (B) ≤</t>
  </si>
  <si>
    <t>b+span/5</t>
  </si>
  <si>
    <t>b+(s1+s2)/2</t>
  </si>
  <si>
    <t>b+16*(ts)</t>
  </si>
  <si>
    <t>w=</t>
  </si>
  <si>
    <t>fs* As /(b*d*fc)</t>
  </si>
  <si>
    <t xml:space="preserve">r  = </t>
  </si>
  <si>
    <t>w/k3</t>
  </si>
  <si>
    <t xml:space="preserve">R1  = </t>
  </si>
  <si>
    <t>w * ( 1 - w/2)</t>
  </si>
  <si>
    <t xml:space="preserve">Mu = </t>
  </si>
  <si>
    <t>R1 * fc*b*d^2</t>
  </si>
  <si>
    <t xml:space="preserve">w = </t>
  </si>
  <si>
    <t>PureBendingDesign(R1)</t>
  </si>
  <si>
    <t xml:space="preserve">r  * d &lt; </t>
  </si>
  <si>
    <t>ts</t>
  </si>
  <si>
    <t>if ts&gt;0</t>
  </si>
  <si>
    <t xml:space="preserve">r &lt; </t>
  </si>
  <si>
    <t xml:space="preserve">r max = </t>
  </si>
  <si>
    <t>Mpa</t>
  </si>
  <si>
    <t>Gpa</t>
  </si>
  <si>
    <t>Rectangular beam</t>
  </si>
  <si>
    <t>cover</t>
  </si>
  <si>
    <t>mm</t>
  </si>
  <si>
    <t>load case</t>
  </si>
  <si>
    <t>name</t>
  </si>
  <si>
    <t>Beam Number</t>
  </si>
  <si>
    <t>M+ve</t>
  </si>
  <si>
    <t>M-ve</t>
  </si>
  <si>
    <t>Q1</t>
  </si>
  <si>
    <t>Q2</t>
  </si>
  <si>
    <t>b</t>
  </si>
  <si>
    <t>t</t>
  </si>
  <si>
    <t>leangth</t>
  </si>
  <si>
    <t>Section Dimminsions</t>
  </si>
  <si>
    <t>section name</t>
  </si>
  <si>
    <t>No</t>
  </si>
  <si>
    <t>Design values</t>
  </si>
  <si>
    <t>Q</t>
  </si>
  <si>
    <t>KN.m</t>
  </si>
  <si>
    <t>KN</t>
  </si>
  <si>
    <t>Design section</t>
  </si>
  <si>
    <t>R1</t>
  </si>
  <si>
    <t>+ve moment section</t>
  </si>
  <si>
    <t>-ve moment section</t>
  </si>
  <si>
    <t>d</t>
  </si>
  <si>
    <t>mechanical ratio</t>
  </si>
  <si>
    <t>main</t>
  </si>
  <si>
    <t>secondry</t>
  </si>
  <si>
    <t>reinforcment ratio</t>
  </si>
  <si>
    <t>As(mm2)</t>
  </si>
  <si>
    <t>R2</t>
  </si>
  <si>
    <t>Reinforcment</t>
  </si>
  <si>
    <t>upper steel</t>
  </si>
  <si>
    <t>lower steel</t>
  </si>
  <si>
    <t>mm2</t>
  </si>
  <si>
    <t>D</t>
  </si>
  <si>
    <t>N</t>
  </si>
  <si>
    <t>As</t>
  </si>
  <si>
    <t>As( required)</t>
  </si>
  <si>
    <t>As(bar)</t>
  </si>
  <si>
    <t>As(actual)</t>
  </si>
  <si>
    <t>use (upper)</t>
  </si>
  <si>
    <t>use (lower)</t>
  </si>
  <si>
    <t xml:space="preserve">PureBendingDesign(R1 , Wmax , k) </t>
  </si>
  <si>
    <t>-&gt;(w_main, w_comp)</t>
  </si>
  <si>
    <t>qu</t>
  </si>
  <si>
    <t>qc (cracked)</t>
  </si>
  <si>
    <t>qc(max)</t>
  </si>
  <si>
    <t>qsu</t>
  </si>
  <si>
    <t>Astr/S</t>
  </si>
  <si>
    <t>fystr</t>
  </si>
  <si>
    <t>Steel proberties</t>
  </si>
  <si>
    <t>fstr</t>
  </si>
  <si>
    <t>stirub Diameter</t>
  </si>
  <si>
    <t>A bar</t>
  </si>
  <si>
    <t>S</t>
  </si>
  <si>
    <t>use</t>
  </si>
  <si>
    <t>factor * ec /(ec+fy/E)</t>
  </si>
  <si>
    <t>T-Section Beam</t>
  </si>
  <si>
    <t>coulmns</t>
  </si>
  <si>
    <t xml:space="preserve">" the sheet follow in consistante units  example mm for length , Mpa for stress and N for forces , N.mm for momment" </t>
  </si>
  <si>
    <t>shear factor(max)</t>
  </si>
  <si>
    <t>shear factor</t>
  </si>
  <si>
    <t>minium distance longtudinal steel</t>
  </si>
  <si>
    <t>minium longtudinal rein.</t>
  </si>
  <si>
    <t>steel proberties</t>
  </si>
  <si>
    <t>fy(str)</t>
  </si>
  <si>
    <t>qcu(max)</t>
  </si>
  <si>
    <t>qcu</t>
  </si>
  <si>
    <t>ey</t>
  </si>
  <si>
    <t>Loads</t>
  </si>
  <si>
    <t>Coulmn Dimminsions</t>
  </si>
  <si>
    <t>Cross section Dimminsions</t>
  </si>
  <si>
    <t>breadth</t>
  </si>
  <si>
    <t>thickness</t>
  </si>
  <si>
    <t>Length</t>
  </si>
  <si>
    <t>ex/t</t>
  </si>
  <si>
    <t>ey/b</t>
  </si>
  <si>
    <t>rectangularty</t>
  </si>
  <si>
    <t>e/t</t>
  </si>
  <si>
    <t>w</t>
  </si>
  <si>
    <t>µ</t>
  </si>
  <si>
    <t>AS</t>
  </si>
  <si>
    <t>longtudinal steel diameter</t>
  </si>
  <si>
    <t>strirubs diameter</t>
  </si>
  <si>
    <t>corners</t>
  </si>
  <si>
    <t>thickness direction</t>
  </si>
  <si>
    <t>breadth Direction</t>
  </si>
  <si>
    <t>As total</t>
  </si>
  <si>
    <t>Member Number</t>
  </si>
  <si>
    <t>Section Name</t>
  </si>
  <si>
    <t>case</t>
  </si>
  <si>
    <t>case Name</t>
  </si>
  <si>
    <t>Mx1</t>
  </si>
  <si>
    <t>Mx2</t>
  </si>
  <si>
    <t>My1</t>
  </si>
  <si>
    <t>My2</t>
  </si>
  <si>
    <t>N1</t>
  </si>
  <si>
    <t>N2</t>
  </si>
  <si>
    <t>Max Mx1</t>
  </si>
  <si>
    <t>Max Mx2</t>
  </si>
  <si>
    <t>Max My1</t>
  </si>
  <si>
    <t>Max My2</t>
  </si>
  <si>
    <t>Max N1</t>
  </si>
  <si>
    <t>Max N2</t>
  </si>
  <si>
    <t>Case</t>
  </si>
  <si>
    <t>Index</t>
  </si>
  <si>
    <t>Mx</t>
  </si>
  <si>
    <t>My</t>
  </si>
  <si>
    <t>Rb (Mpa)</t>
  </si>
  <si>
    <t>rec</t>
  </si>
  <si>
    <t>beta</t>
  </si>
  <si>
    <t>design loads on section</t>
  </si>
  <si>
    <t>Reinforcment details</t>
  </si>
  <si>
    <t xml:space="preserve">the coulmn is designed using the interaction </t>
  </si>
  <si>
    <t xml:space="preserve">digram for two sections at top and bottom </t>
  </si>
  <si>
    <t>three loading cases are considered at each section</t>
  </si>
  <si>
    <t>Num</t>
  </si>
  <si>
    <t>flange</t>
  </si>
  <si>
    <t>span</t>
  </si>
  <si>
    <t>effective width (B) =</t>
  </si>
  <si>
    <t>assume rectangular T beam</t>
  </si>
  <si>
    <t xml:space="preserve">R1  </t>
  </si>
  <si>
    <t>tension</t>
  </si>
  <si>
    <t>comp</t>
  </si>
  <si>
    <t xml:space="preserve"> safe</t>
  </si>
  <si>
    <t>true t beam</t>
  </si>
  <si>
    <t>Mf</t>
  </si>
  <si>
    <t>Mw</t>
  </si>
  <si>
    <t>As1</t>
  </si>
  <si>
    <t>As2</t>
  </si>
  <si>
    <t>Ast</t>
  </si>
  <si>
    <t>min. reinforcment</t>
  </si>
  <si>
    <t>Lower steel</t>
  </si>
  <si>
    <t>final</t>
  </si>
  <si>
    <t>Upper steel</t>
  </si>
  <si>
    <t>L-Section Beam</t>
  </si>
  <si>
    <t>slap pannel Number</t>
  </si>
  <si>
    <t>Solid slap</t>
  </si>
  <si>
    <t>moment in XX</t>
  </si>
  <si>
    <t>Momment in YY</t>
  </si>
  <si>
    <t>upper</t>
  </si>
  <si>
    <t>lower</t>
  </si>
  <si>
    <t>Abar</t>
  </si>
  <si>
    <t>X</t>
  </si>
  <si>
    <t>Y</t>
  </si>
  <si>
    <t>Design section X (steel length in y)</t>
  </si>
  <si>
    <t>Design section Y (steel length in X)</t>
  </si>
  <si>
    <t xml:space="preserve">Case name </t>
  </si>
  <si>
    <t>panel no</t>
  </si>
  <si>
    <t>panel name</t>
  </si>
  <si>
    <t>fc*b*d*d</t>
  </si>
  <si>
    <t>b*d*fc/fs</t>
  </si>
  <si>
    <t>panel Shapee</t>
  </si>
  <si>
    <t>Nominal Momment Strength</t>
  </si>
  <si>
    <t>MY</t>
  </si>
  <si>
    <t>MX</t>
  </si>
  <si>
    <t>fc *b*d^2</t>
  </si>
  <si>
    <t>slap strength check</t>
  </si>
  <si>
    <t>fc*b*d^2</t>
  </si>
  <si>
    <t>N.mm</t>
  </si>
  <si>
    <t>Mu</t>
  </si>
  <si>
    <t>XX</t>
  </si>
  <si>
    <t>YY</t>
  </si>
  <si>
    <t>force type</t>
  </si>
  <si>
    <t>case 1</t>
  </si>
  <si>
    <t>case 2</t>
  </si>
  <si>
    <t>case 3</t>
  </si>
  <si>
    <t>case 4</t>
  </si>
  <si>
    <t>case 5</t>
  </si>
  <si>
    <t>case 6</t>
  </si>
  <si>
    <t>case 7</t>
  </si>
  <si>
    <t>case 8</t>
  </si>
  <si>
    <t>case 9</t>
  </si>
  <si>
    <t>case 10</t>
  </si>
  <si>
    <t>case 11</t>
  </si>
  <si>
    <t>case 12</t>
  </si>
  <si>
    <t>case 13</t>
  </si>
  <si>
    <t>case 14</t>
  </si>
  <si>
    <t>case 15</t>
  </si>
  <si>
    <t>case 16</t>
  </si>
  <si>
    <t>case 17</t>
  </si>
  <si>
    <t>case 18</t>
  </si>
  <si>
    <t>case 19</t>
  </si>
  <si>
    <t>case 20</t>
  </si>
  <si>
    <t>index</t>
  </si>
  <si>
    <t>member id</t>
  </si>
  <si>
    <t>Max</t>
  </si>
  <si>
    <t>extrem</t>
  </si>
  <si>
    <t>MAX</t>
  </si>
  <si>
    <t>member</t>
  </si>
  <si>
    <t>section</t>
  </si>
  <si>
    <t>id</t>
  </si>
  <si>
    <t>w1</t>
  </si>
  <si>
    <t>w2</t>
  </si>
  <si>
    <t>As main</t>
  </si>
  <si>
    <t>As comp</t>
  </si>
  <si>
    <t>As lower</t>
  </si>
  <si>
    <t>As upper</t>
  </si>
  <si>
    <t>case name</t>
  </si>
  <si>
    <t>As sec</t>
  </si>
  <si>
    <t>Lower Steel</t>
  </si>
  <si>
    <t>Upper Steel</t>
  </si>
  <si>
    <t>Secondry Steel</t>
  </si>
  <si>
    <t>K1</t>
  </si>
  <si>
    <t>K2</t>
  </si>
  <si>
    <t>K3</t>
  </si>
  <si>
    <t>alpha</t>
  </si>
  <si>
    <t>b*d*fc</t>
  </si>
  <si>
    <t>shear</t>
  </si>
  <si>
    <t>Q+ve</t>
  </si>
  <si>
    <t>Q-ve</t>
  </si>
  <si>
    <t>qs</t>
  </si>
  <si>
    <t>Astr/s</t>
  </si>
  <si>
    <t>branches</t>
  </si>
  <si>
    <t>Astr</t>
  </si>
  <si>
    <t>s</t>
  </si>
  <si>
    <t>N/m</t>
  </si>
  <si>
    <t xml:space="preserve">1. all beams are designe as rectangular web  </t>
  </si>
  <si>
    <t>2. only for Moment and shear No torsion or axial load is considered</t>
  </si>
  <si>
    <t>T</t>
  </si>
  <si>
    <t>T +ve</t>
  </si>
  <si>
    <t>T -ve</t>
  </si>
  <si>
    <t>Bending Reinforcment</t>
  </si>
  <si>
    <t>Design of section for Bending</t>
  </si>
  <si>
    <t>Design of section for Shear and Torsion</t>
  </si>
  <si>
    <t>qu (shear)</t>
  </si>
  <si>
    <t>qu (torsion)</t>
  </si>
  <si>
    <t>x</t>
  </si>
  <si>
    <t>y</t>
  </si>
  <si>
    <t>A (inclosed)</t>
  </si>
  <si>
    <t>P (inclosed)</t>
  </si>
  <si>
    <t>web</t>
  </si>
  <si>
    <t>qu (equvilant)</t>
  </si>
  <si>
    <t xml:space="preserve">max strength </t>
  </si>
  <si>
    <t>shear design</t>
  </si>
  <si>
    <t>torsion design</t>
  </si>
  <si>
    <t>neglect</t>
  </si>
  <si>
    <t>qt (min)</t>
  </si>
  <si>
    <t>As (longitudinal)</t>
  </si>
  <si>
    <t>stirubs</t>
  </si>
  <si>
    <t>As (clossed stirubs)</t>
  </si>
  <si>
    <t>As (open stirubs)</t>
  </si>
  <si>
    <t>(on four faces )</t>
  </si>
  <si>
    <t>braches</t>
  </si>
  <si>
    <t>As (shear)</t>
  </si>
  <si>
    <t>longitudinal bars</t>
  </si>
  <si>
    <t>branches number</t>
  </si>
  <si>
    <t>Torsion State</t>
  </si>
  <si>
    <t xml:space="preserve">if made true torsion will be considered as </t>
  </si>
  <si>
    <t>equilibruim torsion , and designed for .</t>
  </si>
  <si>
    <t>else will be considered compitability torssion</t>
  </si>
  <si>
    <t xml:space="preserve">and will be considered to be killed in the </t>
  </si>
  <si>
    <t xml:space="preserve"> relaxation process due to plastic deformation</t>
  </si>
  <si>
    <t>Design Loads</t>
  </si>
  <si>
    <t>if made true torsion will be considered as equilibruim torsion , and designed for .else will be considered compitability torssion and will be considered to be killed in the  relaxation process due to plastic deformation</t>
  </si>
  <si>
    <t>Flange</t>
  </si>
  <si>
    <t>xf</t>
  </si>
  <si>
    <t>yf</t>
  </si>
  <si>
    <t>Flange thickness</t>
  </si>
  <si>
    <t xml:space="preserve">Flange span </t>
  </si>
  <si>
    <t>A^2/p</t>
  </si>
  <si>
    <t>k1</t>
  </si>
  <si>
    <t>k2</t>
  </si>
  <si>
    <t>k3</t>
  </si>
  <si>
    <t>phi</t>
  </si>
  <si>
    <t>long. corner steel diameter</t>
  </si>
  <si>
    <t xml:space="preserve">Soil </t>
  </si>
  <si>
    <t xml:space="preserve">Soil Bearing Capacity </t>
  </si>
  <si>
    <t>BC</t>
  </si>
  <si>
    <t>over burden pressure</t>
  </si>
  <si>
    <t>qd</t>
  </si>
  <si>
    <t>Ground Water Level</t>
  </si>
  <si>
    <t>GWT</t>
  </si>
  <si>
    <t>m</t>
  </si>
  <si>
    <t>Debth of foundation</t>
  </si>
  <si>
    <t xml:space="preserve">Concrete Strength </t>
  </si>
  <si>
    <t>ultimate strength</t>
  </si>
  <si>
    <t>compresive strength</t>
  </si>
  <si>
    <t>shear Strength</t>
  </si>
  <si>
    <t>qc</t>
  </si>
  <si>
    <t>Punch strength</t>
  </si>
  <si>
    <t>qcp</t>
  </si>
  <si>
    <t>qb</t>
  </si>
  <si>
    <t>Steel Strength</t>
  </si>
  <si>
    <t>yeild strength</t>
  </si>
  <si>
    <t>design strength</t>
  </si>
  <si>
    <t>j</t>
  </si>
  <si>
    <t>tc</t>
  </si>
  <si>
    <t>column</t>
  </si>
  <si>
    <t>footing</t>
  </si>
  <si>
    <t>punch</t>
  </si>
  <si>
    <t>Bending</t>
  </si>
  <si>
    <t>Shear</t>
  </si>
  <si>
    <t>Bond</t>
  </si>
  <si>
    <t xml:space="preserve">Load </t>
  </si>
  <si>
    <t>width</t>
  </si>
  <si>
    <t>Area</t>
  </si>
  <si>
    <t>Width</t>
  </si>
  <si>
    <t>Stress</t>
  </si>
  <si>
    <t>punch Cone</t>
  </si>
  <si>
    <t>Force</t>
  </si>
  <si>
    <t>allowable</t>
  </si>
  <si>
    <t>safty</t>
  </si>
  <si>
    <t>moment</t>
  </si>
  <si>
    <t>area steel</t>
  </si>
  <si>
    <t>force</t>
  </si>
  <si>
    <t>x(m)</t>
  </si>
  <si>
    <t>B (m)</t>
  </si>
  <si>
    <t>L (m)</t>
  </si>
  <si>
    <t>Qb</t>
  </si>
  <si>
    <t>Ap</t>
  </si>
  <si>
    <t>q all</t>
  </si>
  <si>
    <t>SF</t>
  </si>
  <si>
    <t>D (mm)</t>
  </si>
  <si>
    <t>As bar</t>
  </si>
  <si>
    <t>KN/m2</t>
  </si>
  <si>
    <t>P(KN)</t>
  </si>
  <si>
    <t>b (m)</t>
  </si>
  <si>
    <t>t(m)</t>
  </si>
  <si>
    <t>A (m2)</t>
  </si>
  <si>
    <t>f (KN/m2)</t>
  </si>
  <si>
    <t>coulmn</t>
  </si>
  <si>
    <t xml:space="preserve">end </t>
  </si>
  <si>
    <t xml:space="preserve">start </t>
  </si>
  <si>
    <t>node</t>
  </si>
  <si>
    <t>Bearing Capacity Load case</t>
  </si>
  <si>
    <t>Structural Analysis Load case</t>
  </si>
  <si>
    <t>Section name</t>
  </si>
  <si>
    <t>x(mm)</t>
  </si>
  <si>
    <t>y (mm)</t>
  </si>
  <si>
    <t>fc</t>
  </si>
  <si>
    <t>safty factor</t>
  </si>
  <si>
    <t>M</t>
  </si>
  <si>
    <t>Bar</t>
  </si>
  <si>
    <t>qc*b*d</t>
  </si>
  <si>
    <t>bar/m</t>
  </si>
  <si>
    <t>section debth</t>
  </si>
  <si>
    <t>footing thickness</t>
  </si>
  <si>
    <t>concrete cover</t>
  </si>
  <si>
    <t>Bar End Shape factor</t>
  </si>
  <si>
    <t xml:space="preserve">" for staright bar </t>
  </si>
  <si>
    <t>surface factor</t>
  </si>
  <si>
    <t>" deformed bars</t>
  </si>
  <si>
    <t>bond strength</t>
  </si>
  <si>
    <t>development length</t>
  </si>
  <si>
    <t>Ld/D</t>
  </si>
  <si>
    <t>fbond</t>
  </si>
  <si>
    <t>SF=x/Ld</t>
  </si>
  <si>
    <t>Ld</t>
  </si>
  <si>
    <t>the sheet is protected and the password is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</si>
</sst>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000_);_(* \(#,##0.00000\);_(* &quot;-&quot;??_);_(@_)"/>
    <numFmt numFmtId="165" formatCode="0.0000"/>
    <numFmt numFmtId="166" formatCode="0.0"/>
    <numFmt numFmtId="167" formatCode="0.00000"/>
    <numFmt numFmtId="168" formatCode="0.0%"/>
    <numFmt numFmtId="169" formatCode="0.0E+00"/>
    <numFmt numFmtId="170" formatCode="0.000"/>
    <numFmt numFmtId="171" formatCode="0.000E+00"/>
  </numFmts>
  <fonts count="31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9" tint="-0.499984740745262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u/>
      <sz val="14"/>
      <color theme="1"/>
      <name val="Calibri Light"/>
      <family val="2"/>
      <scheme val="major"/>
    </font>
    <font>
      <b/>
      <i/>
      <sz val="11"/>
      <color rgb="FF3F3F7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8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rgb="FF3F3F3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/>
      <bottom/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1" applyNumberFormat="0" applyAlignment="0" applyProtection="0"/>
    <xf numFmtId="0" fontId="5" fillId="0" borderId="0" applyNumberFormat="0" applyFill="0" applyBorder="0" applyAlignment="0" applyProtection="0"/>
    <xf numFmtId="0" fontId="13" fillId="4" borderId="3" applyNumberFormat="0" applyAlignment="0" applyProtection="0"/>
    <xf numFmtId="0" fontId="12" fillId="7" borderId="4" applyNumberFormat="0" applyFont="0" applyAlignment="0" applyProtection="0"/>
    <xf numFmtId="9" fontId="12" fillId="0" borderId="0" applyFont="0" applyFill="0" applyBorder="0" applyAlignment="0" applyProtection="0"/>
    <xf numFmtId="0" fontId="12" fillId="12" borderId="0" applyNumberFormat="0" applyBorder="0" applyAlignment="0" applyProtection="0"/>
  </cellStyleXfs>
  <cellXfs count="335">
    <xf numFmtId="0" fontId="0" fillId="0" borderId="0" xfId="0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6" fillId="5" borderId="0" xfId="5" applyFont="1" applyFill="1" applyBorder="1" applyAlignment="1">
      <alignment horizontal="center"/>
    </xf>
    <xf numFmtId="0" fontId="7" fillId="5" borderId="0" xfId="5" applyFont="1" applyFill="1" applyBorder="1" applyAlignment="1">
      <alignment horizontal="center"/>
    </xf>
    <xf numFmtId="0" fontId="6" fillId="5" borderId="0" xfId="5" applyFont="1" applyFill="1" applyBorder="1"/>
    <xf numFmtId="0" fontId="9" fillId="5" borderId="0" xfId="0" applyFont="1" applyFill="1"/>
    <xf numFmtId="0" fontId="0" fillId="6" borderId="0" xfId="0" applyFill="1"/>
    <xf numFmtId="0" fontId="0" fillId="5" borderId="0" xfId="0" applyFill="1" applyAlignment="1">
      <alignment horizontal="left" indent="1"/>
    </xf>
    <xf numFmtId="0" fontId="0" fillId="8" borderId="7" xfId="0" applyFill="1" applyBorder="1"/>
    <xf numFmtId="0" fontId="1" fillId="8" borderId="8" xfId="1" applyFill="1" applyBorder="1" applyAlignment="1">
      <alignment horizontal="left" indent="1"/>
    </xf>
    <xf numFmtId="0" fontId="1" fillId="8" borderId="0" xfId="1" applyFill="1" applyBorder="1" applyAlignment="1">
      <alignment horizontal="left" indent="1"/>
    </xf>
    <xf numFmtId="0" fontId="1" fillId="8" borderId="0" xfId="1" applyFill="1" applyBorder="1" applyAlignment="1"/>
    <xf numFmtId="0" fontId="0" fillId="8" borderId="0" xfId="0" applyFill="1"/>
    <xf numFmtId="0" fontId="0" fillId="8" borderId="9" xfId="0" applyFill="1" applyBorder="1"/>
    <xf numFmtId="0" fontId="0" fillId="8" borderId="8" xfId="0" applyFill="1" applyBorder="1" applyAlignment="1">
      <alignment horizontal="left" indent="1"/>
    </xf>
    <xf numFmtId="0" fontId="0" fillId="8" borderId="0" xfId="0" applyFill="1" applyAlignment="1">
      <alignment horizontal="left" indent="1"/>
    </xf>
    <xf numFmtId="0" fontId="6" fillId="8" borderId="0" xfId="5" applyFont="1" applyFill="1" applyBorder="1" applyAlignment="1">
      <alignment horizontal="right"/>
    </xf>
    <xf numFmtId="0" fontId="7" fillId="8" borderId="0" xfId="5" applyFont="1" applyFill="1" applyBorder="1" applyAlignment="1">
      <alignment horizontal="center"/>
    </xf>
    <xf numFmtId="0" fontId="6" fillId="8" borderId="0" xfId="0" applyFont="1" applyFill="1" applyAlignment="1">
      <alignment horizontal="right"/>
    </xf>
    <xf numFmtId="0" fontId="8" fillId="8" borderId="0" xfId="0" applyFont="1" applyFill="1"/>
    <xf numFmtId="0" fontId="8" fillId="8" borderId="0" xfId="4" applyFont="1" applyFill="1" applyBorder="1" applyProtection="1">
      <protection locked="0"/>
    </xf>
    <xf numFmtId="0" fontId="15" fillId="8" borderId="8" xfId="0" applyFont="1" applyFill="1" applyBorder="1" applyAlignment="1">
      <alignment horizontal="left" indent="1"/>
    </xf>
    <xf numFmtId="0" fontId="15" fillId="8" borderId="0" xfId="0" applyFont="1" applyFill="1" applyAlignment="1">
      <alignment horizontal="left" indent="1"/>
    </xf>
    <xf numFmtId="0" fontId="9" fillId="8" borderId="0" xfId="0" applyFont="1" applyFill="1"/>
    <xf numFmtId="0" fontId="2" fillId="8" borderId="0" xfId="2" applyFill="1" applyBorder="1"/>
    <xf numFmtId="164" fontId="2" fillId="8" borderId="0" xfId="2" applyNumberFormat="1" applyFill="1" applyBorder="1"/>
    <xf numFmtId="0" fontId="0" fillId="8" borderId="10" xfId="0" applyFill="1" applyBorder="1" applyAlignment="1">
      <alignment horizontal="left" indent="1"/>
    </xf>
    <xf numFmtId="0" fontId="0" fillId="8" borderId="11" xfId="0" applyFill="1" applyBorder="1" applyAlignment="1">
      <alignment horizontal="left" indent="1"/>
    </xf>
    <xf numFmtId="0" fontId="0" fillId="8" borderId="11" xfId="0" applyFill="1" applyBorder="1"/>
    <xf numFmtId="0" fontId="0" fillId="8" borderId="12" xfId="0" applyFill="1" applyBorder="1"/>
    <xf numFmtId="0" fontId="0" fillId="8" borderId="5" xfId="0" applyFill="1" applyBorder="1" applyAlignment="1">
      <alignment horizontal="left" indent="1"/>
    </xf>
    <xf numFmtId="0" fontId="0" fillId="8" borderId="6" xfId="0" applyFill="1" applyBorder="1" applyAlignment="1">
      <alignment horizontal="left" indent="1"/>
    </xf>
    <xf numFmtId="0" fontId="0" fillId="8" borderId="6" xfId="0" applyFill="1" applyBorder="1"/>
    <xf numFmtId="0" fontId="0" fillId="8" borderId="8" xfId="0" quotePrefix="1" applyFill="1" applyBorder="1" applyAlignment="1">
      <alignment horizontal="left" indent="1"/>
    </xf>
    <xf numFmtId="0" fontId="0" fillId="8" borderId="0" xfId="0" quotePrefix="1" applyFill="1"/>
    <xf numFmtId="0" fontId="0" fillId="8" borderId="0" xfId="0" applyFill="1" applyAlignment="1">
      <alignment horizontal="center"/>
    </xf>
    <xf numFmtId="0" fontId="0" fillId="8" borderId="2" xfId="0" applyFill="1" applyBorder="1" applyAlignment="1">
      <alignment horizontal="left" indent="1"/>
    </xf>
    <xf numFmtId="0" fontId="3" fillId="7" borderId="4" xfId="7" applyFont="1"/>
    <xf numFmtId="12" fontId="3" fillId="7" borderId="4" xfId="7" applyNumberFormat="1" applyFont="1"/>
    <xf numFmtId="0" fontId="3" fillId="3" borderId="1" xfId="3"/>
    <xf numFmtId="0" fontId="16" fillId="9" borderId="2" xfId="3" applyFont="1" applyFill="1" applyBorder="1"/>
    <xf numFmtId="1" fontId="16" fillId="9" borderId="2" xfId="3" applyNumberFormat="1" applyFont="1" applyFill="1" applyBorder="1"/>
    <xf numFmtId="2" fontId="4" fillId="4" borderId="1" xfId="4" applyNumberFormat="1"/>
    <xf numFmtId="0" fontId="4" fillId="4" borderId="1" xfId="4"/>
    <xf numFmtId="0" fontId="13" fillId="4" borderId="3" xfId="6"/>
    <xf numFmtId="0" fontId="14" fillId="8" borderId="2" xfId="0" applyFont="1" applyFill="1" applyBorder="1" applyAlignment="1">
      <alignment horizontal="center"/>
    </xf>
    <xf numFmtId="0" fontId="17" fillId="8" borderId="2" xfId="0" applyFont="1" applyFill="1" applyBorder="1"/>
    <xf numFmtId="0" fontId="17" fillId="8" borderId="2" xfId="0" applyFont="1" applyFill="1" applyBorder="1" applyAlignment="1">
      <alignment horizontal="left" indent="1"/>
    </xf>
    <xf numFmtId="165" fontId="13" fillId="4" borderId="3" xfId="6" applyNumberFormat="1" applyAlignment="1">
      <alignment horizontal="left" indent="1"/>
    </xf>
    <xf numFmtId="166" fontId="13" fillId="4" borderId="3" xfId="6" applyNumberFormat="1" applyAlignment="1">
      <alignment horizontal="left" indent="1"/>
    </xf>
    <xf numFmtId="0" fontId="0" fillId="8" borderId="8" xfId="0" applyFill="1" applyBorder="1"/>
    <xf numFmtId="0" fontId="19" fillId="7" borderId="4" xfId="7" applyFont="1" applyAlignment="1">
      <alignment horizontal="center"/>
    </xf>
    <xf numFmtId="0" fontId="5" fillId="8" borderId="0" xfId="5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21" fillId="7" borderId="4" xfId="7" applyFont="1" applyAlignment="1">
      <alignment horizontal="center"/>
    </xf>
    <xf numFmtId="0" fontId="0" fillId="8" borderId="2" xfId="0" applyFill="1" applyBorder="1"/>
    <xf numFmtId="0" fontId="0" fillId="9" borderId="2" xfId="0" applyFill="1" applyBorder="1"/>
    <xf numFmtId="0" fontId="0" fillId="8" borderId="10" xfId="0" applyFill="1" applyBorder="1"/>
    <xf numFmtId="0" fontId="0" fillId="8" borderId="5" xfId="0" applyFill="1" applyBorder="1"/>
    <xf numFmtId="0" fontId="0" fillId="8" borderId="8" xfId="0" applyFill="1" applyBorder="1" applyAlignment="1">
      <alignment horizontal="center"/>
    </xf>
    <xf numFmtId="0" fontId="0" fillId="8" borderId="0" xfId="0" applyFill="1" applyAlignment="1">
      <alignment horizontal="left" vertical="top" wrapText="1"/>
    </xf>
    <xf numFmtId="0" fontId="20" fillId="8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10" fillId="8" borderId="0" xfId="0" applyFont="1" applyFill="1"/>
    <xf numFmtId="0" fontId="0" fillId="9" borderId="13" xfId="0" applyFill="1" applyBorder="1"/>
    <xf numFmtId="168" fontId="0" fillId="9" borderId="13" xfId="8" applyNumberFormat="1" applyFont="1" applyFill="1" applyBorder="1"/>
    <xf numFmtId="0" fontId="0" fillId="6" borderId="13" xfId="0" applyFill="1" applyBorder="1"/>
    <xf numFmtId="0" fontId="0" fillId="7" borderId="0" xfId="7" applyFont="1" applyBorder="1"/>
    <xf numFmtId="0" fontId="0" fillId="8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18" fillId="8" borderId="0" xfId="0" applyFont="1" applyFill="1"/>
    <xf numFmtId="0" fontId="3" fillId="3" borderId="1" xfId="3" applyAlignment="1">
      <alignment horizontal="center"/>
    </xf>
    <xf numFmtId="11" fontId="3" fillId="3" borderId="1" xfId="3" applyNumberFormat="1" applyAlignment="1">
      <alignment horizontal="center"/>
    </xf>
    <xf numFmtId="0" fontId="24" fillId="8" borderId="2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0" fillId="11" borderId="2" xfId="0" applyFill="1" applyBorder="1"/>
    <xf numFmtId="0" fontId="3" fillId="7" borderId="14" xfId="7" applyFont="1" applyBorder="1" applyAlignment="1">
      <alignment horizontal="center"/>
    </xf>
    <xf numFmtId="0" fontId="3" fillId="3" borderId="15" xfId="3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12" fillId="11" borderId="2" xfId="4" applyFont="1" applyFill="1" applyBorder="1" applyAlignment="1">
      <alignment horizontal="center"/>
    </xf>
    <xf numFmtId="167" fontId="0" fillId="11" borderId="2" xfId="0" applyNumberFormat="1" applyFill="1" applyBorder="1"/>
    <xf numFmtId="0" fontId="26" fillId="8" borderId="8" xfId="0" applyFont="1" applyFill="1" applyBorder="1" applyAlignment="1">
      <alignment horizontal="left" indent="2"/>
    </xf>
    <xf numFmtId="0" fontId="27" fillId="8" borderId="8" xfId="0" applyFont="1" applyFill="1" applyBorder="1" applyAlignment="1">
      <alignment horizontal="left" indent="2"/>
    </xf>
    <xf numFmtId="0" fontId="27" fillId="8" borderId="0" xfId="9" applyFont="1" applyFill="1" applyBorder="1" applyAlignment="1">
      <alignment horizontal="left" indent="2"/>
    </xf>
    <xf numFmtId="0" fontId="27" fillId="8" borderId="8" xfId="5" applyFont="1" applyFill="1" applyBorder="1" applyAlignment="1">
      <alignment horizontal="left" indent="2"/>
    </xf>
    <xf numFmtId="0" fontId="26" fillId="8" borderId="8" xfId="5" applyFont="1" applyFill="1" applyBorder="1" applyAlignment="1">
      <alignment horizontal="left" indent="2"/>
    </xf>
    <xf numFmtId="0" fontId="27" fillId="8" borderId="0" xfId="0" applyFont="1" applyFill="1" applyAlignment="1">
      <alignment horizontal="left" indent="2"/>
    </xf>
    <xf numFmtId="0" fontId="27" fillId="8" borderId="0" xfId="5" applyFont="1" applyFill="1" applyBorder="1" applyAlignment="1">
      <alignment horizontal="left" indent="2"/>
    </xf>
    <xf numFmtId="2" fontId="27" fillId="8" borderId="0" xfId="0" applyNumberFormat="1" applyFont="1" applyFill="1" applyAlignment="1">
      <alignment horizontal="left" indent="2"/>
    </xf>
    <xf numFmtId="0" fontId="26" fillId="8" borderId="0" xfId="0" applyFont="1" applyFill="1" applyAlignment="1">
      <alignment horizontal="left" indent="2"/>
    </xf>
    <xf numFmtId="0" fontId="27" fillId="8" borderId="0" xfId="0" quotePrefix="1" applyFont="1" applyFill="1" applyAlignment="1">
      <alignment horizontal="left" indent="2"/>
    </xf>
    <xf numFmtId="0" fontId="10" fillId="8" borderId="8" xfId="0" quotePrefix="1" applyFont="1" applyFill="1" applyBorder="1" applyAlignment="1">
      <alignment horizontal="left" indent="5"/>
    </xf>
    <xf numFmtId="0" fontId="10" fillId="8" borderId="0" xfId="0" applyFont="1" applyFill="1" applyAlignment="1">
      <alignment horizontal="left" indent="5"/>
    </xf>
    <xf numFmtId="0" fontId="10" fillId="8" borderId="0" xfId="0" quotePrefix="1" applyFont="1" applyFill="1" applyAlignment="1">
      <alignment horizontal="left" indent="2"/>
    </xf>
    <xf numFmtId="0" fontId="10" fillId="8" borderId="0" xfId="0" applyFont="1" applyFill="1" applyAlignment="1">
      <alignment horizontal="left" indent="2"/>
    </xf>
    <xf numFmtId="0" fontId="10" fillId="8" borderId="8" xfId="0" applyFont="1" applyFill="1" applyBorder="1" applyAlignment="1">
      <alignment horizontal="left" indent="5"/>
    </xf>
    <xf numFmtId="2" fontId="0" fillId="5" borderId="0" xfId="0" applyNumberFormat="1" applyFill="1"/>
    <xf numFmtId="2" fontId="0" fillId="8" borderId="0" xfId="0" applyNumberFormat="1" applyFill="1"/>
    <xf numFmtId="2" fontId="28" fillId="8" borderId="0" xfId="9" applyNumberFormat="1" applyFont="1" applyFill="1" applyBorder="1" applyAlignment="1">
      <alignment horizontal="left" indent="2"/>
    </xf>
    <xf numFmtId="2" fontId="27" fillId="8" borderId="0" xfId="9" applyNumberFormat="1" applyFont="1" applyFill="1" applyBorder="1" applyAlignment="1">
      <alignment horizontal="left" indent="2"/>
    </xf>
    <xf numFmtId="2" fontId="14" fillId="8" borderId="2" xfId="0" applyNumberFormat="1" applyFont="1" applyFill="1" applyBorder="1" applyAlignment="1">
      <alignment horizontal="center"/>
    </xf>
    <xf numFmtId="2" fontId="17" fillId="8" borderId="2" xfId="0" applyNumberFormat="1" applyFont="1" applyFill="1" applyBorder="1"/>
    <xf numFmtId="2" fontId="0" fillId="8" borderId="11" xfId="0" applyNumberFormat="1" applyFill="1" applyBorder="1"/>
    <xf numFmtId="2" fontId="0" fillId="8" borderId="6" xfId="0" applyNumberFormat="1" applyFill="1" applyBorder="1"/>
    <xf numFmtId="2" fontId="13" fillId="8" borderId="0" xfId="6" applyNumberFormat="1" applyFill="1" applyBorder="1"/>
    <xf numFmtId="0" fontId="0" fillId="6" borderId="2" xfId="0" applyFill="1" applyBorder="1"/>
    <xf numFmtId="2" fontId="0" fillId="6" borderId="2" xfId="0" applyNumberFormat="1" applyFill="1" applyBorder="1"/>
    <xf numFmtId="0" fontId="0" fillId="6" borderId="16" xfId="0" applyFill="1" applyBorder="1"/>
    <xf numFmtId="170" fontId="13" fillId="4" borderId="3" xfId="6" applyNumberFormat="1" applyAlignment="1">
      <alignment horizontal="left" indent="1"/>
    </xf>
    <xf numFmtId="2" fontId="13" fillId="4" borderId="3" xfId="6" applyNumberFormat="1" applyAlignment="1">
      <alignment horizontal="left" indent="1"/>
    </xf>
    <xf numFmtId="170" fontId="13" fillId="4" borderId="3" xfId="6" applyNumberFormat="1"/>
    <xf numFmtId="0" fontId="3" fillId="8" borderId="0" xfId="3" applyFill="1" applyBorder="1" applyAlignment="1">
      <alignment horizontal="left" indent="1"/>
    </xf>
    <xf numFmtId="0" fontId="13" fillId="8" borderId="0" xfId="6" applyFill="1" applyBorder="1"/>
    <xf numFmtId="0" fontId="13" fillId="8" borderId="0" xfId="6" applyFill="1" applyBorder="1" applyAlignment="1">
      <alignment horizontal="left" indent="1"/>
    </xf>
    <xf numFmtId="0" fontId="0" fillId="9" borderId="2" xfId="0" applyFill="1" applyBorder="1" applyAlignment="1">
      <alignment horizontal="center"/>
    </xf>
    <xf numFmtId="0" fontId="3" fillId="3" borderId="17" xfId="3" applyBorder="1" applyAlignment="1">
      <alignment horizontal="center"/>
    </xf>
    <xf numFmtId="0" fontId="0" fillId="8" borderId="0" xfId="7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0" xfId="1" applyFont="1" applyFill="1" applyBorder="1" applyAlignment="1">
      <alignment horizontal="left" indent="1"/>
    </xf>
    <xf numFmtId="0" fontId="0" fillId="0" borderId="0" xfId="1" applyFont="1" applyFill="1" applyBorder="1" applyAlignment="1"/>
    <xf numFmtId="0" fontId="0" fillId="0" borderId="0" xfId="5" applyFont="1" applyFill="1" applyBorder="1" applyAlignment="1">
      <alignment horizontal="right"/>
    </xf>
    <xf numFmtId="0" fontId="0" fillId="0" borderId="0" xfId="5" applyFont="1" applyFill="1" applyBorder="1" applyAlignment="1">
      <alignment horizontal="center"/>
    </xf>
    <xf numFmtId="0" fontId="10" fillId="0" borderId="0" xfId="0" applyFont="1"/>
    <xf numFmtId="0" fontId="22" fillId="0" borderId="0" xfId="1" applyFont="1" applyFill="1" applyBorder="1" applyAlignment="1">
      <alignment horizontal="left" indent="1"/>
    </xf>
    <xf numFmtId="0" fontId="12" fillId="0" borderId="0" xfId="5" applyFont="1" applyFill="1" applyBorder="1" applyAlignment="1"/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/>
    <xf numFmtId="0" fontId="20" fillId="0" borderId="18" xfId="0" applyFont="1" applyBorder="1" applyAlignment="1">
      <alignment horizontal="center"/>
    </xf>
    <xf numFmtId="0" fontId="20" fillId="0" borderId="19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0" borderId="0" xfId="5" applyFont="1" applyFill="1" applyBorder="1" applyAlignment="1">
      <alignment horizontal="left" indent="1"/>
    </xf>
    <xf numFmtId="0" fontId="3" fillId="9" borderId="2" xfId="7" applyFont="1" applyFill="1" applyBorder="1"/>
    <xf numFmtId="12" fontId="3" fillId="9" borderId="2" xfId="7" applyNumberFormat="1" applyFont="1" applyFill="1" applyBorder="1"/>
    <xf numFmtId="164" fontId="18" fillId="8" borderId="0" xfId="2" applyNumberFormat="1" applyFont="1" applyFill="1" applyBorder="1"/>
    <xf numFmtId="0" fontId="0" fillId="7" borderId="4" xfId="7" applyFont="1" applyAlignment="1">
      <alignment horizontal="center"/>
    </xf>
    <xf numFmtId="12" fontId="0" fillId="7" borderId="4" xfId="7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1" applyFont="1" applyFill="1" applyBorder="1" applyAlignment="1">
      <alignment horizontal="center"/>
    </xf>
    <xf numFmtId="0" fontId="0" fillId="0" borderId="0" xfId="3" applyFont="1" applyFill="1" applyBorder="1" applyAlignment="1">
      <alignment horizontal="center"/>
    </xf>
    <xf numFmtId="2" fontId="0" fillId="0" borderId="0" xfId="4" applyNumberFormat="1" applyFont="1" applyFill="1" applyBorder="1" applyAlignment="1">
      <alignment horizontal="center"/>
    </xf>
    <xf numFmtId="1" fontId="0" fillId="0" borderId="0" xfId="3" applyNumberFormat="1" applyFon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5" applyNumberFormat="1" applyFont="1" applyFill="1" applyBorder="1" applyAlignment="1">
      <alignment horizontal="center"/>
    </xf>
    <xf numFmtId="2" fontId="20" fillId="0" borderId="19" xfId="0" applyNumberFormat="1" applyFon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7" fillId="8" borderId="0" xfId="5" applyFont="1" applyFill="1" applyBorder="1" applyAlignment="1"/>
    <xf numFmtId="0" fontId="7" fillId="8" borderId="0" xfId="0" applyFont="1" applyFill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left"/>
    </xf>
    <xf numFmtId="0" fontId="3" fillId="3" borderId="30" xfId="3" applyBorder="1"/>
    <xf numFmtId="0" fontId="0" fillId="0" borderId="9" xfId="0" applyBorder="1"/>
    <xf numFmtId="2" fontId="13" fillId="6" borderId="31" xfId="6" applyNumberFormat="1" applyFill="1" applyBorder="1"/>
    <xf numFmtId="1" fontId="0" fillId="0" borderId="0" xfId="0" applyNumberFormat="1"/>
    <xf numFmtId="0" fontId="0" fillId="0" borderId="2" xfId="0" applyBorder="1"/>
    <xf numFmtId="0" fontId="10" fillId="8" borderId="0" xfId="0" applyFont="1" applyFill="1" applyAlignment="1">
      <alignment horizontal="center"/>
    </xf>
    <xf numFmtId="0" fontId="14" fillId="8" borderId="8" xfId="0" applyFont="1" applyFill="1" applyBorder="1" applyAlignment="1">
      <alignment horizontal="left" indent="1"/>
    </xf>
    <xf numFmtId="0" fontId="7" fillId="8" borderId="0" xfId="0" applyFont="1" applyFill="1" applyAlignment="1">
      <alignment horizontal="center"/>
    </xf>
    <xf numFmtId="0" fontId="14" fillId="8" borderId="35" xfId="0" applyFont="1" applyFill="1" applyBorder="1" applyAlignment="1">
      <alignment horizontal="center"/>
    </xf>
    <xf numFmtId="0" fontId="0" fillId="8" borderId="35" xfId="0" applyFill="1" applyBorder="1" applyAlignment="1">
      <alignment horizontal="left" indent="1"/>
    </xf>
    <xf numFmtId="0" fontId="22" fillId="8" borderId="8" xfId="0" applyFont="1" applyFill="1" applyBorder="1" applyAlignment="1">
      <alignment horizontal="left" indent="1"/>
    </xf>
    <xf numFmtId="2" fontId="0" fillId="8" borderId="0" xfId="0" applyNumberFormat="1" applyFill="1" applyAlignment="1">
      <alignment horizontal="left" indent="1"/>
    </xf>
    <xf numFmtId="0" fontId="10" fillId="8" borderId="5" xfId="0" applyFont="1" applyFill="1" applyBorder="1" applyAlignment="1">
      <alignment horizontal="left" indent="1"/>
    </xf>
    <xf numFmtId="0" fontId="13" fillId="6" borderId="3" xfId="6" applyFill="1"/>
    <xf numFmtId="0" fontId="13" fillId="6" borderId="3" xfId="6" applyFill="1" applyAlignment="1">
      <alignment horizontal="center"/>
    </xf>
    <xf numFmtId="0" fontId="22" fillId="8" borderId="0" xfId="0" applyFont="1" applyFill="1" applyAlignment="1">
      <alignment horizontal="left" indent="1"/>
    </xf>
    <xf numFmtId="2" fontId="0" fillId="8" borderId="0" xfId="0" applyNumberFormat="1" applyFill="1" applyAlignment="1">
      <alignment horizontal="center"/>
    </xf>
    <xf numFmtId="0" fontId="22" fillId="8" borderId="0" xfId="0" applyFont="1" applyFill="1"/>
    <xf numFmtId="0" fontId="0" fillId="13" borderId="37" xfId="0" applyFill="1" applyBorder="1"/>
    <xf numFmtId="166" fontId="0" fillId="8" borderId="0" xfId="0" applyNumberFormat="1" applyFill="1"/>
    <xf numFmtId="2" fontId="13" fillId="6" borderId="3" xfId="6" applyNumberFormat="1" applyFill="1" applyAlignment="1">
      <alignment horizontal="left" indent="1"/>
    </xf>
    <xf numFmtId="0" fontId="3" fillId="6" borderId="1" xfId="3" applyFill="1"/>
    <xf numFmtId="0" fontId="0" fillId="6" borderId="37" xfId="0" applyFill="1" applyBorder="1"/>
    <xf numFmtId="0" fontId="0" fillId="8" borderId="0" xfId="0" applyFill="1" applyAlignment="1">
      <alignment horizontal="right"/>
    </xf>
    <xf numFmtId="0" fontId="14" fillId="8" borderId="0" xfId="0" applyFont="1" applyFill="1"/>
    <xf numFmtId="0" fontId="14" fillId="8" borderId="0" xfId="0" applyFont="1" applyFill="1" applyAlignment="1">
      <alignment horizontal="left" indent="1"/>
    </xf>
    <xf numFmtId="0" fontId="3" fillId="3" borderId="1" xfId="3" applyAlignment="1">
      <alignment horizontal="left" indent="1"/>
    </xf>
    <xf numFmtId="166" fontId="0" fillId="8" borderId="0" xfId="0" applyNumberFormat="1" applyFill="1" applyAlignment="1">
      <alignment horizontal="center"/>
    </xf>
    <xf numFmtId="0" fontId="10" fillId="8" borderId="0" xfId="0" applyFont="1" applyFill="1" applyAlignment="1">
      <alignment horizontal="left" indent="1"/>
    </xf>
    <xf numFmtId="0" fontId="22" fillId="8" borderId="8" xfId="0" quotePrefix="1" applyFont="1" applyFill="1" applyBorder="1" applyAlignment="1">
      <alignment horizontal="left" indent="1"/>
    </xf>
    <xf numFmtId="0" fontId="22" fillId="8" borderId="0" xfId="0" quotePrefix="1" applyFont="1" applyFill="1"/>
    <xf numFmtId="0" fontId="27" fillId="8" borderId="0" xfId="0" applyFont="1" applyFill="1" applyAlignment="1" applyProtection="1">
      <alignment horizontal="left" indent="2"/>
      <protection locked="0"/>
    </xf>
    <xf numFmtId="0" fontId="3" fillId="3" borderId="1" xfId="3" applyAlignment="1" applyProtection="1">
      <alignment horizontal="left" indent="2"/>
      <protection locked="0"/>
    </xf>
    <xf numFmtId="166" fontId="27" fillId="8" borderId="0" xfId="0" applyNumberFormat="1" applyFont="1" applyFill="1" applyAlignment="1">
      <alignment horizontal="left" indent="2"/>
    </xf>
    <xf numFmtId="0" fontId="12" fillId="8" borderId="0" xfId="0" applyFont="1" applyFill="1"/>
    <xf numFmtId="2" fontId="9" fillId="8" borderId="0" xfId="0" applyNumberFormat="1" applyFont="1" applyFill="1"/>
    <xf numFmtId="0" fontId="18" fillId="8" borderId="0" xfId="0" applyFont="1" applyFill="1" applyAlignment="1">
      <alignment horizontal="center"/>
    </xf>
    <xf numFmtId="0" fontId="0" fillId="8" borderId="36" xfId="0" applyFill="1" applyBorder="1" applyAlignment="1">
      <alignment horizontal="left" indent="1"/>
    </xf>
    <xf numFmtId="167" fontId="27" fillId="8" borderId="0" xfId="0" applyNumberFormat="1" applyFont="1" applyFill="1" applyAlignment="1">
      <alignment horizontal="left" indent="2"/>
    </xf>
    <xf numFmtId="11" fontId="0" fillId="8" borderId="0" xfId="0" applyNumberFormat="1" applyFill="1" applyAlignment="1">
      <alignment horizontal="center"/>
    </xf>
    <xf numFmtId="0" fontId="12" fillId="8" borderId="0" xfId="2" applyFont="1" applyFill="1" applyBorder="1" applyAlignment="1">
      <alignment horizontal="left" indent="1"/>
    </xf>
    <xf numFmtId="1" fontId="13" fillId="6" borderId="3" xfId="6" applyNumberFormat="1" applyFill="1" applyAlignment="1">
      <alignment horizontal="left" indent="1"/>
    </xf>
    <xf numFmtId="0" fontId="1" fillId="8" borderId="0" xfId="1" applyFill="1" applyBorder="1" applyAlignment="1">
      <alignment horizontal="center"/>
    </xf>
    <xf numFmtId="0" fontId="16" fillId="9" borderId="2" xfId="3" applyFont="1" applyFill="1" applyBorder="1" applyAlignment="1">
      <alignment horizontal="center"/>
    </xf>
    <xf numFmtId="1" fontId="16" fillId="9" borderId="2" xfId="3" applyNumberFormat="1" applyFont="1" applyFill="1" applyBorder="1" applyAlignment="1">
      <alignment horizontal="center"/>
    </xf>
    <xf numFmtId="10" fontId="0" fillId="8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66" fontId="13" fillId="4" borderId="0" xfId="6" applyNumberFormat="1" applyBorder="1" applyAlignment="1" applyProtection="1">
      <alignment horizontal="center"/>
      <protection locked="0"/>
    </xf>
    <xf numFmtId="0" fontId="17" fillId="8" borderId="2" xfId="0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2" fontId="13" fillId="8" borderId="3" xfId="6" applyNumberFormat="1" applyFill="1" applyAlignment="1">
      <alignment horizontal="center"/>
    </xf>
    <xf numFmtId="11" fontId="26" fillId="8" borderId="0" xfId="0" applyNumberFormat="1" applyFont="1" applyFill="1" applyAlignment="1">
      <alignment horizontal="center"/>
    </xf>
    <xf numFmtId="167" fontId="27" fillId="8" borderId="0" xfId="0" applyNumberFormat="1" applyFont="1" applyFill="1" applyAlignment="1">
      <alignment horizontal="center"/>
    </xf>
    <xf numFmtId="2" fontId="27" fillId="8" borderId="0" xfId="0" applyNumberFormat="1" applyFont="1" applyFill="1" applyAlignment="1">
      <alignment horizontal="center"/>
    </xf>
    <xf numFmtId="0" fontId="27" fillId="8" borderId="0" xfId="0" applyFont="1" applyFill="1" applyAlignment="1">
      <alignment horizontal="center"/>
    </xf>
    <xf numFmtId="169" fontId="27" fillId="8" borderId="0" xfId="0" applyNumberFormat="1" applyFont="1" applyFill="1" applyAlignment="1">
      <alignment horizontal="center"/>
    </xf>
    <xf numFmtId="165" fontId="27" fillId="8" borderId="0" xfId="2" applyNumberFormat="1" applyFont="1" applyFill="1" applyBorder="1" applyAlignment="1">
      <alignment horizontal="center"/>
    </xf>
    <xf numFmtId="165" fontId="27" fillId="8" borderId="0" xfId="0" applyNumberFormat="1" applyFont="1" applyFill="1" applyAlignment="1">
      <alignment horizontal="center"/>
    </xf>
    <xf numFmtId="1" fontId="27" fillId="8" borderId="0" xfId="0" applyNumberFormat="1" applyFont="1" applyFill="1" applyAlignment="1">
      <alignment horizontal="center"/>
    </xf>
    <xf numFmtId="166" fontId="13" fillId="4" borderId="3" xfId="6" applyNumberFormat="1" applyAlignment="1">
      <alignment horizontal="center"/>
    </xf>
    <xf numFmtId="0" fontId="0" fillId="0" borderId="37" xfId="0" applyBorder="1"/>
    <xf numFmtId="2" fontId="2" fillId="8" borderId="0" xfId="2" applyNumberFormat="1" applyFill="1" applyBorder="1" applyAlignment="1"/>
    <xf numFmtId="0" fontId="0" fillId="0" borderId="7" xfId="0" applyBorder="1"/>
    <xf numFmtId="0" fontId="0" fillId="0" borderId="12" xfId="0" applyBorder="1"/>
    <xf numFmtId="2" fontId="3" fillId="3" borderId="1" xfId="3" applyNumberFormat="1"/>
    <xf numFmtId="2" fontId="18" fillId="0" borderId="0" xfId="0" applyNumberFormat="1" applyFont="1" applyAlignment="1" applyProtection="1">
      <alignment horizontal="center"/>
      <protection locked="0"/>
    </xf>
    <xf numFmtId="169" fontId="18" fillId="0" borderId="0" xfId="0" applyNumberFormat="1" applyFont="1" applyAlignment="1" applyProtection="1">
      <alignment horizontal="center"/>
      <protection locked="0"/>
    </xf>
    <xf numFmtId="2" fontId="18" fillId="0" borderId="0" xfId="0" applyNumberFormat="1" applyFont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left" indent="1"/>
    </xf>
    <xf numFmtId="2" fontId="0" fillId="0" borderId="0" xfId="1" applyNumberFormat="1" applyFont="1" applyFill="1" applyBorder="1" applyAlignment="1"/>
    <xf numFmtId="2" fontId="20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 indent="1"/>
    </xf>
    <xf numFmtId="2" fontId="0" fillId="7" borderId="4" xfId="7" applyNumberFormat="1" applyFont="1" applyAlignment="1">
      <alignment horizontal="center"/>
    </xf>
    <xf numFmtId="2" fontId="18" fillId="0" borderId="0" xfId="0" applyNumberFormat="1" applyFont="1" applyAlignment="1">
      <alignment horizontal="left" indent="1"/>
    </xf>
    <xf numFmtId="2" fontId="3" fillId="3" borderId="1" xfId="3" applyNumberFormat="1" applyAlignment="1">
      <alignment horizontal="center"/>
    </xf>
    <xf numFmtId="2" fontId="18" fillId="0" borderId="0" xfId="0" applyNumberFormat="1" applyFont="1" applyAlignment="1">
      <alignment horizontal="left"/>
    </xf>
    <xf numFmtId="2" fontId="18" fillId="0" borderId="0" xfId="0" quotePrefix="1" applyNumberFormat="1" applyFont="1" applyAlignment="1">
      <alignment horizontal="left"/>
    </xf>
    <xf numFmtId="2" fontId="20" fillId="0" borderId="2" xfId="0" applyNumberFormat="1" applyFont="1" applyBorder="1" applyAlignment="1">
      <alignment horizontal="left" indent="1"/>
    </xf>
    <xf numFmtId="2" fontId="20" fillId="0" borderId="2" xfId="0" applyNumberFormat="1" applyFont="1" applyBorder="1" applyAlignment="1">
      <alignment horizontal="center"/>
    </xf>
    <xf numFmtId="2" fontId="20" fillId="6" borderId="0" xfId="0" applyNumberFormat="1" applyFont="1" applyFill="1" applyAlignment="1" applyProtection="1">
      <alignment horizontal="center"/>
      <protection locked="0"/>
    </xf>
    <xf numFmtId="2" fontId="30" fillId="3" borderId="1" xfId="3" applyNumberFormat="1" applyFont="1" applyAlignment="1" applyProtection="1">
      <alignment horizontal="center"/>
      <protection locked="0"/>
    </xf>
    <xf numFmtId="1" fontId="0" fillId="0" borderId="0" xfId="1" applyNumberFormat="1" applyFont="1" applyFill="1" applyBorder="1" applyAlignment="1">
      <alignment horizontal="left" indent="1"/>
    </xf>
    <xf numFmtId="1" fontId="18" fillId="0" borderId="0" xfId="0" applyNumberFormat="1" applyFont="1" applyAlignment="1">
      <alignment horizontal="center"/>
    </xf>
    <xf numFmtId="1" fontId="20" fillId="0" borderId="0" xfId="0" applyNumberFormat="1" applyFont="1" applyAlignment="1">
      <alignment horizontal="center"/>
    </xf>
    <xf numFmtId="1" fontId="0" fillId="0" borderId="0" xfId="0" applyNumberFormat="1" applyAlignment="1">
      <alignment horizontal="left" indent="1"/>
    </xf>
    <xf numFmtId="1" fontId="18" fillId="0" borderId="2" xfId="0" applyNumberFormat="1" applyFont="1" applyBorder="1" applyAlignment="1">
      <alignment horizontal="center"/>
    </xf>
    <xf numFmtId="1" fontId="18" fillId="0" borderId="2" xfId="0" applyNumberFormat="1" applyFont="1" applyBorder="1" applyAlignment="1">
      <alignment horizontal="left" indent="1"/>
    </xf>
    <xf numFmtId="1" fontId="18" fillId="0" borderId="46" xfId="0" applyNumberFormat="1" applyFont="1" applyBorder="1" applyAlignment="1">
      <alignment horizontal="center"/>
    </xf>
    <xf numFmtId="1" fontId="30" fillId="3" borderId="1" xfId="3" applyNumberFormat="1" applyFont="1" applyAlignment="1" applyProtection="1">
      <alignment horizontal="center"/>
      <protection locked="0"/>
    </xf>
    <xf numFmtId="2" fontId="30" fillId="3" borderId="30" xfId="3" applyNumberFormat="1" applyFont="1" applyBorder="1" applyAlignment="1" applyProtection="1">
      <alignment horizontal="center"/>
      <protection locked="0"/>
    </xf>
    <xf numFmtId="2" fontId="18" fillId="0" borderId="2" xfId="0" applyNumberFormat="1" applyFont="1" applyBorder="1"/>
    <xf numFmtId="171" fontId="18" fillId="0" borderId="0" xfId="0" applyNumberFormat="1" applyFont="1" applyAlignment="1">
      <alignment horizontal="center"/>
    </xf>
    <xf numFmtId="171" fontId="18" fillId="0" borderId="2" xfId="0" applyNumberFormat="1" applyFont="1" applyBorder="1" applyAlignment="1">
      <alignment horizontal="center"/>
    </xf>
    <xf numFmtId="171" fontId="18" fillId="0" borderId="0" xfId="0" applyNumberFormat="1" applyFont="1" applyAlignment="1" applyProtection="1">
      <alignment horizontal="center"/>
      <protection locked="0"/>
    </xf>
    <xf numFmtId="169" fontId="18" fillId="0" borderId="0" xfId="0" applyNumberFormat="1" applyFont="1" applyAlignment="1">
      <alignment horizontal="center"/>
    </xf>
    <xf numFmtId="169" fontId="18" fillId="0" borderId="2" xfId="0" applyNumberFormat="1" applyFont="1" applyBorder="1" applyAlignment="1">
      <alignment horizontal="center"/>
    </xf>
    <xf numFmtId="2" fontId="4" fillId="4" borderId="1" xfId="4" applyNumberFormat="1" applyAlignment="1">
      <alignment horizontal="center"/>
    </xf>
    <xf numFmtId="169" fontId="4" fillId="4" borderId="1" xfId="4" applyNumberFormat="1" applyAlignment="1">
      <alignment horizontal="center"/>
    </xf>
    <xf numFmtId="2" fontId="18" fillId="7" borderId="4" xfId="7" applyNumberFormat="1" applyFont="1" applyAlignment="1">
      <alignment horizontal="center"/>
    </xf>
    <xf numFmtId="0" fontId="14" fillId="0" borderId="0" xfId="0" applyFont="1"/>
    <xf numFmtId="1" fontId="30" fillId="3" borderId="30" xfId="3" applyNumberFormat="1" applyFont="1" applyBorder="1" applyAlignment="1" applyProtection="1">
      <alignment horizontal="center"/>
      <protection locked="0"/>
    </xf>
    <xf numFmtId="0" fontId="3" fillId="3" borderId="1" xfId="3" applyAlignment="1" applyProtection="1">
      <alignment horizontal="center"/>
    </xf>
    <xf numFmtId="0" fontId="22" fillId="0" borderId="0" xfId="1" applyFont="1" applyFill="1" applyBorder="1" applyAlignment="1" applyProtection="1">
      <alignment horizontal="left" indent="1"/>
    </xf>
    <xf numFmtId="0" fontId="0" fillId="0" borderId="0" xfId="3" applyFont="1" applyFill="1" applyBorder="1" applyAlignment="1" applyProtection="1">
      <alignment horizontal="center"/>
    </xf>
    <xf numFmtId="1" fontId="0" fillId="0" borderId="0" xfId="3" applyNumberFormat="1" applyFont="1" applyFill="1" applyBorder="1" applyAlignment="1" applyProtection="1">
      <alignment horizontal="center"/>
    </xf>
    <xf numFmtId="2" fontId="0" fillId="0" borderId="0" xfId="4" applyNumberFormat="1" applyFont="1" applyFill="1" applyBorder="1" applyAlignment="1" applyProtection="1">
      <alignment horizontal="center"/>
    </xf>
    <xf numFmtId="0" fontId="4" fillId="4" borderId="1" xfId="4" applyAlignment="1" applyProtection="1">
      <alignment horizontal="center"/>
    </xf>
    <xf numFmtId="0" fontId="20" fillId="0" borderId="22" xfId="0" applyFont="1" applyBorder="1"/>
    <xf numFmtId="0" fontId="18" fillId="0" borderId="40" xfId="0" applyFont="1" applyBorder="1" applyAlignment="1">
      <alignment horizontal="center"/>
    </xf>
    <xf numFmtId="0" fontId="18" fillId="0" borderId="41" xfId="0" applyFont="1" applyBorder="1" applyAlignment="1">
      <alignment horizontal="center"/>
    </xf>
    <xf numFmtId="0" fontId="18" fillId="0" borderId="42" xfId="0" applyFont="1" applyBorder="1" applyAlignment="1">
      <alignment horizontal="center"/>
    </xf>
    <xf numFmtId="0" fontId="18" fillId="0" borderId="43" xfId="0" applyFont="1" applyBorder="1" applyAlignment="1">
      <alignment horizontal="center"/>
    </xf>
    <xf numFmtId="0" fontId="3" fillId="3" borderId="2" xfId="3" applyBorder="1" applyProtection="1"/>
    <xf numFmtId="0" fontId="13" fillId="6" borderId="2" xfId="6" applyFill="1" applyBorder="1" applyAlignment="1" applyProtection="1">
      <alignment horizontal="center"/>
    </xf>
    <xf numFmtId="0" fontId="3" fillId="3" borderId="2" xfId="3" applyBorder="1" applyAlignment="1" applyProtection="1">
      <alignment horizontal="center"/>
    </xf>
    <xf numFmtId="0" fontId="14" fillId="6" borderId="2" xfId="0" applyFont="1" applyFill="1" applyBorder="1"/>
    <xf numFmtId="0" fontId="3" fillId="3" borderId="30" xfId="3" applyBorder="1" applyProtection="1"/>
    <xf numFmtId="0" fontId="10" fillId="8" borderId="5" xfId="0" applyFont="1" applyFill="1" applyBorder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39" xfId="0" applyFill="1" applyBorder="1" applyAlignment="1">
      <alignment horizontal="center"/>
    </xf>
    <xf numFmtId="0" fontId="10" fillId="8" borderId="27" xfId="0" applyFont="1" applyFill="1" applyBorder="1" applyAlignment="1">
      <alignment horizontal="center"/>
    </xf>
    <xf numFmtId="0" fontId="10" fillId="8" borderId="28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8" fillId="8" borderId="0" xfId="0" applyFont="1" applyFill="1" applyAlignment="1">
      <alignment horizontal="center" vertical="top" wrapText="1"/>
    </xf>
    <xf numFmtId="0" fontId="18" fillId="8" borderId="9" xfId="0" applyFont="1" applyFill="1" applyBorder="1" applyAlignment="1">
      <alignment horizontal="center" vertical="top" wrapText="1"/>
    </xf>
    <xf numFmtId="0" fontId="20" fillId="8" borderId="8" xfId="0" applyFont="1" applyFill="1" applyBorder="1" applyAlignment="1">
      <alignment horizontal="left" indent="2"/>
    </xf>
    <xf numFmtId="0" fontId="20" fillId="8" borderId="0" xfId="0" applyFont="1" applyFill="1" applyAlignment="1">
      <alignment horizontal="left" indent="2"/>
    </xf>
    <xf numFmtId="0" fontId="0" fillId="8" borderId="8" xfId="0" applyFill="1" applyBorder="1" applyAlignment="1">
      <alignment horizontal="left" indent="2"/>
    </xf>
    <xf numFmtId="0" fontId="0" fillId="8" borderId="0" xfId="0" applyFill="1" applyAlignment="1">
      <alignment horizontal="left" indent="2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29" fillId="8" borderId="7" xfId="0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0" fontId="0" fillId="8" borderId="0" xfId="0" applyFill="1" applyAlignment="1">
      <alignment horizontal="left" vertical="top" wrapText="1"/>
    </xf>
    <xf numFmtId="0" fontId="18" fillId="8" borderId="8" xfId="0" applyFont="1" applyFill="1" applyBorder="1" applyAlignment="1">
      <alignment horizontal="left" indent="1"/>
    </xf>
    <xf numFmtId="0" fontId="18" fillId="8" borderId="0" xfId="0" applyFont="1" applyFill="1" applyAlignment="1">
      <alignment horizontal="left" indent="1"/>
    </xf>
    <xf numFmtId="0" fontId="20" fillId="8" borderId="8" xfId="0" applyFont="1" applyFill="1" applyBorder="1" applyAlignment="1">
      <alignment horizontal="center"/>
    </xf>
    <xf numFmtId="0" fontId="20" fillId="8" borderId="0" xfId="0" applyFont="1" applyFill="1" applyAlignment="1">
      <alignment horizontal="center"/>
    </xf>
    <xf numFmtId="0" fontId="22" fillId="8" borderId="8" xfId="0" applyFont="1" applyFill="1" applyBorder="1" applyAlignment="1">
      <alignment horizontal="center"/>
    </xf>
    <xf numFmtId="0" fontId="22" fillId="8" borderId="0" xfId="0" applyFont="1" applyFill="1" applyAlignment="1">
      <alignment horizontal="center"/>
    </xf>
    <xf numFmtId="0" fontId="0" fillId="8" borderId="0" xfId="0" applyFill="1" applyAlignment="1">
      <alignment horizontal="left" vertical="center" indent="2"/>
    </xf>
    <xf numFmtId="0" fontId="0" fillId="8" borderId="0" xfId="0" applyFill="1" applyAlignment="1">
      <alignment horizontal="left" indent="3"/>
    </xf>
    <xf numFmtId="0" fontId="23" fillId="8" borderId="0" xfId="0" applyFont="1" applyFill="1" applyAlignment="1">
      <alignment horizontal="center"/>
    </xf>
    <xf numFmtId="0" fontId="10" fillId="8" borderId="9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5" fillId="0" borderId="28" xfId="0" applyFont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6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3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0" fillId="0" borderId="2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0" borderId="34" xfId="0" applyFont="1" applyBorder="1" applyAlignment="1">
      <alignment horizontal="center"/>
    </xf>
    <xf numFmtId="2" fontId="18" fillId="0" borderId="0" xfId="0" applyNumberFormat="1" applyFont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18" fillId="0" borderId="44" xfId="0" applyNumberFormat="1" applyFont="1" applyBorder="1" applyAlignment="1">
      <alignment horizontal="center"/>
    </xf>
    <xf numFmtId="2" fontId="18" fillId="0" borderId="13" xfId="0" applyNumberFormat="1" applyFont="1" applyBorder="1" applyAlignment="1">
      <alignment horizontal="center"/>
    </xf>
    <xf numFmtId="2" fontId="18" fillId="0" borderId="2" xfId="0" applyNumberFormat="1" applyFont="1" applyBorder="1" applyAlignment="1">
      <alignment horizontal="center" vertical="top" wrapText="1"/>
    </xf>
    <xf numFmtId="2" fontId="18" fillId="0" borderId="45" xfId="0" applyNumberFormat="1" applyFont="1" applyBorder="1" applyAlignment="1">
      <alignment horizontal="center"/>
    </xf>
    <xf numFmtId="171" fontId="18" fillId="0" borderId="44" xfId="0" applyNumberFormat="1" applyFont="1" applyBorder="1" applyAlignment="1">
      <alignment horizontal="center"/>
    </xf>
    <xf numFmtId="171" fontId="18" fillId="0" borderId="45" xfId="0" applyNumberFormat="1" applyFont="1" applyBorder="1" applyAlignment="1">
      <alignment horizontal="center"/>
    </xf>
    <xf numFmtId="171" fontId="18" fillId="0" borderId="13" xfId="0" applyNumberFormat="1" applyFont="1" applyBorder="1" applyAlignment="1">
      <alignment horizontal="center"/>
    </xf>
  </cellXfs>
  <cellStyles count="10">
    <cellStyle name="20% - Accent6" xfId="9" builtinId="50"/>
    <cellStyle name="Bad" xfId="2" builtinId="27"/>
    <cellStyle name="Calculation" xfId="4" builtinId="22"/>
    <cellStyle name="Explanatory Text" xfId="5" builtinId="53"/>
    <cellStyle name="Heading 4" xfId="1" builtinId="19"/>
    <cellStyle name="Input" xfId="3" builtinId="20"/>
    <cellStyle name="Normal" xfId="0" builtinId="0"/>
    <cellStyle name="Note" xfId="7" builtinId="10"/>
    <cellStyle name="Output" xfId="6" builtinId="21"/>
    <cellStyle name="Percent" xfId="8" builtinId="5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jpe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294491</xdr:colOff>
      <xdr:row>2</xdr:row>
      <xdr:rowOff>86061</xdr:rowOff>
    </xdr:from>
    <xdr:to>
      <xdr:col>10</xdr:col>
      <xdr:colOff>241600</xdr:colOff>
      <xdr:row>11</xdr:row>
      <xdr:rowOff>86061</xdr:rowOff>
    </xdr:to>
    <xdr:pic>
      <xdr:nvPicPr>
        <xdr:cNvPr id="2" name="Picture 1" descr="Chapter 5 Analysis and Design of T Beams and Doubly Reinforced Beams">
          <a:extLst>
            <a:ext uri="{FF2B5EF4-FFF2-40B4-BE49-F238E27FC236}">
              <a16:creationId xmlns:a16="http://schemas.microsoft.com/office/drawing/2014/main" id="{F282EA1C-F653-4083-B9F5-C2DEB130FF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3738" y="462579"/>
          <a:ext cx="2251038" cy="16136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493058</xdr:colOff>
      <xdr:row>47</xdr:row>
      <xdr:rowOff>123711</xdr:rowOff>
    </xdr:from>
    <xdr:to>
      <xdr:col>10</xdr:col>
      <xdr:colOff>311524</xdr:colOff>
      <xdr:row>53</xdr:row>
      <xdr:rowOff>161364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2408D8-C13F-4EEC-92D4-8D849434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952" y="8577429"/>
          <a:ext cx="2731995" cy="11134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42135</xdr:colOff>
      <xdr:row>74</xdr:row>
      <xdr:rowOff>43413</xdr:rowOff>
    </xdr:from>
    <xdr:to>
      <xdr:col>11</xdr:col>
      <xdr:colOff>440025</xdr:colOff>
      <xdr:row>82</xdr:row>
      <xdr:rowOff>115132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5B45A67-D048-42C9-B78D-426A3F81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23735" y="13770299"/>
          <a:ext cx="2444404" cy="1552175"/>
        </a:xfrm>
        <a:prstGeom prst="rect">
          <a:avLst/>
        </a:prstGeom>
      </xdr:spPr>
    </xdr:pic>
    <xdr:clientData/>
  </xdr:twoCellAnchor>
  <xdr:twoCellAnchor editAs="oneCell">
    <xdr:from>
      <xdr:col>7</xdr:col>
      <xdr:colOff>589287</xdr:colOff>
      <xdr:row>85</xdr:row>
      <xdr:rowOff>88357</xdr:rowOff>
    </xdr:from>
    <xdr:to>
      <xdr:col>11</xdr:col>
      <xdr:colOff>189410</xdr:colOff>
      <xdr:row>94</xdr:row>
      <xdr:rowOff>18752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7AC4DA6-F551-479E-93F8-A9841BB565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59" r="6233"/>
        <a:stretch/>
      </xdr:blipFill>
      <xdr:spPr>
        <a:xfrm>
          <a:off x="5161287" y="15850871"/>
          <a:ext cx="2256237" cy="1595910"/>
        </a:xfrm>
        <a:prstGeom prst="rect">
          <a:avLst/>
        </a:prstGeom>
      </xdr:spPr>
    </xdr:pic>
    <xdr:clientData/>
  </xdr:twoCellAnchor>
  <xdr:twoCellAnchor editAs="oneCell">
    <xdr:from>
      <xdr:col>8</xdr:col>
      <xdr:colOff>75734</xdr:colOff>
      <xdr:row>115</xdr:row>
      <xdr:rowOff>38787</xdr:rowOff>
    </xdr:from>
    <xdr:to>
      <xdr:col>10</xdr:col>
      <xdr:colOff>564462</xdr:colOff>
      <xdr:row>124</xdr:row>
      <xdr:rowOff>169441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FEF8691-EA8E-45BA-AE5C-4598C56F3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334" y="21374787"/>
          <a:ext cx="1925642" cy="17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187924</xdr:colOff>
      <xdr:row>6</xdr:row>
      <xdr:rowOff>120148</xdr:rowOff>
    </xdr:from>
    <xdr:to>
      <xdr:col>10</xdr:col>
      <xdr:colOff>290402</xdr:colOff>
      <xdr:row>13</xdr:row>
      <xdr:rowOff>112725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D8A92D0-0F17-4C5F-B39B-1127817F1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988"/>
        <a:stretch/>
      </xdr:blipFill>
      <xdr:spPr>
        <a:xfrm>
          <a:off x="5361904" y="1270768"/>
          <a:ext cx="1535038" cy="1272737"/>
        </a:xfrm>
        <a:prstGeom prst="rect">
          <a:avLst/>
        </a:prstGeom>
      </xdr:spPr>
    </xdr:pic>
    <xdr:clientData/>
  </xdr:twoCellAnchor>
  <xdr:twoCellAnchor editAs="oneCell">
    <xdr:from>
      <xdr:col>6</xdr:col>
      <xdr:colOff>635149</xdr:colOff>
      <xdr:row>98</xdr:row>
      <xdr:rowOff>72434</xdr:rowOff>
    </xdr:from>
    <xdr:to>
      <xdr:col>11</xdr:col>
      <xdr:colOff>495556</xdr:colOff>
      <xdr:row>112</xdr:row>
      <xdr:rowOff>70182</xdr:rowOff>
    </xdr:to>
    <xdr:pic>
      <xdr:nvPicPr>
        <xdr:cNvPr id="15" name="Picture 14" descr="Importance of P-M Interaction Curve in Column Design">
          <a:extLst>
            <a:ext uri="{FF2B5EF4-FFF2-40B4-BE49-F238E27FC236}">
              <a16:creationId xmlns:a16="http://schemas.microsoft.com/office/drawing/2014/main" id="{701B0B88-9B95-4E5D-BEAE-432529E257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9835" y="18262463"/>
          <a:ext cx="3343835" cy="25885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ngineering\Spreed%20sheets\Addins\ConcreteDesign(UltimateLimetState).xlam" TargetMode="External"/><Relationship Id="rId1" Type="http://schemas.openxmlformats.org/officeDocument/2006/relationships/externalLinkPath" Target="Addins/ConcreteDesign(UltimateLimetState)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AxialForceAndBendingSectionDesign_UF"/>
      <definedName name="PureBendingDesign"/>
      <definedName name="PureBendingDesign_j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2F8AF-29D0-4C1D-8F44-8CBF756819C9}">
  <sheetPr codeName="Sheet7"/>
  <dimension ref="C3:Y54"/>
  <sheetViews>
    <sheetView topLeftCell="B1" zoomScaleNormal="100" workbookViewId="0">
      <selection activeCell="K8" sqref="K8"/>
    </sheetView>
  </sheetViews>
  <sheetFormatPr defaultRowHeight="14.4" x14ac:dyDescent="0.3"/>
  <cols>
    <col min="2" max="2" width="5.109375" customWidth="1"/>
    <col min="3" max="3" width="10.33203125" customWidth="1"/>
  </cols>
  <sheetData>
    <row r="3" spans="3:25" x14ac:dyDescent="0.3">
      <c r="C3" t="s">
        <v>200</v>
      </c>
      <c r="D3" s="41" t="s">
        <v>192</v>
      </c>
    </row>
    <row r="4" spans="3:25" x14ac:dyDescent="0.3">
      <c r="C4" t="s">
        <v>224</v>
      </c>
      <c r="D4" s="41" t="s">
        <v>225</v>
      </c>
    </row>
    <row r="6" spans="3:25" x14ac:dyDescent="0.3">
      <c r="E6" t="s">
        <v>201</v>
      </c>
      <c r="F6" t="s">
        <v>202</v>
      </c>
      <c r="G6" t="s">
        <v>203</v>
      </c>
      <c r="H6" t="s">
        <v>204</v>
      </c>
      <c r="I6" t="s">
        <v>205</v>
      </c>
      <c r="J6" t="s">
        <v>206</v>
      </c>
      <c r="K6" t="s">
        <v>207</v>
      </c>
      <c r="L6" t="s">
        <v>208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 t="s">
        <v>216</v>
      </c>
      <c r="U6" t="s">
        <v>217</v>
      </c>
      <c r="V6" t="s">
        <v>218</v>
      </c>
      <c r="W6" t="s">
        <v>219</v>
      </c>
      <c r="X6" t="s">
        <v>220</v>
      </c>
    </row>
    <row r="7" spans="3:25" x14ac:dyDescent="0.3">
      <c r="D7" t="s">
        <v>221</v>
      </c>
      <c r="E7">
        <v>1</v>
      </c>
      <c r="F7">
        <v>1</v>
      </c>
      <c r="G7">
        <v>2</v>
      </c>
      <c r="H7">
        <v>3</v>
      </c>
      <c r="I7">
        <v>4</v>
      </c>
      <c r="J7">
        <v>105</v>
      </c>
    </row>
    <row r="8" spans="3:25" ht="15" thickBot="1" x14ac:dyDescent="0.35">
      <c r="D8" t="s">
        <v>40</v>
      </c>
      <c r="E8" t="str">
        <f>IF(E7="","",_xll.RSA_CASE_DATA("NAME",E7))</f>
        <v>own weight</v>
      </c>
      <c r="F8" t="str">
        <f>IF(F7="","",_xll.RSA_CASE_DATA("NAME",F7))</f>
        <v>own weight</v>
      </c>
      <c r="G8" t="str">
        <f>IF(G7="","",_xll.RSA_CASE_DATA("NAME",G7))</f>
        <v>Floor and Cover</v>
      </c>
      <c r="H8" t="str">
        <f>IF(H7="","",_xll.RSA_CASE_DATA("NAME",H7))</f>
        <v>live load</v>
      </c>
      <c r="I8" t="str">
        <f>IF(I7="","",_xll.RSA_CASE_DATA("NAME",I7))</f>
        <v>wall load</v>
      </c>
      <c r="J8" t="str">
        <f>IF(J7="","",_xll.RSA_CASE_DATA("NAME",J7))</f>
        <v>COMB1</v>
      </c>
      <c r="K8" t="str">
        <f>IF(K7="","",_xll.RSA_CASE_DATA("NAME",K7))</f>
        <v/>
      </c>
      <c r="L8" t="str">
        <f>IF(L7="","",_xll.RSA_CASE_DATA("NAME",L7))</f>
        <v/>
      </c>
      <c r="M8" t="str">
        <f>IF(M7="","",_xll.RSA_CASE_DATA("NAME",M7))</f>
        <v/>
      </c>
      <c r="N8" t="str">
        <f>IF(N7="","",_xll.RSA_CASE_DATA("NAME",N7))</f>
        <v/>
      </c>
      <c r="O8" t="str">
        <f>IF(O7="","",_xll.RSA_CASE_DATA("NAME",O7))</f>
        <v/>
      </c>
      <c r="P8" t="str">
        <f>IF(P7="","",_xll.RSA_CASE_DATA("NAME",P7))</f>
        <v/>
      </c>
      <c r="Q8" t="str">
        <f>IF(Q7="","",_xll.RSA_CASE_DATA("NAME",Q7))</f>
        <v/>
      </c>
      <c r="R8" t="str">
        <f>IF(R7="","",_xll.RSA_CASE_DATA("NAME",R7))</f>
        <v/>
      </c>
      <c r="S8" t="str">
        <f>IF(S7="","",_xll.RSA_CASE_DATA("NAME",S7))</f>
        <v/>
      </c>
      <c r="T8" t="str">
        <f>IF(T7="","",_xll.RSA_CASE_DATA("NAME",T7))</f>
        <v/>
      </c>
      <c r="U8" t="str">
        <f>IF(U7="","",_xll.RSA_CASE_DATA("NAME",U7))</f>
        <v/>
      </c>
      <c r="V8" t="str">
        <f>IF(V7="","",_xll.RSA_CASE_DATA("NAME",V7))</f>
        <v/>
      </c>
      <c r="W8" t="str">
        <f>IF(W7="","",_xll.RSA_CASE_DATA("NAME",W7))</f>
        <v/>
      </c>
      <c r="X8" t="str">
        <f>IF(X7="","",_xll.RSA_CASE_DATA("NAME",X7))</f>
        <v/>
      </c>
    </row>
    <row r="9" spans="3:25" ht="15" thickBot="1" x14ac:dyDescent="0.35">
      <c r="C9" t="s">
        <v>222</v>
      </c>
      <c r="D9" t="s">
        <v>40</v>
      </c>
      <c r="Y9" s="220" t="s">
        <v>223</v>
      </c>
    </row>
    <row r="10" spans="3:25" x14ac:dyDescent="0.3">
      <c r="C10" s="41">
        <v>442</v>
      </c>
      <c r="D10" t="str">
        <f>IF(C10="","",_xll.RSA_BAR_DATA("BAR_NAME",C10))</f>
        <v/>
      </c>
      <c r="E10" s="163">
        <f>IF(OR($C10="",E$7=""),"",_xll.RSA_BAR_FORCE_DATA("EXTREMUM",$D$3,$D$4,$C10,E$7,21))</f>
        <v>0.67045007944253765</v>
      </c>
      <c r="F10" s="163">
        <f>IF(OR($C10="",F$7=""),"",_xll.RSA_BAR_FORCE_DATA("EXTREMUM",$D$3,$D$4,$C10,F$7,21))</f>
        <v>0.67045007944253765</v>
      </c>
      <c r="G10" s="163">
        <f>IF(OR($C10="",G$7=""),"",_xll.RSA_BAR_FORCE_DATA("EXTREMUM",$D$3,$D$4,$C10,G$7,21))</f>
        <v>0.93163992631927051</v>
      </c>
      <c r="H10" s="163">
        <f>IF(OR($C10="",H$7=""),"",_xll.RSA_BAR_FORCE_DATA("EXTREMUM",$D$3,$D$4,$C10,H$7,21))</f>
        <v>0.92682153659595079</v>
      </c>
      <c r="I10" s="163">
        <f>IF(OR($C10="",I$7=""),"",_xll.RSA_BAR_FORCE_DATA("EXTREMUM",$D$3,$D$4,$C10,I$7,21))</f>
        <v>5.8215880639484456E-2</v>
      </c>
      <c r="J10" s="163">
        <f>IF(OR($C10="",J$7=""),"",_xll.RSA_BAR_FORCE_DATA("EXTREMUM",$D$3,$D$4,$C10,J$7,21))</f>
        <v>3.8073426995153308</v>
      </c>
      <c r="K10" s="163" t="str">
        <f>IF(OR($C10="",K$7=""),"",_xll.RSA_BAR_FORCE_DATA("EXTREMUM",$D$3,$D$4,$C10,K$7,21))</f>
        <v/>
      </c>
      <c r="L10" s="163" t="str">
        <f>IF(OR($C10="",L$7=""),"",_xll.RSA_BAR_FORCE_DATA("EXTREMUM",$D$3,$D$4,$C10,L$7,21))</f>
        <v/>
      </c>
      <c r="M10" s="163" t="str">
        <f>IF(OR($C10="",M$7=""),"",_xll.RSA_BAR_FORCE_DATA("EXTREMUM",$D$3,$D$4,$C10,M$7,21))</f>
        <v/>
      </c>
      <c r="N10" s="163" t="str">
        <f>IF(OR($C10="",N$7=""),"",_xll.RSA_BAR_FORCE_DATA("EXTREMUM",$D$3,$D$4,$C10,N$7,21))</f>
        <v/>
      </c>
      <c r="O10" s="163" t="str">
        <f>IF(OR($C10="",O$7=""),"",_xll.RSA_BAR_FORCE_DATA("EXTREMUM",$D$3,$D$4,$C10,O$7,21))</f>
        <v/>
      </c>
      <c r="P10" s="163" t="str">
        <f>IF(OR($C10="",P$7=""),"",_xll.RSA_BAR_FORCE_DATA("EXTREMUM",$D$3,$D$4,$C10,P$7,21))</f>
        <v/>
      </c>
      <c r="Q10" s="163" t="str">
        <f>IF(OR($C10="",Q$7=""),"",_xll.RSA_BAR_FORCE_DATA("EXTREMUM",$D$3,$D$4,$C10,Q$7,21))</f>
        <v/>
      </c>
      <c r="R10" s="163" t="str">
        <f>IF(OR($C10="",R$7=""),"",_xll.RSA_BAR_FORCE_DATA("EXTREMUM",$D$3,$D$4,$C10,R$7,21))</f>
        <v/>
      </c>
      <c r="S10" s="163" t="str">
        <f>IF(OR($C10="",S$7=""),"",_xll.RSA_BAR_FORCE_DATA("EXTREMUM",$D$3,$D$4,$C10,S$7,21))</f>
        <v/>
      </c>
      <c r="T10" s="163" t="str">
        <f>IF(OR($C10="",T$7=""),"",_xll.RSA_BAR_FORCE_DATA("EXTREMUM",$D$3,$D$4,$C10,T$7,21))</f>
        <v/>
      </c>
      <c r="U10" s="163" t="str">
        <f>IF(OR($C10="",U$7=""),"",_xll.RSA_BAR_FORCE_DATA("EXTREMUM",$D$3,$D$4,$C10,U$7,21))</f>
        <v/>
      </c>
      <c r="V10" s="163" t="str">
        <f>IF(OR($C10="",V$7=""),"",_xll.RSA_BAR_FORCE_DATA("EXTREMUM",$D$3,$D$4,$C10,V$7,21))</f>
        <v/>
      </c>
      <c r="W10" s="163" t="str">
        <f>IF(OR($C10="",W$7=""),"",_xll.RSA_BAR_FORCE_DATA("EXTREMUM",$D$3,$D$4,$C10,W$7,21))</f>
        <v/>
      </c>
      <c r="X10" s="163" t="str">
        <f>IF(OR($C10="",X$7=""),"",_xll.RSA_BAR_FORCE_DATA("EXTREMUM",$D$3,$D$4,$C10,X$7,21))</f>
        <v/>
      </c>
      <c r="Y10" s="222">
        <f>MAX(E10:X10)</f>
        <v>3.8073426995153308</v>
      </c>
    </row>
    <row r="11" spans="3:25" x14ac:dyDescent="0.3">
      <c r="C11" s="41">
        <v>2</v>
      </c>
      <c r="D11" t="str">
        <f>IF(C11="","",_xll.RSA_BAR_DATA("BAR_NAME",C11))</f>
        <v/>
      </c>
      <c r="E11" s="163">
        <f>IF(OR($C11="",E$7=""),"",_xll.RSA_BAR_FORCE_DATA("EXTREMUM",$D$3,$D$4,$C11,E$7,21))</f>
        <v>-0.23527719121150745</v>
      </c>
      <c r="F11" s="163">
        <f>IF(OR($C11="",F$7=""),"",_xll.RSA_BAR_FORCE_DATA("EXTREMUM",$D$3,$D$4,$C11,F$7,21))</f>
        <v>-0.23527719121150745</v>
      </c>
      <c r="G11" s="163">
        <f>IF(OR($C11="",G$7=""),"",_xll.RSA_BAR_FORCE_DATA("EXTREMUM",$D$3,$D$4,$C11,G$7,21))</f>
        <v>-0.21519042687366255</v>
      </c>
      <c r="H11" s="163">
        <f>IF(OR($C11="",H$7=""),"",_xll.RSA_BAR_FORCE_DATA("EXTREMUM",$D$3,$D$4,$C11,H$7,21))</f>
        <v>-0.21139905280546226</v>
      </c>
      <c r="I11" s="163">
        <f>IF(OR($C11="",I$7=""),"",_xll.RSA_BAR_FORCE_DATA("EXTREMUM",$D$3,$D$4,$C11,I$7,21))</f>
        <v>8.5605062699041813E-3</v>
      </c>
      <c r="J11" s="163">
        <f>IF(OR($C11="",J$7=""),"",_xll.RSA_BAR_FORCE_DATA("EXTREMUM",$D$3,$D$4,$C11,J$7,21))</f>
        <v>-0.95690844103011174</v>
      </c>
      <c r="K11" s="163" t="str">
        <f>IF(OR($C11="",K$7=""),"",_xll.RSA_BAR_FORCE_DATA("EXTREMUM",$D$3,$D$4,$C11,K$7,21))</f>
        <v/>
      </c>
      <c r="L11" s="163" t="str">
        <f>IF(OR($C11="",L$7=""),"",_xll.RSA_BAR_FORCE_DATA("EXTREMUM",$D$3,$D$4,$C11,L$7,21))</f>
        <v/>
      </c>
      <c r="M11" s="163" t="str">
        <f>IF(OR($C11="",M$7=""),"",_xll.RSA_BAR_FORCE_DATA("EXTREMUM",$D$3,$D$4,$C11,M$7,21))</f>
        <v/>
      </c>
      <c r="N11" s="163" t="str">
        <f>IF(OR($C11="",N$7=""),"",_xll.RSA_BAR_FORCE_DATA("EXTREMUM",$D$3,$D$4,$C11,N$7,21))</f>
        <v/>
      </c>
      <c r="O11" s="163" t="str">
        <f>IF(OR($C11="",O$7=""),"",_xll.RSA_BAR_FORCE_DATA("EXTREMUM",$D$3,$D$4,$C11,O$7,21))</f>
        <v/>
      </c>
      <c r="P11" s="163" t="str">
        <f>IF(OR($C11="",P$7=""),"",_xll.RSA_BAR_FORCE_DATA("EXTREMUM",$D$3,$D$4,$C11,P$7,21))</f>
        <v/>
      </c>
      <c r="Q11" s="163" t="str">
        <f>IF(OR($C11="",Q$7=""),"",_xll.RSA_BAR_FORCE_DATA("EXTREMUM",$D$3,$D$4,$C11,Q$7,21))</f>
        <v/>
      </c>
      <c r="R11" s="163" t="str">
        <f>IF(OR($C11="",R$7=""),"",_xll.RSA_BAR_FORCE_DATA("EXTREMUM",$D$3,$D$4,$C11,R$7,21))</f>
        <v/>
      </c>
      <c r="S11" s="163" t="str">
        <f>IF(OR($C11="",S$7=""),"",_xll.RSA_BAR_FORCE_DATA("EXTREMUM",$D$3,$D$4,$C11,S$7,21))</f>
        <v/>
      </c>
      <c r="T11" s="163" t="str">
        <f>IF(OR($C11="",T$7=""),"",_xll.RSA_BAR_FORCE_DATA("EXTREMUM",$D$3,$D$4,$C11,T$7,21))</f>
        <v/>
      </c>
      <c r="U11" s="163" t="str">
        <f>IF(OR($C11="",U$7=""),"",_xll.RSA_BAR_FORCE_DATA("EXTREMUM",$D$3,$D$4,$C11,U$7,21))</f>
        <v/>
      </c>
      <c r="V11" s="163" t="str">
        <f>IF(OR($C11="",V$7=""),"",_xll.RSA_BAR_FORCE_DATA("EXTREMUM",$D$3,$D$4,$C11,V$7,21))</f>
        <v/>
      </c>
      <c r="W11" s="163" t="str">
        <f>IF(OR($C11="",W$7=""),"",_xll.RSA_BAR_FORCE_DATA("EXTREMUM",$D$3,$D$4,$C11,W$7,21))</f>
        <v/>
      </c>
      <c r="X11" s="163" t="str">
        <f>IF(OR($C11="",X$7=""),"",_xll.RSA_BAR_FORCE_DATA("EXTREMUM",$D$3,$D$4,$C11,X$7,21))</f>
        <v/>
      </c>
      <c r="Y11" s="160">
        <f t="shared" ref="Y11:Y54" si="0">MAX(E11:X11)</f>
        <v>8.5605062699041813E-3</v>
      </c>
    </row>
    <row r="12" spans="3:25" x14ac:dyDescent="0.3">
      <c r="C12" s="41">
        <v>3</v>
      </c>
      <c r="D12" t="str">
        <f>IF(C12="","",_xll.RSA_BAR_DATA("BAR_NAME",C12))</f>
        <v/>
      </c>
      <c r="E12" s="163">
        <f>IF(OR($C12="",E$7=""),"",_xll.RSA_BAR_FORCE_DATA("EXTREMUM",$D$3,$D$4,$C12,E$7,21))</f>
        <v>0.43447915524214387</v>
      </c>
      <c r="F12" s="163">
        <f>IF(OR($C12="",F$7=""),"",_xll.RSA_BAR_FORCE_DATA("EXTREMUM",$D$3,$D$4,$C12,F$7,21))</f>
        <v>0.43447915524214387</v>
      </c>
      <c r="G12" s="163">
        <f>IF(OR($C12="",G$7=""),"",_xll.RSA_BAR_FORCE_DATA("EXTREMUM",$D$3,$D$4,$C12,G$7,21))</f>
        <v>0.61628178301558223</v>
      </c>
      <c r="H12" s="163">
        <f>IF(OR($C12="",H$7=""),"",_xll.RSA_BAR_FORCE_DATA("EXTREMUM",$D$3,$D$4,$C12,H$7,21))</f>
        <v>0.59677586117138071</v>
      </c>
      <c r="I12" s="163">
        <f>IF(OR($C12="",I$7=""),"",_xll.RSA_BAR_FORCE_DATA("EXTREMUM",$D$3,$D$4,$C12,I$7,21))</f>
        <v>0.28501957572665926</v>
      </c>
      <c r="J12" s="163">
        <f>IF(OR($C12="",J$7=""),"",_xll.RSA_BAR_FORCE_DATA("EXTREMUM",$D$3,$D$4,$C12,J$7,21))</f>
        <v>2.2633850799469828</v>
      </c>
      <c r="K12" s="163" t="str">
        <f>IF(OR($C12="",K$7=""),"",_xll.RSA_BAR_FORCE_DATA("EXTREMUM",$D$3,$D$4,$C12,K$7,21))</f>
        <v/>
      </c>
      <c r="L12" s="163" t="str">
        <f>IF(OR($C12="",L$7=""),"",_xll.RSA_BAR_FORCE_DATA("EXTREMUM",$D$3,$D$4,$C12,L$7,21))</f>
        <v/>
      </c>
      <c r="M12" s="163" t="str">
        <f>IF(OR($C12="",M$7=""),"",_xll.RSA_BAR_FORCE_DATA("EXTREMUM",$D$3,$D$4,$C12,M$7,21))</f>
        <v/>
      </c>
      <c r="N12" s="163" t="str">
        <f>IF(OR($C12="",N$7=""),"",_xll.RSA_BAR_FORCE_DATA("EXTREMUM",$D$3,$D$4,$C12,N$7,21))</f>
        <v/>
      </c>
      <c r="O12" s="163" t="str">
        <f>IF(OR($C12="",O$7=""),"",_xll.RSA_BAR_FORCE_DATA("EXTREMUM",$D$3,$D$4,$C12,O$7,21))</f>
        <v/>
      </c>
      <c r="P12" s="163" t="str">
        <f>IF(OR($C12="",P$7=""),"",_xll.RSA_BAR_FORCE_DATA("EXTREMUM",$D$3,$D$4,$C12,P$7,21))</f>
        <v/>
      </c>
      <c r="Q12" s="163" t="str">
        <f>IF(OR($C12="",Q$7=""),"",_xll.RSA_BAR_FORCE_DATA("EXTREMUM",$D$3,$D$4,$C12,Q$7,21))</f>
        <v/>
      </c>
      <c r="R12" s="163" t="str">
        <f>IF(OR($C12="",R$7=""),"",_xll.RSA_BAR_FORCE_DATA("EXTREMUM",$D$3,$D$4,$C12,R$7,21))</f>
        <v/>
      </c>
      <c r="S12" s="163" t="str">
        <f>IF(OR($C12="",S$7=""),"",_xll.RSA_BAR_FORCE_DATA("EXTREMUM",$D$3,$D$4,$C12,S$7,21))</f>
        <v/>
      </c>
      <c r="T12" s="163" t="str">
        <f>IF(OR($C12="",T$7=""),"",_xll.RSA_BAR_FORCE_DATA("EXTREMUM",$D$3,$D$4,$C12,T$7,21))</f>
        <v/>
      </c>
      <c r="U12" s="163" t="str">
        <f>IF(OR($C12="",U$7=""),"",_xll.RSA_BAR_FORCE_DATA("EXTREMUM",$D$3,$D$4,$C12,U$7,21))</f>
        <v/>
      </c>
      <c r="V12" s="163" t="str">
        <f>IF(OR($C12="",V$7=""),"",_xll.RSA_BAR_FORCE_DATA("EXTREMUM",$D$3,$D$4,$C12,V$7,21))</f>
        <v/>
      </c>
      <c r="W12" s="163" t="str">
        <f>IF(OR($C12="",W$7=""),"",_xll.RSA_BAR_FORCE_DATA("EXTREMUM",$D$3,$D$4,$C12,W$7,21))</f>
        <v/>
      </c>
      <c r="X12" s="163" t="str">
        <f>IF(OR($C12="",X$7=""),"",_xll.RSA_BAR_FORCE_DATA("EXTREMUM",$D$3,$D$4,$C12,X$7,21))</f>
        <v/>
      </c>
      <c r="Y12" s="160">
        <f t="shared" si="0"/>
        <v>2.2633850799469828</v>
      </c>
    </row>
    <row r="13" spans="3:25" x14ac:dyDescent="0.3">
      <c r="C13" s="41">
        <v>4</v>
      </c>
      <c r="D13" t="str">
        <f>IF(C13="","",_xll.RSA_BAR_DATA("BAR_NAME",C13))</f>
        <v/>
      </c>
      <c r="E13" s="163">
        <f>IF(OR($C13="",E$7=""),"",_xll.RSA_BAR_FORCE_DATA("EXTREMUM",$D$3,$D$4,$C13,E$7,21))</f>
        <v>1.0869941090443971</v>
      </c>
      <c r="F13" s="163">
        <f>IF(OR($C13="",F$7=""),"",_xll.RSA_BAR_FORCE_DATA("EXTREMUM",$D$3,$D$4,$C13,F$7,21))</f>
        <v>1.0869941090443971</v>
      </c>
      <c r="G13" s="163">
        <f>IF(OR($C13="",G$7=""),"",_xll.RSA_BAR_FORCE_DATA("EXTREMUM",$D$3,$D$4,$C13,G$7,21))</f>
        <v>1.7214002818201335</v>
      </c>
      <c r="H13" s="163">
        <f>IF(OR($C13="",H$7=""),"",_xll.RSA_BAR_FORCE_DATA("EXTREMUM",$D$3,$D$4,$C13,H$7,21))</f>
        <v>1.7719662329782924</v>
      </c>
      <c r="I13" s="163">
        <f>IF(OR($C13="",I$7=""),"",_xll.RSA_BAR_FORCE_DATA("EXTREMUM",$D$3,$D$4,$C13,I$7,21))</f>
        <v>0.26292176759085034</v>
      </c>
      <c r="J13" s="163">
        <f>IF(OR($C13="",J$7=""),"",_xll.RSA_BAR_FORCE_DATA("EXTREMUM",$D$3,$D$4,$C13,J$7,21))</f>
        <v>6.3069294589258691</v>
      </c>
      <c r="K13" s="163" t="str">
        <f>IF(OR($C13="",K$7=""),"",_xll.RSA_BAR_FORCE_DATA("EXTREMUM",$D$3,$D$4,$C13,K$7,21))</f>
        <v/>
      </c>
      <c r="L13" s="163" t="str">
        <f>IF(OR($C13="",L$7=""),"",_xll.RSA_BAR_FORCE_DATA("EXTREMUM",$D$3,$D$4,$C13,L$7,21))</f>
        <v/>
      </c>
      <c r="M13" s="163" t="str">
        <f>IF(OR($C13="",M$7=""),"",_xll.RSA_BAR_FORCE_DATA("EXTREMUM",$D$3,$D$4,$C13,M$7,21))</f>
        <v/>
      </c>
      <c r="N13" s="163" t="str">
        <f>IF(OR($C13="",N$7=""),"",_xll.RSA_BAR_FORCE_DATA("EXTREMUM",$D$3,$D$4,$C13,N$7,21))</f>
        <v/>
      </c>
      <c r="O13" s="163" t="str">
        <f>IF(OR($C13="",O$7=""),"",_xll.RSA_BAR_FORCE_DATA("EXTREMUM",$D$3,$D$4,$C13,O$7,21))</f>
        <v/>
      </c>
      <c r="P13" s="163" t="str">
        <f>IF(OR($C13="",P$7=""),"",_xll.RSA_BAR_FORCE_DATA("EXTREMUM",$D$3,$D$4,$C13,P$7,21))</f>
        <v/>
      </c>
      <c r="Q13" s="163" t="str">
        <f>IF(OR($C13="",Q$7=""),"",_xll.RSA_BAR_FORCE_DATA("EXTREMUM",$D$3,$D$4,$C13,Q$7,21))</f>
        <v/>
      </c>
      <c r="R13" s="163" t="str">
        <f>IF(OR($C13="",R$7=""),"",_xll.RSA_BAR_FORCE_DATA("EXTREMUM",$D$3,$D$4,$C13,R$7,21))</f>
        <v/>
      </c>
      <c r="S13" s="163" t="str">
        <f>IF(OR($C13="",S$7=""),"",_xll.RSA_BAR_FORCE_DATA("EXTREMUM",$D$3,$D$4,$C13,S$7,21))</f>
        <v/>
      </c>
      <c r="T13" s="163" t="str">
        <f>IF(OR($C13="",T$7=""),"",_xll.RSA_BAR_FORCE_DATA("EXTREMUM",$D$3,$D$4,$C13,T$7,21))</f>
        <v/>
      </c>
      <c r="U13" s="163" t="str">
        <f>IF(OR($C13="",U$7=""),"",_xll.RSA_BAR_FORCE_DATA("EXTREMUM",$D$3,$D$4,$C13,U$7,21))</f>
        <v/>
      </c>
      <c r="V13" s="163" t="str">
        <f>IF(OR($C13="",V$7=""),"",_xll.RSA_BAR_FORCE_DATA("EXTREMUM",$D$3,$D$4,$C13,V$7,21))</f>
        <v/>
      </c>
      <c r="W13" s="163" t="str">
        <f>IF(OR($C13="",W$7=""),"",_xll.RSA_BAR_FORCE_DATA("EXTREMUM",$D$3,$D$4,$C13,W$7,21))</f>
        <v/>
      </c>
      <c r="X13" s="163" t="str">
        <f>IF(OR($C13="",X$7=""),"",_xll.RSA_BAR_FORCE_DATA("EXTREMUM",$D$3,$D$4,$C13,X$7,21))</f>
        <v/>
      </c>
      <c r="Y13" s="160">
        <f t="shared" si="0"/>
        <v>6.3069294589258691</v>
      </c>
    </row>
    <row r="14" spans="3:25" x14ac:dyDescent="0.3">
      <c r="C14" s="41">
        <v>5</v>
      </c>
      <c r="D14" t="str">
        <f>IF(C14="","",_xll.RSA_BAR_DATA("BAR_NAME",C14))</f>
        <v/>
      </c>
      <c r="E14" s="163">
        <f>IF(OR($C14="",E$7=""),"",_xll.RSA_BAR_FORCE_DATA("EXTREMUM",$D$3,$D$4,$C14,E$7,21))</f>
        <v>-0.16750882042610385</v>
      </c>
      <c r="F14" s="163">
        <f>IF(OR($C14="",F$7=""),"",_xll.RSA_BAR_FORCE_DATA("EXTREMUM",$D$3,$D$4,$C14,F$7,21))</f>
        <v>-0.16750882042610385</v>
      </c>
      <c r="G14" s="163">
        <f>IF(OR($C14="",G$7=""),"",_xll.RSA_BAR_FORCE_DATA("EXTREMUM",$D$3,$D$4,$C14,G$7,21))</f>
        <v>-9.2172626167371277E-2</v>
      </c>
      <c r="H14" s="163">
        <f>IF(OR($C14="",H$7=""),"",_xll.RSA_BAR_FORCE_DATA("EXTREMUM",$D$3,$D$4,$C14,H$7,21))</f>
        <v>-7.0358274727446088E-2</v>
      </c>
      <c r="I14" s="163">
        <f>IF(OR($C14="",I$7=""),"",_xll.RSA_BAR_FORCE_DATA("EXTREMUM",$D$3,$D$4,$C14,I$7,21))</f>
        <v>-9.339260148489098E-2</v>
      </c>
      <c r="J14" s="163">
        <f>IF(OR($C14="",J$7=""),"",_xll.RSA_BAR_FORCE_DATA("EXTREMUM",$D$3,$D$4,$C14,J$7,21))</f>
        <v>-0.60687690687362628</v>
      </c>
      <c r="K14" s="163" t="str">
        <f>IF(OR($C14="",K$7=""),"",_xll.RSA_BAR_FORCE_DATA("EXTREMUM",$D$3,$D$4,$C14,K$7,21))</f>
        <v/>
      </c>
      <c r="L14" s="163" t="str">
        <f>IF(OR($C14="",L$7=""),"",_xll.RSA_BAR_FORCE_DATA("EXTREMUM",$D$3,$D$4,$C14,L$7,21))</f>
        <v/>
      </c>
      <c r="M14" s="163" t="str">
        <f>IF(OR($C14="",M$7=""),"",_xll.RSA_BAR_FORCE_DATA("EXTREMUM",$D$3,$D$4,$C14,M$7,21))</f>
        <v/>
      </c>
      <c r="N14" s="163" t="str">
        <f>IF(OR($C14="",N$7=""),"",_xll.RSA_BAR_FORCE_DATA("EXTREMUM",$D$3,$D$4,$C14,N$7,21))</f>
        <v/>
      </c>
      <c r="O14" s="163" t="str">
        <f>IF(OR($C14="",O$7=""),"",_xll.RSA_BAR_FORCE_DATA("EXTREMUM",$D$3,$D$4,$C14,O$7,21))</f>
        <v/>
      </c>
      <c r="P14" s="163" t="str">
        <f>IF(OR($C14="",P$7=""),"",_xll.RSA_BAR_FORCE_DATA("EXTREMUM",$D$3,$D$4,$C14,P$7,21))</f>
        <v/>
      </c>
      <c r="Q14" s="163" t="str">
        <f>IF(OR($C14="",Q$7=""),"",_xll.RSA_BAR_FORCE_DATA("EXTREMUM",$D$3,$D$4,$C14,Q$7,21))</f>
        <v/>
      </c>
      <c r="R14" s="163" t="str">
        <f>IF(OR($C14="",R$7=""),"",_xll.RSA_BAR_FORCE_DATA("EXTREMUM",$D$3,$D$4,$C14,R$7,21))</f>
        <v/>
      </c>
      <c r="S14" s="163" t="str">
        <f>IF(OR($C14="",S$7=""),"",_xll.RSA_BAR_FORCE_DATA("EXTREMUM",$D$3,$D$4,$C14,S$7,21))</f>
        <v/>
      </c>
      <c r="T14" s="163" t="str">
        <f>IF(OR($C14="",T$7=""),"",_xll.RSA_BAR_FORCE_DATA("EXTREMUM",$D$3,$D$4,$C14,T$7,21))</f>
        <v/>
      </c>
      <c r="U14" s="163" t="str">
        <f>IF(OR($C14="",U$7=""),"",_xll.RSA_BAR_FORCE_DATA("EXTREMUM",$D$3,$D$4,$C14,U$7,21))</f>
        <v/>
      </c>
      <c r="V14" s="163" t="str">
        <f>IF(OR($C14="",V$7=""),"",_xll.RSA_BAR_FORCE_DATA("EXTREMUM",$D$3,$D$4,$C14,V$7,21))</f>
        <v/>
      </c>
      <c r="W14" s="163" t="str">
        <f>IF(OR($C14="",W$7=""),"",_xll.RSA_BAR_FORCE_DATA("EXTREMUM",$D$3,$D$4,$C14,W$7,21))</f>
        <v/>
      </c>
      <c r="X14" s="163" t="str">
        <f>IF(OR($C14="",X$7=""),"",_xll.RSA_BAR_FORCE_DATA("EXTREMUM",$D$3,$D$4,$C14,X$7,21))</f>
        <v/>
      </c>
      <c r="Y14" s="160">
        <f t="shared" si="0"/>
        <v>-7.0358274727446088E-2</v>
      </c>
    </row>
    <row r="15" spans="3:25" x14ac:dyDescent="0.3">
      <c r="C15" s="41">
        <v>6</v>
      </c>
      <c r="D15" t="str">
        <f>IF(C15="","",_xll.RSA_BAR_DATA("BAR_NAME",C15))</f>
        <v/>
      </c>
      <c r="E15" s="163">
        <f>IF(OR($C15="",E$7=""),"",_xll.RSA_BAR_FORCE_DATA("EXTREMUM",$D$3,$D$4,$C15,E$7,21))</f>
        <v>0.43387213226292531</v>
      </c>
      <c r="F15" s="163">
        <f>IF(OR($C15="",F$7=""),"",_xll.RSA_BAR_FORCE_DATA("EXTREMUM",$D$3,$D$4,$C15,F$7,21))</f>
        <v>0.43387213226292531</v>
      </c>
      <c r="G15" s="163">
        <f>IF(OR($C15="",G$7=""),"",_xll.RSA_BAR_FORCE_DATA("EXTREMUM",$D$3,$D$4,$C15,G$7,21))</f>
        <v>0.38351283253026625</v>
      </c>
      <c r="H15" s="163">
        <f>IF(OR($C15="",H$7=""),"",_xll.RSA_BAR_FORCE_DATA("EXTREMUM",$D$3,$D$4,$C15,H$7,21))</f>
        <v>0.37763271628723394</v>
      </c>
      <c r="I15" s="163">
        <f>IF(OR($C15="",I$7=""),"",_xll.RSA_BAR_FORCE_DATA("EXTREMUM",$D$3,$D$4,$C15,I$7,21))</f>
        <v>0.1657897454949516</v>
      </c>
      <c r="J15" s="163">
        <f>IF(OR($C15="",J$7=""),"",_xll.RSA_BAR_FORCE_DATA("EXTREMUM",$D$3,$D$4,$C15,J$7,21))</f>
        <v>1.9328554791608508</v>
      </c>
      <c r="K15" s="163" t="str">
        <f>IF(OR($C15="",K$7=""),"",_xll.RSA_BAR_FORCE_DATA("EXTREMUM",$D$3,$D$4,$C15,K$7,21))</f>
        <v/>
      </c>
      <c r="L15" s="163" t="str">
        <f>IF(OR($C15="",L$7=""),"",_xll.RSA_BAR_FORCE_DATA("EXTREMUM",$D$3,$D$4,$C15,L$7,21))</f>
        <v/>
      </c>
      <c r="M15" s="163" t="str">
        <f>IF(OR($C15="",M$7=""),"",_xll.RSA_BAR_FORCE_DATA("EXTREMUM",$D$3,$D$4,$C15,M$7,21))</f>
        <v/>
      </c>
      <c r="N15" s="163" t="str">
        <f>IF(OR($C15="",N$7=""),"",_xll.RSA_BAR_FORCE_DATA("EXTREMUM",$D$3,$D$4,$C15,N$7,21))</f>
        <v/>
      </c>
      <c r="O15" s="163" t="str">
        <f>IF(OR($C15="",O$7=""),"",_xll.RSA_BAR_FORCE_DATA("EXTREMUM",$D$3,$D$4,$C15,O$7,21))</f>
        <v/>
      </c>
      <c r="P15" s="163" t="str">
        <f>IF(OR($C15="",P$7=""),"",_xll.RSA_BAR_FORCE_DATA("EXTREMUM",$D$3,$D$4,$C15,P$7,21))</f>
        <v/>
      </c>
      <c r="Q15" s="163" t="str">
        <f>IF(OR($C15="",Q$7=""),"",_xll.RSA_BAR_FORCE_DATA("EXTREMUM",$D$3,$D$4,$C15,Q$7,21))</f>
        <v/>
      </c>
      <c r="R15" s="163" t="str">
        <f>IF(OR($C15="",R$7=""),"",_xll.RSA_BAR_FORCE_DATA("EXTREMUM",$D$3,$D$4,$C15,R$7,21))</f>
        <v/>
      </c>
      <c r="S15" s="163" t="str">
        <f>IF(OR($C15="",S$7=""),"",_xll.RSA_BAR_FORCE_DATA("EXTREMUM",$D$3,$D$4,$C15,S$7,21))</f>
        <v/>
      </c>
      <c r="T15" s="163" t="str">
        <f>IF(OR($C15="",T$7=""),"",_xll.RSA_BAR_FORCE_DATA("EXTREMUM",$D$3,$D$4,$C15,T$7,21))</f>
        <v/>
      </c>
      <c r="U15" s="163" t="str">
        <f>IF(OR($C15="",U$7=""),"",_xll.RSA_BAR_FORCE_DATA("EXTREMUM",$D$3,$D$4,$C15,U$7,21))</f>
        <v/>
      </c>
      <c r="V15" s="163" t="str">
        <f>IF(OR($C15="",V$7=""),"",_xll.RSA_BAR_FORCE_DATA("EXTREMUM",$D$3,$D$4,$C15,V$7,21))</f>
        <v/>
      </c>
      <c r="W15" s="163" t="str">
        <f>IF(OR($C15="",W$7=""),"",_xll.RSA_BAR_FORCE_DATA("EXTREMUM",$D$3,$D$4,$C15,W$7,21))</f>
        <v/>
      </c>
      <c r="X15" s="163" t="str">
        <f>IF(OR($C15="",X$7=""),"",_xll.RSA_BAR_FORCE_DATA("EXTREMUM",$D$3,$D$4,$C15,X$7,21))</f>
        <v/>
      </c>
      <c r="Y15" s="160">
        <f t="shared" si="0"/>
        <v>1.9328554791608508</v>
      </c>
    </row>
    <row r="16" spans="3:25" x14ac:dyDescent="0.3">
      <c r="C16" s="41">
        <v>7</v>
      </c>
      <c r="D16" t="str">
        <f>IF(C16="","",_xll.RSA_BAR_DATA("BAR_NAME",C16))</f>
        <v/>
      </c>
      <c r="E16" s="163">
        <f>IF(OR($C16="",E$7=""),"",_xll.RSA_BAR_FORCE_DATA("EXTREMUM",$D$3,$D$4,$C16,E$7,21))</f>
        <v>-3.39877980330138E-2</v>
      </c>
      <c r="F16" s="163">
        <f>IF(OR($C16="",F$7=""),"",_xll.RSA_BAR_FORCE_DATA("EXTREMUM",$D$3,$D$4,$C16,F$7,21))</f>
        <v>-3.39877980330138E-2</v>
      </c>
      <c r="G16" s="163">
        <f>IF(OR($C16="",G$7=""),"",_xll.RSA_BAR_FORCE_DATA("EXTREMUM",$D$3,$D$4,$C16,G$7,21))</f>
        <v>0.13389867764403954</v>
      </c>
      <c r="H16" s="163">
        <f>IF(OR($C16="",H$7=""),"",_xll.RSA_BAR_FORCE_DATA("EXTREMUM",$D$3,$D$4,$C16,H$7,21))</f>
        <v>0.14206522132072552</v>
      </c>
      <c r="I16" s="163">
        <f>IF(OR($C16="",I$7=""),"",_xll.RSA_BAR_FORCE_DATA("EXTREMUM",$D$3,$D$4,$C16,I$7,21))</f>
        <v>-0.15193929901067532</v>
      </c>
      <c r="J16" s="163">
        <f>IF(OR($C16="",J$7=""),"",_xll.RSA_BAR_FORCE_DATA("EXTREMUM",$D$3,$D$4,$C16,J$7,21))</f>
        <v>0.15446456695365143</v>
      </c>
      <c r="K16" s="163" t="str">
        <f>IF(OR($C16="",K$7=""),"",_xll.RSA_BAR_FORCE_DATA("EXTREMUM",$D$3,$D$4,$C16,K$7,21))</f>
        <v/>
      </c>
      <c r="L16" s="163" t="str">
        <f>IF(OR($C16="",L$7=""),"",_xll.RSA_BAR_FORCE_DATA("EXTREMUM",$D$3,$D$4,$C16,L$7,21))</f>
        <v/>
      </c>
      <c r="M16" s="163" t="str">
        <f>IF(OR($C16="",M$7=""),"",_xll.RSA_BAR_FORCE_DATA("EXTREMUM",$D$3,$D$4,$C16,M$7,21))</f>
        <v/>
      </c>
      <c r="N16" s="163" t="str">
        <f>IF(OR($C16="",N$7=""),"",_xll.RSA_BAR_FORCE_DATA("EXTREMUM",$D$3,$D$4,$C16,N$7,21))</f>
        <v/>
      </c>
      <c r="O16" s="163" t="str">
        <f>IF(OR($C16="",O$7=""),"",_xll.RSA_BAR_FORCE_DATA("EXTREMUM",$D$3,$D$4,$C16,O$7,21))</f>
        <v/>
      </c>
      <c r="P16" s="163" t="str">
        <f>IF(OR($C16="",P$7=""),"",_xll.RSA_BAR_FORCE_DATA("EXTREMUM",$D$3,$D$4,$C16,P$7,21))</f>
        <v/>
      </c>
      <c r="Q16" s="163" t="str">
        <f>IF(OR($C16="",Q$7=""),"",_xll.RSA_BAR_FORCE_DATA("EXTREMUM",$D$3,$D$4,$C16,Q$7,21))</f>
        <v/>
      </c>
      <c r="R16" s="163" t="str">
        <f>IF(OR($C16="",R$7=""),"",_xll.RSA_BAR_FORCE_DATA("EXTREMUM",$D$3,$D$4,$C16,R$7,21))</f>
        <v/>
      </c>
      <c r="S16" s="163" t="str">
        <f>IF(OR($C16="",S$7=""),"",_xll.RSA_BAR_FORCE_DATA("EXTREMUM",$D$3,$D$4,$C16,S$7,21))</f>
        <v/>
      </c>
      <c r="T16" s="163" t="str">
        <f>IF(OR($C16="",T$7=""),"",_xll.RSA_BAR_FORCE_DATA("EXTREMUM",$D$3,$D$4,$C16,T$7,21))</f>
        <v/>
      </c>
      <c r="U16" s="163" t="str">
        <f>IF(OR($C16="",U$7=""),"",_xll.RSA_BAR_FORCE_DATA("EXTREMUM",$D$3,$D$4,$C16,U$7,21))</f>
        <v/>
      </c>
      <c r="V16" s="163" t="str">
        <f>IF(OR($C16="",V$7=""),"",_xll.RSA_BAR_FORCE_DATA("EXTREMUM",$D$3,$D$4,$C16,V$7,21))</f>
        <v/>
      </c>
      <c r="W16" s="163" t="str">
        <f>IF(OR($C16="",W$7=""),"",_xll.RSA_BAR_FORCE_DATA("EXTREMUM",$D$3,$D$4,$C16,W$7,21))</f>
        <v/>
      </c>
      <c r="X16" s="163" t="str">
        <f>IF(OR($C16="",X$7=""),"",_xll.RSA_BAR_FORCE_DATA("EXTREMUM",$D$3,$D$4,$C16,X$7,21))</f>
        <v/>
      </c>
      <c r="Y16" s="160">
        <f t="shared" si="0"/>
        <v>0.15446456695365143</v>
      </c>
    </row>
    <row r="17" spans="3:25" x14ac:dyDescent="0.3">
      <c r="C17" s="41">
        <v>8</v>
      </c>
      <c r="D17" t="str">
        <f>IF(C17="","",_xll.RSA_BAR_DATA("BAR_NAME",C17))</f>
        <v/>
      </c>
      <c r="E17" s="163">
        <f>IF(OR($C17="",E$7=""),"",_xll.RSA_BAR_FORCE_DATA("EXTREMUM",$D$3,$D$4,$C17,E$7,21))</f>
        <v>0.74523133701545208</v>
      </c>
      <c r="F17" s="163">
        <f>IF(OR($C17="",F$7=""),"",_xll.RSA_BAR_FORCE_DATA("EXTREMUM",$D$3,$D$4,$C17,F$7,21))</f>
        <v>0.74523133701545208</v>
      </c>
      <c r="G17" s="163">
        <f>IF(OR($C17="",G$7=""),"",_xll.RSA_BAR_FORCE_DATA("EXTREMUM",$D$3,$D$4,$C17,G$7,21))</f>
        <v>0.46773091951973067</v>
      </c>
      <c r="H17" s="163">
        <f>IF(OR($C17="",H$7=""),"",_xll.RSA_BAR_FORCE_DATA("EXTREMUM",$D$3,$D$4,$C17,H$7,21))</f>
        <v>0.45520356275471385</v>
      </c>
      <c r="I17" s="163">
        <f>IF(OR($C17="",I$7=""),"",_xll.RSA_BAR_FORCE_DATA("EXTREMUM",$D$3,$D$4,$C17,I$7,21))</f>
        <v>0.73226733192704763</v>
      </c>
      <c r="J17" s="163">
        <f>IF(OR($C17="",J$7=""),"",_xll.RSA_BAR_FORCE_DATA("EXTREMUM",$D$3,$D$4,$C17,J$7,21))</f>
        <v>3.4516471242546642</v>
      </c>
      <c r="K17" s="163" t="str">
        <f>IF(OR($C17="",K$7=""),"",_xll.RSA_BAR_FORCE_DATA("EXTREMUM",$D$3,$D$4,$C17,K$7,21))</f>
        <v/>
      </c>
      <c r="L17" s="163" t="str">
        <f>IF(OR($C17="",L$7=""),"",_xll.RSA_BAR_FORCE_DATA("EXTREMUM",$D$3,$D$4,$C17,L$7,21))</f>
        <v/>
      </c>
      <c r="M17" s="163" t="str">
        <f>IF(OR($C17="",M$7=""),"",_xll.RSA_BAR_FORCE_DATA("EXTREMUM",$D$3,$D$4,$C17,M$7,21))</f>
        <v/>
      </c>
      <c r="N17" s="163" t="str">
        <f>IF(OR($C17="",N$7=""),"",_xll.RSA_BAR_FORCE_DATA("EXTREMUM",$D$3,$D$4,$C17,N$7,21))</f>
        <v/>
      </c>
      <c r="O17" s="163" t="str">
        <f>IF(OR($C17="",O$7=""),"",_xll.RSA_BAR_FORCE_DATA("EXTREMUM",$D$3,$D$4,$C17,O$7,21))</f>
        <v/>
      </c>
      <c r="P17" s="163" t="str">
        <f>IF(OR($C17="",P$7=""),"",_xll.RSA_BAR_FORCE_DATA("EXTREMUM",$D$3,$D$4,$C17,P$7,21))</f>
        <v/>
      </c>
      <c r="Q17" s="163" t="str">
        <f>IF(OR($C17="",Q$7=""),"",_xll.RSA_BAR_FORCE_DATA("EXTREMUM",$D$3,$D$4,$C17,Q$7,21))</f>
        <v/>
      </c>
      <c r="R17" s="163" t="str">
        <f>IF(OR($C17="",R$7=""),"",_xll.RSA_BAR_FORCE_DATA("EXTREMUM",$D$3,$D$4,$C17,R$7,21))</f>
        <v/>
      </c>
      <c r="S17" s="163" t="str">
        <f>IF(OR($C17="",S$7=""),"",_xll.RSA_BAR_FORCE_DATA("EXTREMUM",$D$3,$D$4,$C17,S$7,21))</f>
        <v/>
      </c>
      <c r="T17" s="163" t="str">
        <f>IF(OR($C17="",T$7=""),"",_xll.RSA_BAR_FORCE_DATA("EXTREMUM",$D$3,$D$4,$C17,T$7,21))</f>
        <v/>
      </c>
      <c r="U17" s="163" t="str">
        <f>IF(OR($C17="",U$7=""),"",_xll.RSA_BAR_FORCE_DATA("EXTREMUM",$D$3,$D$4,$C17,U$7,21))</f>
        <v/>
      </c>
      <c r="V17" s="163" t="str">
        <f>IF(OR($C17="",V$7=""),"",_xll.RSA_BAR_FORCE_DATA("EXTREMUM",$D$3,$D$4,$C17,V$7,21))</f>
        <v/>
      </c>
      <c r="W17" s="163" t="str">
        <f>IF(OR($C17="",W$7=""),"",_xll.RSA_BAR_FORCE_DATA("EXTREMUM",$D$3,$D$4,$C17,W$7,21))</f>
        <v/>
      </c>
      <c r="X17" s="163" t="str">
        <f>IF(OR($C17="",X$7=""),"",_xll.RSA_BAR_FORCE_DATA("EXTREMUM",$D$3,$D$4,$C17,X$7,21))</f>
        <v/>
      </c>
      <c r="Y17" s="160">
        <f t="shared" si="0"/>
        <v>3.4516471242546642</v>
      </c>
    </row>
    <row r="18" spans="3:25" x14ac:dyDescent="0.3">
      <c r="C18" s="41">
        <v>9</v>
      </c>
      <c r="D18" t="str">
        <f>IF(C18="","",_xll.RSA_BAR_DATA("BAR_NAME",C18))</f>
        <v/>
      </c>
      <c r="E18" s="163">
        <f>IF(OR($C18="",E$7=""),"",_xll.RSA_BAR_FORCE_DATA("EXTREMUM",$D$3,$D$4,$C18,E$7,21))</f>
        <v>0.92817202687360034</v>
      </c>
      <c r="F18" s="163">
        <f>IF(OR($C18="",F$7=""),"",_xll.RSA_BAR_FORCE_DATA("EXTREMUM",$D$3,$D$4,$C18,F$7,21))</f>
        <v>0.92817202687360034</v>
      </c>
      <c r="G18" s="163">
        <f>IF(OR($C18="",G$7=""),"",_xll.RSA_BAR_FORCE_DATA("EXTREMUM",$D$3,$D$4,$C18,G$7,21))</f>
        <v>1.6058415522780798</v>
      </c>
      <c r="H18" s="163">
        <f>IF(OR($C18="",H$7=""),"",_xll.RSA_BAR_FORCE_DATA("EXTREMUM",$D$3,$D$4,$C18,H$7,21))</f>
        <v>1.0428632648654461</v>
      </c>
      <c r="I18" s="163">
        <f>IF(OR($C18="",I$7=""),"",_xll.RSA_BAR_FORCE_DATA("EXTREMUM",$D$3,$D$4,$C18,I$7,21))</f>
        <v>0.489873440790147</v>
      </c>
      <c r="J18" s="163">
        <f>IF(OR($C18="",J$7=""),"",_xll.RSA_BAR_FORCE_DATA("EXTREMUM",$D$3,$D$4,$C18,J$7,21))</f>
        <v>5.9020230517032717</v>
      </c>
      <c r="K18" s="163" t="str">
        <f>IF(OR($C18="",K$7=""),"",_xll.RSA_BAR_FORCE_DATA("EXTREMUM",$D$3,$D$4,$C18,K$7,21))</f>
        <v/>
      </c>
      <c r="L18" s="163" t="str">
        <f>IF(OR($C18="",L$7=""),"",_xll.RSA_BAR_FORCE_DATA("EXTREMUM",$D$3,$D$4,$C18,L$7,21))</f>
        <v/>
      </c>
      <c r="M18" s="163" t="str">
        <f>IF(OR($C18="",M$7=""),"",_xll.RSA_BAR_FORCE_DATA("EXTREMUM",$D$3,$D$4,$C18,M$7,21))</f>
        <v/>
      </c>
      <c r="N18" s="163" t="str">
        <f>IF(OR($C18="",N$7=""),"",_xll.RSA_BAR_FORCE_DATA("EXTREMUM",$D$3,$D$4,$C18,N$7,21))</f>
        <v/>
      </c>
      <c r="O18" s="163" t="str">
        <f>IF(OR($C18="",O$7=""),"",_xll.RSA_BAR_FORCE_DATA("EXTREMUM",$D$3,$D$4,$C18,O$7,21))</f>
        <v/>
      </c>
      <c r="P18" s="163" t="str">
        <f>IF(OR($C18="",P$7=""),"",_xll.RSA_BAR_FORCE_DATA("EXTREMUM",$D$3,$D$4,$C18,P$7,21))</f>
        <v/>
      </c>
      <c r="Q18" s="163" t="str">
        <f>IF(OR($C18="",Q$7=""),"",_xll.RSA_BAR_FORCE_DATA("EXTREMUM",$D$3,$D$4,$C18,Q$7,21))</f>
        <v/>
      </c>
      <c r="R18" s="163" t="str">
        <f>IF(OR($C18="",R$7=""),"",_xll.RSA_BAR_FORCE_DATA("EXTREMUM",$D$3,$D$4,$C18,R$7,21))</f>
        <v/>
      </c>
      <c r="S18" s="163" t="str">
        <f>IF(OR($C18="",S$7=""),"",_xll.RSA_BAR_FORCE_DATA("EXTREMUM",$D$3,$D$4,$C18,S$7,21))</f>
        <v/>
      </c>
      <c r="T18" s="163" t="str">
        <f>IF(OR($C18="",T$7=""),"",_xll.RSA_BAR_FORCE_DATA("EXTREMUM",$D$3,$D$4,$C18,T$7,21))</f>
        <v/>
      </c>
      <c r="U18" s="163" t="str">
        <f>IF(OR($C18="",U$7=""),"",_xll.RSA_BAR_FORCE_DATA("EXTREMUM",$D$3,$D$4,$C18,U$7,21))</f>
        <v/>
      </c>
      <c r="V18" s="163" t="str">
        <f>IF(OR($C18="",V$7=""),"",_xll.RSA_BAR_FORCE_DATA("EXTREMUM",$D$3,$D$4,$C18,V$7,21))</f>
        <v/>
      </c>
      <c r="W18" s="163" t="str">
        <f>IF(OR($C18="",W$7=""),"",_xll.RSA_BAR_FORCE_DATA("EXTREMUM",$D$3,$D$4,$C18,W$7,21))</f>
        <v/>
      </c>
      <c r="X18" s="163" t="str">
        <f>IF(OR($C18="",X$7=""),"",_xll.RSA_BAR_FORCE_DATA("EXTREMUM",$D$3,$D$4,$C18,X$7,21))</f>
        <v/>
      </c>
      <c r="Y18" s="160">
        <f t="shared" si="0"/>
        <v>5.9020230517032717</v>
      </c>
    </row>
    <row r="19" spans="3:25" x14ac:dyDescent="0.3">
      <c r="C19" s="41">
        <v>10</v>
      </c>
      <c r="D19" t="str">
        <f>IF(C19="","",_xll.RSA_BAR_DATA("BAR_NAME",C19))</f>
        <v/>
      </c>
      <c r="E19" s="163">
        <f>IF(OR($C19="",E$7=""),"",_xll.RSA_BAR_FORCE_DATA("EXTREMUM",$D$3,$D$4,$C19,E$7,21))</f>
        <v>0.99028451666742023</v>
      </c>
      <c r="F19" s="163">
        <f>IF(OR($C19="",F$7=""),"",_xll.RSA_BAR_FORCE_DATA("EXTREMUM",$D$3,$D$4,$C19,F$7,21))</f>
        <v>0.99028451666742023</v>
      </c>
      <c r="G19" s="163">
        <f>IF(OR($C19="",G$7=""),"",_xll.RSA_BAR_FORCE_DATA("EXTREMUM",$D$3,$D$4,$C19,G$7,21))</f>
        <v>0.66815497379633548</v>
      </c>
      <c r="H19" s="163">
        <f>IF(OR($C19="",H$7=""),"",_xll.RSA_BAR_FORCE_DATA("EXTREMUM",$D$3,$D$4,$C19,H$7,21))</f>
        <v>0.74087178626725292</v>
      </c>
      <c r="I19" s="163">
        <f>IF(OR($C19="",I$7=""),"",_xll.RSA_BAR_FORCE_DATA("EXTREMUM",$D$3,$D$4,$C19,I$7,21))</f>
        <v>1.0225663321805414</v>
      </c>
      <c r="J19" s="163">
        <f>IF(OR($C19="",J$7=""),"",_xll.RSA_BAR_FORCE_DATA("EXTREMUM",$D$3,$D$4,$C19,J$7,21))</f>
        <v>4.6734822581370787</v>
      </c>
      <c r="K19" s="163" t="str">
        <f>IF(OR($C19="",K$7=""),"",_xll.RSA_BAR_FORCE_DATA("EXTREMUM",$D$3,$D$4,$C19,K$7,21))</f>
        <v/>
      </c>
      <c r="L19" s="163" t="str">
        <f>IF(OR($C19="",L$7=""),"",_xll.RSA_BAR_FORCE_DATA("EXTREMUM",$D$3,$D$4,$C19,L$7,21))</f>
        <v/>
      </c>
      <c r="M19" s="163" t="str">
        <f>IF(OR($C19="",M$7=""),"",_xll.RSA_BAR_FORCE_DATA("EXTREMUM",$D$3,$D$4,$C19,M$7,21))</f>
        <v/>
      </c>
      <c r="N19" s="163" t="str">
        <f>IF(OR($C19="",N$7=""),"",_xll.RSA_BAR_FORCE_DATA("EXTREMUM",$D$3,$D$4,$C19,N$7,21))</f>
        <v/>
      </c>
      <c r="O19" s="163" t="str">
        <f>IF(OR($C19="",O$7=""),"",_xll.RSA_BAR_FORCE_DATA("EXTREMUM",$D$3,$D$4,$C19,O$7,21))</f>
        <v/>
      </c>
      <c r="P19" s="163" t="str">
        <f>IF(OR($C19="",P$7=""),"",_xll.RSA_BAR_FORCE_DATA("EXTREMUM",$D$3,$D$4,$C19,P$7,21))</f>
        <v/>
      </c>
      <c r="Q19" s="163" t="str">
        <f>IF(OR($C19="",Q$7=""),"",_xll.RSA_BAR_FORCE_DATA("EXTREMUM",$D$3,$D$4,$C19,Q$7,21))</f>
        <v/>
      </c>
      <c r="R19" s="163" t="str">
        <f>IF(OR($C19="",R$7=""),"",_xll.RSA_BAR_FORCE_DATA("EXTREMUM",$D$3,$D$4,$C19,R$7,21))</f>
        <v/>
      </c>
      <c r="S19" s="163" t="str">
        <f>IF(OR($C19="",S$7=""),"",_xll.RSA_BAR_FORCE_DATA("EXTREMUM",$D$3,$D$4,$C19,S$7,21))</f>
        <v/>
      </c>
      <c r="T19" s="163" t="str">
        <f>IF(OR($C19="",T$7=""),"",_xll.RSA_BAR_FORCE_DATA("EXTREMUM",$D$3,$D$4,$C19,T$7,21))</f>
        <v/>
      </c>
      <c r="U19" s="163" t="str">
        <f>IF(OR($C19="",U$7=""),"",_xll.RSA_BAR_FORCE_DATA("EXTREMUM",$D$3,$D$4,$C19,U$7,21))</f>
        <v/>
      </c>
      <c r="V19" s="163" t="str">
        <f>IF(OR($C19="",V$7=""),"",_xll.RSA_BAR_FORCE_DATA("EXTREMUM",$D$3,$D$4,$C19,V$7,21))</f>
        <v/>
      </c>
      <c r="W19" s="163" t="str">
        <f>IF(OR($C19="",W$7=""),"",_xll.RSA_BAR_FORCE_DATA("EXTREMUM",$D$3,$D$4,$C19,W$7,21))</f>
        <v/>
      </c>
      <c r="X19" s="163" t="str">
        <f>IF(OR($C19="",X$7=""),"",_xll.RSA_BAR_FORCE_DATA("EXTREMUM",$D$3,$D$4,$C19,X$7,21))</f>
        <v/>
      </c>
      <c r="Y19" s="160">
        <f t="shared" si="0"/>
        <v>4.6734822581370787</v>
      </c>
    </row>
    <row r="20" spans="3:25" x14ac:dyDescent="0.3">
      <c r="C20" s="41">
        <v>11</v>
      </c>
      <c r="D20" t="str">
        <f>IF(C20="","",_xll.RSA_BAR_DATA("BAR_NAME",C20))</f>
        <v/>
      </c>
      <c r="E20" s="163">
        <f>IF(OR($C20="",E$7=""),"",_xll.RSA_BAR_FORCE_DATA("EXTREMUM",$D$3,$D$4,$C20,E$7,21))</f>
        <v>0.56305761276241906</v>
      </c>
      <c r="F20" s="163">
        <f>IF(OR($C20="",F$7=""),"",_xll.RSA_BAR_FORCE_DATA("EXTREMUM",$D$3,$D$4,$C20,F$7,21))</f>
        <v>0.56305761276241906</v>
      </c>
      <c r="G20" s="163">
        <f>IF(OR($C20="",G$7=""),"",_xll.RSA_BAR_FORCE_DATA("EXTREMUM",$D$3,$D$4,$C20,G$7,21))</f>
        <v>0.91215454660971684</v>
      </c>
      <c r="H20" s="163">
        <f>IF(OR($C20="",H$7=""),"",_xll.RSA_BAR_FORCE_DATA("EXTREMUM",$D$3,$D$4,$C20,H$7,21))</f>
        <v>0.8847525388875529</v>
      </c>
      <c r="I20" s="163">
        <f>IF(OR($C20="",I$7=""),"",_xll.RSA_BAR_FORCE_DATA("EXTREMUM",$D$3,$D$4,$C20,I$7,21))</f>
        <v>0.26527548689313424</v>
      </c>
      <c r="J20" s="163">
        <f>IF(OR($C20="",J$7=""),"",_xll.RSA_BAR_FORCE_DATA("EXTREMUM",$D$3,$D$4,$C20,J$7,21))</f>
        <v>3.0435266750353982</v>
      </c>
      <c r="K20" s="163" t="str">
        <f>IF(OR($C20="",K$7=""),"",_xll.RSA_BAR_FORCE_DATA("EXTREMUM",$D$3,$D$4,$C20,K$7,21))</f>
        <v/>
      </c>
      <c r="L20" s="163" t="str">
        <f>IF(OR($C20="",L$7=""),"",_xll.RSA_BAR_FORCE_DATA("EXTREMUM",$D$3,$D$4,$C20,L$7,21))</f>
        <v/>
      </c>
      <c r="M20" s="163" t="str">
        <f>IF(OR($C20="",M$7=""),"",_xll.RSA_BAR_FORCE_DATA("EXTREMUM",$D$3,$D$4,$C20,M$7,21))</f>
        <v/>
      </c>
      <c r="N20" s="163" t="str">
        <f>IF(OR($C20="",N$7=""),"",_xll.RSA_BAR_FORCE_DATA("EXTREMUM",$D$3,$D$4,$C20,N$7,21))</f>
        <v/>
      </c>
      <c r="O20" s="163" t="str">
        <f>IF(OR($C20="",O$7=""),"",_xll.RSA_BAR_FORCE_DATA("EXTREMUM",$D$3,$D$4,$C20,O$7,21))</f>
        <v/>
      </c>
      <c r="P20" s="163" t="str">
        <f>IF(OR($C20="",P$7=""),"",_xll.RSA_BAR_FORCE_DATA("EXTREMUM",$D$3,$D$4,$C20,P$7,21))</f>
        <v/>
      </c>
      <c r="Q20" s="163" t="str">
        <f>IF(OR($C20="",Q$7=""),"",_xll.RSA_BAR_FORCE_DATA("EXTREMUM",$D$3,$D$4,$C20,Q$7,21))</f>
        <v/>
      </c>
      <c r="R20" s="163" t="str">
        <f>IF(OR($C20="",R$7=""),"",_xll.RSA_BAR_FORCE_DATA("EXTREMUM",$D$3,$D$4,$C20,R$7,21))</f>
        <v/>
      </c>
      <c r="S20" s="163" t="str">
        <f>IF(OR($C20="",S$7=""),"",_xll.RSA_BAR_FORCE_DATA("EXTREMUM",$D$3,$D$4,$C20,S$7,21))</f>
        <v/>
      </c>
      <c r="T20" s="163" t="str">
        <f>IF(OR($C20="",T$7=""),"",_xll.RSA_BAR_FORCE_DATA("EXTREMUM",$D$3,$D$4,$C20,T$7,21))</f>
        <v/>
      </c>
      <c r="U20" s="163" t="str">
        <f>IF(OR($C20="",U$7=""),"",_xll.RSA_BAR_FORCE_DATA("EXTREMUM",$D$3,$D$4,$C20,U$7,21))</f>
        <v/>
      </c>
      <c r="V20" s="163" t="str">
        <f>IF(OR($C20="",V$7=""),"",_xll.RSA_BAR_FORCE_DATA("EXTREMUM",$D$3,$D$4,$C20,V$7,21))</f>
        <v/>
      </c>
      <c r="W20" s="163" t="str">
        <f>IF(OR($C20="",W$7=""),"",_xll.RSA_BAR_FORCE_DATA("EXTREMUM",$D$3,$D$4,$C20,W$7,21))</f>
        <v/>
      </c>
      <c r="X20" s="163" t="str">
        <f>IF(OR($C20="",X$7=""),"",_xll.RSA_BAR_FORCE_DATA("EXTREMUM",$D$3,$D$4,$C20,X$7,21))</f>
        <v/>
      </c>
      <c r="Y20" s="160">
        <f t="shared" si="0"/>
        <v>3.0435266750353982</v>
      </c>
    </row>
    <row r="21" spans="3:25" x14ac:dyDescent="0.3">
      <c r="C21" s="41">
        <v>12</v>
      </c>
      <c r="D21" t="str">
        <f>IF(C21="","",_xll.RSA_BAR_DATA("BAR_NAME",C21))</f>
        <v/>
      </c>
      <c r="E21" s="163">
        <f>IF(OR($C21="",E$7=""),"",_xll.RSA_BAR_FORCE_DATA("EXTREMUM",$D$3,$D$4,$C21,E$7,21))</f>
        <v>1.1904847712040665</v>
      </c>
      <c r="F21" s="163">
        <f>IF(OR($C21="",F$7=""),"",_xll.RSA_BAR_FORCE_DATA("EXTREMUM",$D$3,$D$4,$C21,F$7,21))</f>
        <v>1.1904847712040665</v>
      </c>
      <c r="G21" s="163">
        <f>IF(OR($C21="",G$7=""),"",_xll.RSA_BAR_FORCE_DATA("EXTREMUM",$D$3,$D$4,$C21,G$7,21))</f>
        <v>1.6518972037299327</v>
      </c>
      <c r="H21" s="163">
        <f>IF(OR($C21="",H$7=""),"",_xll.RSA_BAR_FORCE_DATA("EXTREMUM",$D$3,$D$4,$C21,H$7,21))</f>
        <v>1.7014836871795969</v>
      </c>
      <c r="I21" s="163">
        <f>IF(OR($C21="",I$7=""),"",_xll.RSA_BAR_FORCE_DATA("EXTREMUM",$D$3,$D$4,$C21,I$7,21))</f>
        <v>0.93066300524742795</v>
      </c>
      <c r="J21" s="163">
        <f>IF(OR($C21="",J$7=""),"",_xll.RSA_BAR_FORCE_DATA("EXTREMUM",$D$3,$D$4,$C21,J$7,21))</f>
        <v>6.8540820439058994</v>
      </c>
      <c r="K21" s="163" t="str">
        <f>IF(OR($C21="",K$7=""),"",_xll.RSA_BAR_FORCE_DATA("EXTREMUM",$D$3,$D$4,$C21,K$7,21))</f>
        <v/>
      </c>
      <c r="L21" s="163" t="str">
        <f>IF(OR($C21="",L$7=""),"",_xll.RSA_BAR_FORCE_DATA("EXTREMUM",$D$3,$D$4,$C21,L$7,21))</f>
        <v/>
      </c>
      <c r="M21" s="163" t="str">
        <f>IF(OR($C21="",M$7=""),"",_xll.RSA_BAR_FORCE_DATA("EXTREMUM",$D$3,$D$4,$C21,M$7,21))</f>
        <v/>
      </c>
      <c r="N21" s="163" t="str">
        <f>IF(OR($C21="",N$7=""),"",_xll.RSA_BAR_FORCE_DATA("EXTREMUM",$D$3,$D$4,$C21,N$7,21))</f>
        <v/>
      </c>
      <c r="O21" s="163" t="str">
        <f>IF(OR($C21="",O$7=""),"",_xll.RSA_BAR_FORCE_DATA("EXTREMUM",$D$3,$D$4,$C21,O$7,21))</f>
        <v/>
      </c>
      <c r="P21" s="163" t="str">
        <f>IF(OR($C21="",P$7=""),"",_xll.RSA_BAR_FORCE_DATA("EXTREMUM",$D$3,$D$4,$C21,P$7,21))</f>
        <v/>
      </c>
      <c r="Q21" s="163" t="str">
        <f>IF(OR($C21="",Q$7=""),"",_xll.RSA_BAR_FORCE_DATA("EXTREMUM",$D$3,$D$4,$C21,Q$7,21))</f>
        <v/>
      </c>
      <c r="R21" s="163" t="str">
        <f>IF(OR($C21="",R$7=""),"",_xll.RSA_BAR_FORCE_DATA("EXTREMUM",$D$3,$D$4,$C21,R$7,21))</f>
        <v/>
      </c>
      <c r="S21" s="163" t="str">
        <f>IF(OR($C21="",S$7=""),"",_xll.RSA_BAR_FORCE_DATA("EXTREMUM",$D$3,$D$4,$C21,S$7,21))</f>
        <v/>
      </c>
      <c r="T21" s="163" t="str">
        <f>IF(OR($C21="",T$7=""),"",_xll.RSA_BAR_FORCE_DATA("EXTREMUM",$D$3,$D$4,$C21,T$7,21))</f>
        <v/>
      </c>
      <c r="U21" s="163" t="str">
        <f>IF(OR($C21="",U$7=""),"",_xll.RSA_BAR_FORCE_DATA("EXTREMUM",$D$3,$D$4,$C21,U$7,21))</f>
        <v/>
      </c>
      <c r="V21" s="163" t="str">
        <f>IF(OR($C21="",V$7=""),"",_xll.RSA_BAR_FORCE_DATA("EXTREMUM",$D$3,$D$4,$C21,V$7,21))</f>
        <v/>
      </c>
      <c r="W21" s="163" t="str">
        <f>IF(OR($C21="",W$7=""),"",_xll.RSA_BAR_FORCE_DATA("EXTREMUM",$D$3,$D$4,$C21,W$7,21))</f>
        <v/>
      </c>
      <c r="X21" s="163" t="str">
        <f>IF(OR($C21="",X$7=""),"",_xll.RSA_BAR_FORCE_DATA("EXTREMUM",$D$3,$D$4,$C21,X$7,21))</f>
        <v/>
      </c>
      <c r="Y21" s="160">
        <f t="shared" si="0"/>
        <v>6.8540820439058994</v>
      </c>
    </row>
    <row r="22" spans="3:25" x14ac:dyDescent="0.3">
      <c r="C22" s="41">
        <v>13</v>
      </c>
      <c r="D22" t="str">
        <f>IF(C22="","",_xll.RSA_BAR_DATA("BAR_NAME",C22))</f>
        <v/>
      </c>
      <c r="E22" s="163">
        <f>IF(OR($C22="",E$7=""),"",_xll.RSA_BAR_FORCE_DATA("EXTREMUM",$D$3,$D$4,$C22,E$7,21))</f>
        <v>1.4966628503527299</v>
      </c>
      <c r="F22" s="163">
        <f>IF(OR($C22="",F$7=""),"",_xll.RSA_BAR_FORCE_DATA("EXTREMUM",$D$3,$D$4,$C22,F$7,21))</f>
        <v>1.4966628503527299</v>
      </c>
      <c r="G22" s="163">
        <f>IF(OR($C22="",G$7=""),"",_xll.RSA_BAR_FORCE_DATA("EXTREMUM",$D$3,$D$4,$C22,G$7,21))</f>
        <v>2.3989470320574182</v>
      </c>
      <c r="H22" s="163">
        <f>IF(OR($C22="",H$7=""),"",_xll.RSA_BAR_FORCE_DATA("EXTREMUM",$D$3,$D$4,$C22,H$7,21))</f>
        <v>2.0362453003295142</v>
      </c>
      <c r="I22" s="163">
        <f>IF(OR($C22="",I$7=""),"",_xll.RSA_BAR_FORCE_DATA("EXTREMUM",$D$3,$D$4,$C22,I$7,21))</f>
        <v>0.55434320500482726</v>
      </c>
      <c r="J22" s="163">
        <f>IF(OR($C22="",J$7=""),"",_xll.RSA_BAR_FORCE_DATA("EXTREMUM",$D$3,$D$4,$C22,J$7,21))</f>
        <v>7.9459402761676916</v>
      </c>
      <c r="K22" s="163" t="str">
        <f>IF(OR($C22="",K$7=""),"",_xll.RSA_BAR_FORCE_DATA("EXTREMUM",$D$3,$D$4,$C22,K$7,21))</f>
        <v/>
      </c>
      <c r="L22" s="163" t="str">
        <f>IF(OR($C22="",L$7=""),"",_xll.RSA_BAR_FORCE_DATA("EXTREMUM",$D$3,$D$4,$C22,L$7,21))</f>
        <v/>
      </c>
      <c r="M22" s="163" t="str">
        <f>IF(OR($C22="",M$7=""),"",_xll.RSA_BAR_FORCE_DATA("EXTREMUM",$D$3,$D$4,$C22,M$7,21))</f>
        <v/>
      </c>
      <c r="N22" s="163" t="str">
        <f>IF(OR($C22="",N$7=""),"",_xll.RSA_BAR_FORCE_DATA("EXTREMUM",$D$3,$D$4,$C22,N$7,21))</f>
        <v/>
      </c>
      <c r="O22" s="163" t="str">
        <f>IF(OR($C22="",O$7=""),"",_xll.RSA_BAR_FORCE_DATA("EXTREMUM",$D$3,$D$4,$C22,O$7,21))</f>
        <v/>
      </c>
      <c r="P22" s="163" t="str">
        <f>IF(OR($C22="",P$7=""),"",_xll.RSA_BAR_FORCE_DATA("EXTREMUM",$D$3,$D$4,$C22,P$7,21))</f>
        <v/>
      </c>
      <c r="Q22" s="163" t="str">
        <f>IF(OR($C22="",Q$7=""),"",_xll.RSA_BAR_FORCE_DATA("EXTREMUM",$D$3,$D$4,$C22,Q$7,21))</f>
        <v/>
      </c>
      <c r="R22" s="163" t="str">
        <f>IF(OR($C22="",R$7=""),"",_xll.RSA_BAR_FORCE_DATA("EXTREMUM",$D$3,$D$4,$C22,R$7,21))</f>
        <v/>
      </c>
      <c r="S22" s="163" t="str">
        <f>IF(OR($C22="",S$7=""),"",_xll.RSA_BAR_FORCE_DATA("EXTREMUM",$D$3,$D$4,$C22,S$7,21))</f>
        <v/>
      </c>
      <c r="T22" s="163" t="str">
        <f>IF(OR($C22="",T$7=""),"",_xll.RSA_BAR_FORCE_DATA("EXTREMUM",$D$3,$D$4,$C22,T$7,21))</f>
        <v/>
      </c>
      <c r="U22" s="163" t="str">
        <f>IF(OR($C22="",U$7=""),"",_xll.RSA_BAR_FORCE_DATA("EXTREMUM",$D$3,$D$4,$C22,U$7,21))</f>
        <v/>
      </c>
      <c r="V22" s="163" t="str">
        <f>IF(OR($C22="",V$7=""),"",_xll.RSA_BAR_FORCE_DATA("EXTREMUM",$D$3,$D$4,$C22,V$7,21))</f>
        <v/>
      </c>
      <c r="W22" s="163" t="str">
        <f>IF(OR($C22="",W$7=""),"",_xll.RSA_BAR_FORCE_DATA("EXTREMUM",$D$3,$D$4,$C22,W$7,21))</f>
        <v/>
      </c>
      <c r="X22" s="163" t="str">
        <f>IF(OR($C22="",X$7=""),"",_xll.RSA_BAR_FORCE_DATA("EXTREMUM",$D$3,$D$4,$C22,X$7,21))</f>
        <v/>
      </c>
      <c r="Y22" s="160">
        <f t="shared" si="0"/>
        <v>7.9459402761676916</v>
      </c>
    </row>
    <row r="23" spans="3:25" x14ac:dyDescent="0.3">
      <c r="C23" s="41">
        <v>14</v>
      </c>
      <c r="D23" t="str">
        <f>IF(C23="","",_xll.RSA_BAR_DATA("BAR_NAME",C23))</f>
        <v/>
      </c>
      <c r="E23" s="163">
        <f>IF(OR($C23="",E$7=""),"",_xll.RSA_BAR_FORCE_DATA("EXTREMUM",$D$3,$D$4,$C23,E$7,21))</f>
        <v>1.3042786779581415</v>
      </c>
      <c r="F23" s="163">
        <f>IF(OR($C23="",F$7=""),"",_xll.RSA_BAR_FORCE_DATA("EXTREMUM",$D$3,$D$4,$C23,F$7,21))</f>
        <v>1.3042786779581415</v>
      </c>
      <c r="G23" s="163">
        <f>IF(OR($C23="",G$7=""),"",_xll.RSA_BAR_FORCE_DATA("EXTREMUM",$D$3,$D$4,$C23,G$7,21))</f>
        <v>1.9304927773988747</v>
      </c>
      <c r="H23" s="163">
        <f>IF(OR($C23="",H$7=""),"",_xll.RSA_BAR_FORCE_DATA("EXTREMUM",$D$3,$D$4,$C23,H$7,21))</f>
        <v>1.9077392379461171</v>
      </c>
      <c r="I23" s="163">
        <f>IF(OR($C23="",I$7=""),"",_xll.RSA_BAR_FORCE_DATA("EXTREMUM",$D$3,$D$4,$C23,I$7,21))</f>
        <v>0.86527180533627057</v>
      </c>
      <c r="J23" s="163">
        <f>IF(OR($C23="",J$7=""),"",_xll.RSA_BAR_FORCE_DATA("EXTREMUM",$D$3,$D$4,$C23,J$7,21))</f>
        <v>7.2961961361219156</v>
      </c>
      <c r="K23" s="163" t="str">
        <f>IF(OR($C23="",K$7=""),"",_xll.RSA_BAR_FORCE_DATA("EXTREMUM",$D$3,$D$4,$C23,K$7,21))</f>
        <v/>
      </c>
      <c r="L23" s="163" t="str">
        <f>IF(OR($C23="",L$7=""),"",_xll.RSA_BAR_FORCE_DATA("EXTREMUM",$D$3,$D$4,$C23,L$7,21))</f>
        <v/>
      </c>
      <c r="M23" s="163" t="str">
        <f>IF(OR($C23="",M$7=""),"",_xll.RSA_BAR_FORCE_DATA("EXTREMUM",$D$3,$D$4,$C23,M$7,21))</f>
        <v/>
      </c>
      <c r="N23" s="163" t="str">
        <f>IF(OR($C23="",N$7=""),"",_xll.RSA_BAR_FORCE_DATA("EXTREMUM",$D$3,$D$4,$C23,N$7,21))</f>
        <v/>
      </c>
      <c r="O23" s="163" t="str">
        <f>IF(OR($C23="",O$7=""),"",_xll.RSA_BAR_FORCE_DATA("EXTREMUM",$D$3,$D$4,$C23,O$7,21))</f>
        <v/>
      </c>
      <c r="P23" s="163" t="str">
        <f>IF(OR($C23="",P$7=""),"",_xll.RSA_BAR_FORCE_DATA("EXTREMUM",$D$3,$D$4,$C23,P$7,21))</f>
        <v/>
      </c>
      <c r="Q23" s="163" t="str">
        <f>IF(OR($C23="",Q$7=""),"",_xll.RSA_BAR_FORCE_DATA("EXTREMUM",$D$3,$D$4,$C23,Q$7,21))</f>
        <v/>
      </c>
      <c r="R23" s="163" t="str">
        <f>IF(OR($C23="",R$7=""),"",_xll.RSA_BAR_FORCE_DATA("EXTREMUM",$D$3,$D$4,$C23,R$7,21))</f>
        <v/>
      </c>
      <c r="S23" s="163" t="str">
        <f>IF(OR($C23="",S$7=""),"",_xll.RSA_BAR_FORCE_DATA("EXTREMUM",$D$3,$D$4,$C23,S$7,21))</f>
        <v/>
      </c>
      <c r="T23" s="163" t="str">
        <f>IF(OR($C23="",T$7=""),"",_xll.RSA_BAR_FORCE_DATA("EXTREMUM",$D$3,$D$4,$C23,T$7,21))</f>
        <v/>
      </c>
      <c r="U23" s="163" t="str">
        <f>IF(OR($C23="",U$7=""),"",_xll.RSA_BAR_FORCE_DATA("EXTREMUM",$D$3,$D$4,$C23,U$7,21))</f>
        <v/>
      </c>
      <c r="V23" s="163" t="str">
        <f>IF(OR($C23="",V$7=""),"",_xll.RSA_BAR_FORCE_DATA("EXTREMUM",$D$3,$D$4,$C23,V$7,21))</f>
        <v/>
      </c>
      <c r="W23" s="163" t="str">
        <f>IF(OR($C23="",W$7=""),"",_xll.RSA_BAR_FORCE_DATA("EXTREMUM",$D$3,$D$4,$C23,W$7,21))</f>
        <v/>
      </c>
      <c r="X23" s="163" t="str">
        <f>IF(OR($C23="",X$7=""),"",_xll.RSA_BAR_FORCE_DATA("EXTREMUM",$D$3,$D$4,$C23,X$7,21))</f>
        <v/>
      </c>
      <c r="Y23" s="160">
        <f t="shared" si="0"/>
        <v>7.2961961361219156</v>
      </c>
    </row>
    <row r="24" spans="3:25" x14ac:dyDescent="0.3">
      <c r="C24" s="41">
        <v>15</v>
      </c>
      <c r="D24" t="str">
        <f>IF(C24="","",_xll.RSA_BAR_DATA("BAR_NAME",C24))</f>
        <v/>
      </c>
      <c r="E24" s="163">
        <f>IF(OR($C24="",E$7=""),"",_xll.RSA_BAR_FORCE_DATA("EXTREMUM",$D$3,$D$4,$C24,E$7,21))</f>
        <v>0.87064422523344509</v>
      </c>
      <c r="F24" s="163">
        <f>IF(OR($C24="",F$7=""),"",_xll.RSA_BAR_FORCE_DATA("EXTREMUM",$D$3,$D$4,$C24,F$7,21))</f>
        <v>0.87064422523344509</v>
      </c>
      <c r="G24" s="163">
        <f>IF(OR($C24="",G$7=""),"",_xll.RSA_BAR_FORCE_DATA("EXTREMUM",$D$3,$D$4,$C24,G$7,21))</f>
        <v>1.7726202524179253</v>
      </c>
      <c r="H24" s="163">
        <f>IF(OR($C24="",H$7=""),"",_xll.RSA_BAR_FORCE_DATA("EXTREMUM",$D$3,$D$4,$C24,H$7,21))</f>
        <v>1.7725761369456134</v>
      </c>
      <c r="I24" s="163">
        <f>IF(OR($C24="",I$7=""),"",_xll.RSA_BAR_FORCE_DATA("EXTREMUM",$D$3,$D$4,$C24,I$7,21))</f>
        <v>0.62581525484165013</v>
      </c>
      <c r="J24" s="163">
        <f>IF(OR($C24="",J$7=""),"",_xll.RSA_BAR_FORCE_DATA("EXTREMUM",$D$3,$D$4,$C24,J$7,21))</f>
        <v>5.537310762202269</v>
      </c>
      <c r="K24" s="163" t="str">
        <f>IF(OR($C24="",K$7=""),"",_xll.RSA_BAR_FORCE_DATA("EXTREMUM",$D$3,$D$4,$C24,K$7,21))</f>
        <v/>
      </c>
      <c r="L24" s="163" t="str">
        <f>IF(OR($C24="",L$7=""),"",_xll.RSA_BAR_FORCE_DATA("EXTREMUM",$D$3,$D$4,$C24,L$7,21))</f>
        <v/>
      </c>
      <c r="M24" s="163" t="str">
        <f>IF(OR($C24="",M$7=""),"",_xll.RSA_BAR_FORCE_DATA("EXTREMUM",$D$3,$D$4,$C24,M$7,21))</f>
        <v/>
      </c>
      <c r="N24" s="163" t="str">
        <f>IF(OR($C24="",N$7=""),"",_xll.RSA_BAR_FORCE_DATA("EXTREMUM",$D$3,$D$4,$C24,N$7,21))</f>
        <v/>
      </c>
      <c r="O24" s="163" t="str">
        <f>IF(OR($C24="",O$7=""),"",_xll.RSA_BAR_FORCE_DATA("EXTREMUM",$D$3,$D$4,$C24,O$7,21))</f>
        <v/>
      </c>
      <c r="P24" s="163" t="str">
        <f>IF(OR($C24="",P$7=""),"",_xll.RSA_BAR_FORCE_DATA("EXTREMUM",$D$3,$D$4,$C24,P$7,21))</f>
        <v/>
      </c>
      <c r="Q24" s="163" t="str">
        <f>IF(OR($C24="",Q$7=""),"",_xll.RSA_BAR_FORCE_DATA("EXTREMUM",$D$3,$D$4,$C24,Q$7,21))</f>
        <v/>
      </c>
      <c r="R24" s="163" t="str">
        <f>IF(OR($C24="",R$7=""),"",_xll.RSA_BAR_FORCE_DATA("EXTREMUM",$D$3,$D$4,$C24,R$7,21))</f>
        <v/>
      </c>
      <c r="S24" s="163" t="str">
        <f>IF(OR($C24="",S$7=""),"",_xll.RSA_BAR_FORCE_DATA("EXTREMUM",$D$3,$D$4,$C24,S$7,21))</f>
        <v/>
      </c>
      <c r="T24" s="163" t="str">
        <f>IF(OR($C24="",T$7=""),"",_xll.RSA_BAR_FORCE_DATA("EXTREMUM",$D$3,$D$4,$C24,T$7,21))</f>
        <v/>
      </c>
      <c r="U24" s="163" t="str">
        <f>IF(OR($C24="",U$7=""),"",_xll.RSA_BAR_FORCE_DATA("EXTREMUM",$D$3,$D$4,$C24,U$7,21))</f>
        <v/>
      </c>
      <c r="V24" s="163" t="str">
        <f>IF(OR($C24="",V$7=""),"",_xll.RSA_BAR_FORCE_DATA("EXTREMUM",$D$3,$D$4,$C24,V$7,21))</f>
        <v/>
      </c>
      <c r="W24" s="163" t="str">
        <f>IF(OR($C24="",W$7=""),"",_xll.RSA_BAR_FORCE_DATA("EXTREMUM",$D$3,$D$4,$C24,W$7,21))</f>
        <v/>
      </c>
      <c r="X24" s="163" t="str">
        <f>IF(OR($C24="",X$7=""),"",_xll.RSA_BAR_FORCE_DATA("EXTREMUM",$D$3,$D$4,$C24,X$7,21))</f>
        <v/>
      </c>
      <c r="Y24" s="160">
        <f t="shared" si="0"/>
        <v>5.537310762202269</v>
      </c>
    </row>
    <row r="25" spans="3:25" x14ac:dyDescent="0.3">
      <c r="C25" s="41">
        <v>16</v>
      </c>
      <c r="D25" t="str">
        <f>IF(C25="","",_xll.RSA_BAR_DATA("BAR_NAME",C25))</f>
        <v/>
      </c>
      <c r="E25" s="163">
        <f>IF(OR($C25="",E$7=""),"",_xll.RSA_BAR_FORCE_DATA("EXTREMUM",$D$3,$D$4,$C25,E$7,21))</f>
        <v>-3.6292839716523306E-2</v>
      </c>
      <c r="F25" s="163">
        <f>IF(OR($C25="",F$7=""),"",_xll.RSA_BAR_FORCE_DATA("EXTREMUM",$D$3,$D$4,$C25,F$7,21))</f>
        <v>-3.6292839716523306E-2</v>
      </c>
      <c r="G25" s="163">
        <f>IF(OR($C25="",G$7=""),"",_xll.RSA_BAR_FORCE_DATA("EXTREMUM",$D$3,$D$4,$C25,G$7,21))</f>
        <v>0.27554641211828629</v>
      </c>
      <c r="H25" s="163">
        <f>IF(OR($C25="",H$7=""),"",_xll.RSA_BAR_FORCE_DATA("EXTREMUM",$D$3,$D$4,$C25,H$7,21))</f>
        <v>0.27337205104638046</v>
      </c>
      <c r="I25" s="163">
        <f>IF(OR($C25="",I$7=""),"",_xll.RSA_BAR_FORCE_DATA("EXTREMUM",$D$3,$D$4,$C25,I$7,21))</f>
        <v>0.41212061722640281</v>
      </c>
      <c r="J25" s="163">
        <f>IF(OR($C25="",J$7=""),"",_xll.RSA_BAR_FORCE_DATA("EXTREMUM",$D$3,$D$4,$C25,J$7,21))</f>
        <v>2.5751073372856523E-2</v>
      </c>
      <c r="K25" s="163" t="str">
        <f>IF(OR($C25="",K$7=""),"",_xll.RSA_BAR_FORCE_DATA("EXTREMUM",$D$3,$D$4,$C25,K$7,21))</f>
        <v/>
      </c>
      <c r="L25" s="163" t="str">
        <f>IF(OR($C25="",L$7=""),"",_xll.RSA_BAR_FORCE_DATA("EXTREMUM",$D$3,$D$4,$C25,L$7,21))</f>
        <v/>
      </c>
      <c r="M25" s="163" t="str">
        <f>IF(OR($C25="",M$7=""),"",_xll.RSA_BAR_FORCE_DATA("EXTREMUM",$D$3,$D$4,$C25,M$7,21))</f>
        <v/>
      </c>
      <c r="N25" s="163" t="str">
        <f>IF(OR($C25="",N$7=""),"",_xll.RSA_BAR_FORCE_DATA("EXTREMUM",$D$3,$D$4,$C25,N$7,21))</f>
        <v/>
      </c>
      <c r="O25" s="163" t="str">
        <f>IF(OR($C25="",O$7=""),"",_xll.RSA_BAR_FORCE_DATA("EXTREMUM",$D$3,$D$4,$C25,O$7,21))</f>
        <v/>
      </c>
      <c r="P25" s="163" t="str">
        <f>IF(OR($C25="",P$7=""),"",_xll.RSA_BAR_FORCE_DATA("EXTREMUM",$D$3,$D$4,$C25,P$7,21))</f>
        <v/>
      </c>
      <c r="Q25" s="163" t="str">
        <f>IF(OR($C25="",Q$7=""),"",_xll.RSA_BAR_FORCE_DATA("EXTREMUM",$D$3,$D$4,$C25,Q$7,21))</f>
        <v/>
      </c>
      <c r="R25" s="163" t="str">
        <f>IF(OR($C25="",R$7=""),"",_xll.RSA_BAR_FORCE_DATA("EXTREMUM",$D$3,$D$4,$C25,R$7,21))</f>
        <v/>
      </c>
      <c r="S25" s="163" t="str">
        <f>IF(OR($C25="",S$7=""),"",_xll.RSA_BAR_FORCE_DATA("EXTREMUM",$D$3,$D$4,$C25,S$7,21))</f>
        <v/>
      </c>
      <c r="T25" s="163" t="str">
        <f>IF(OR($C25="",T$7=""),"",_xll.RSA_BAR_FORCE_DATA("EXTREMUM",$D$3,$D$4,$C25,T$7,21))</f>
        <v/>
      </c>
      <c r="U25" s="163" t="str">
        <f>IF(OR($C25="",U$7=""),"",_xll.RSA_BAR_FORCE_DATA("EXTREMUM",$D$3,$D$4,$C25,U$7,21))</f>
        <v/>
      </c>
      <c r="V25" s="163" t="str">
        <f>IF(OR($C25="",V$7=""),"",_xll.RSA_BAR_FORCE_DATA("EXTREMUM",$D$3,$D$4,$C25,V$7,21))</f>
        <v/>
      </c>
      <c r="W25" s="163" t="str">
        <f>IF(OR($C25="",W$7=""),"",_xll.RSA_BAR_FORCE_DATA("EXTREMUM",$D$3,$D$4,$C25,W$7,21))</f>
        <v/>
      </c>
      <c r="X25" s="163" t="str">
        <f>IF(OR($C25="",X$7=""),"",_xll.RSA_BAR_FORCE_DATA("EXTREMUM",$D$3,$D$4,$C25,X$7,21))</f>
        <v/>
      </c>
      <c r="Y25" s="160">
        <f t="shared" si="0"/>
        <v>0.41212061722640281</v>
      </c>
    </row>
    <row r="26" spans="3:25" x14ac:dyDescent="0.3">
      <c r="C26" s="41">
        <v>17</v>
      </c>
      <c r="D26" t="str">
        <f>IF(C26="","",_xll.RSA_BAR_DATA("BAR_NAME",C26))</f>
        <v/>
      </c>
      <c r="E26" s="163">
        <f>IF(OR($C26="",E$7=""),"",_xll.RSA_BAR_FORCE_DATA("EXTREMUM",$D$3,$D$4,$C26,E$7,21))</f>
        <v>1.7662489911565118</v>
      </c>
      <c r="F26" s="163">
        <f>IF(OR($C26="",F$7=""),"",_xll.RSA_BAR_FORCE_DATA("EXTREMUM",$D$3,$D$4,$C26,F$7,21))</f>
        <v>1.7662489911565118</v>
      </c>
      <c r="G26" s="163">
        <f>IF(OR($C26="",G$7=""),"",_xll.RSA_BAR_FORCE_DATA("EXTREMUM",$D$3,$D$4,$C26,G$7,21))</f>
        <v>2.1784267157078512</v>
      </c>
      <c r="H26" s="163">
        <f>IF(OR($C26="",H$7=""),"",_xll.RSA_BAR_FORCE_DATA("EXTREMUM",$D$3,$D$4,$C26,H$7,21))</f>
        <v>2.188323837877403</v>
      </c>
      <c r="I26" s="163">
        <f>IF(OR($C26="",I$7=""),"",_xll.RSA_BAR_FORCE_DATA("EXTREMUM",$D$3,$D$4,$C26,I$7,21))</f>
        <v>0.37741290212427703</v>
      </c>
      <c r="J26" s="163">
        <f>IF(OR($C26="",J$7=""),"",_xll.RSA_BAR_FORCE_DATA("EXTREMUM",$D$3,$D$4,$C26,J$7,21))</f>
        <v>9.5359559832275274</v>
      </c>
      <c r="K26" s="163" t="str">
        <f>IF(OR($C26="",K$7=""),"",_xll.RSA_BAR_FORCE_DATA("EXTREMUM",$D$3,$D$4,$C26,K$7,21))</f>
        <v/>
      </c>
      <c r="L26" s="163" t="str">
        <f>IF(OR($C26="",L$7=""),"",_xll.RSA_BAR_FORCE_DATA("EXTREMUM",$D$3,$D$4,$C26,L$7,21))</f>
        <v/>
      </c>
      <c r="M26" s="163" t="str">
        <f>IF(OR($C26="",M$7=""),"",_xll.RSA_BAR_FORCE_DATA("EXTREMUM",$D$3,$D$4,$C26,M$7,21))</f>
        <v/>
      </c>
      <c r="N26" s="163" t="str">
        <f>IF(OR($C26="",N$7=""),"",_xll.RSA_BAR_FORCE_DATA("EXTREMUM",$D$3,$D$4,$C26,N$7,21))</f>
        <v/>
      </c>
      <c r="O26" s="163" t="str">
        <f>IF(OR($C26="",O$7=""),"",_xll.RSA_BAR_FORCE_DATA("EXTREMUM",$D$3,$D$4,$C26,O$7,21))</f>
        <v/>
      </c>
      <c r="P26" s="163" t="str">
        <f>IF(OR($C26="",P$7=""),"",_xll.RSA_BAR_FORCE_DATA("EXTREMUM",$D$3,$D$4,$C26,P$7,21))</f>
        <v/>
      </c>
      <c r="Q26" s="163" t="str">
        <f>IF(OR($C26="",Q$7=""),"",_xll.RSA_BAR_FORCE_DATA("EXTREMUM",$D$3,$D$4,$C26,Q$7,21))</f>
        <v/>
      </c>
      <c r="R26" s="163" t="str">
        <f>IF(OR($C26="",R$7=""),"",_xll.RSA_BAR_FORCE_DATA("EXTREMUM",$D$3,$D$4,$C26,R$7,21))</f>
        <v/>
      </c>
      <c r="S26" s="163" t="str">
        <f>IF(OR($C26="",S$7=""),"",_xll.RSA_BAR_FORCE_DATA("EXTREMUM",$D$3,$D$4,$C26,S$7,21))</f>
        <v/>
      </c>
      <c r="T26" s="163" t="str">
        <f>IF(OR($C26="",T$7=""),"",_xll.RSA_BAR_FORCE_DATA("EXTREMUM",$D$3,$D$4,$C26,T$7,21))</f>
        <v/>
      </c>
      <c r="U26" s="163" t="str">
        <f>IF(OR($C26="",U$7=""),"",_xll.RSA_BAR_FORCE_DATA("EXTREMUM",$D$3,$D$4,$C26,U$7,21))</f>
        <v/>
      </c>
      <c r="V26" s="163" t="str">
        <f>IF(OR($C26="",V$7=""),"",_xll.RSA_BAR_FORCE_DATA("EXTREMUM",$D$3,$D$4,$C26,V$7,21))</f>
        <v/>
      </c>
      <c r="W26" s="163" t="str">
        <f>IF(OR($C26="",W$7=""),"",_xll.RSA_BAR_FORCE_DATA("EXTREMUM",$D$3,$D$4,$C26,W$7,21))</f>
        <v/>
      </c>
      <c r="X26" s="163" t="str">
        <f>IF(OR($C26="",X$7=""),"",_xll.RSA_BAR_FORCE_DATA("EXTREMUM",$D$3,$D$4,$C26,X$7,21))</f>
        <v/>
      </c>
      <c r="Y26" s="160">
        <f t="shared" si="0"/>
        <v>9.5359559832275274</v>
      </c>
    </row>
    <row r="27" spans="3:25" x14ac:dyDescent="0.3">
      <c r="C27" s="41">
        <v>18</v>
      </c>
      <c r="D27" t="str">
        <f>IF(C27="","",_xll.RSA_BAR_DATA("BAR_NAME",C27))</f>
        <v/>
      </c>
      <c r="E27" s="163">
        <f>IF(OR($C27="",E$7=""),"",_xll.RSA_BAR_FORCE_DATA("EXTREMUM",$D$3,$D$4,$C27,E$7,21))</f>
        <v>3.0297272934181811</v>
      </c>
      <c r="F27" s="163">
        <f>IF(OR($C27="",F$7=""),"",_xll.RSA_BAR_FORCE_DATA("EXTREMUM",$D$3,$D$4,$C27,F$7,21))</f>
        <v>3.0297272934181811</v>
      </c>
      <c r="G27" s="163">
        <f>IF(OR($C27="",G$7=""),"",_xll.RSA_BAR_FORCE_DATA("EXTREMUM",$D$3,$D$4,$C27,G$7,21))</f>
        <v>4.2624055092918729</v>
      </c>
      <c r="H27" s="163">
        <f>IF(OR($C27="",H$7=""),"",_xll.RSA_BAR_FORCE_DATA("EXTREMUM",$D$3,$D$4,$C27,H$7,21))</f>
        <v>4.2824907228646758</v>
      </c>
      <c r="I27" s="163">
        <f>IF(OR($C27="",I$7=""),"",_xll.RSA_BAR_FORCE_DATA("EXTREMUM",$D$3,$D$4,$C27,I$7,21))</f>
        <v>2.2375278163237453E-2</v>
      </c>
      <c r="J27" s="163">
        <f>IF(OR($C27="",J$7=""),"",_xll.RSA_BAR_FORCE_DATA("EXTREMUM",$D$3,$D$4,$C27,J$7,21))</f>
        <v>17.087972810556856</v>
      </c>
      <c r="K27" s="163" t="str">
        <f>IF(OR($C27="",K$7=""),"",_xll.RSA_BAR_FORCE_DATA("EXTREMUM",$D$3,$D$4,$C27,K$7,21))</f>
        <v/>
      </c>
      <c r="L27" s="163" t="str">
        <f>IF(OR($C27="",L$7=""),"",_xll.RSA_BAR_FORCE_DATA("EXTREMUM",$D$3,$D$4,$C27,L$7,21))</f>
        <v/>
      </c>
      <c r="M27" s="163" t="str">
        <f>IF(OR($C27="",M$7=""),"",_xll.RSA_BAR_FORCE_DATA("EXTREMUM",$D$3,$D$4,$C27,M$7,21))</f>
        <v/>
      </c>
      <c r="N27" s="163" t="str">
        <f>IF(OR($C27="",N$7=""),"",_xll.RSA_BAR_FORCE_DATA("EXTREMUM",$D$3,$D$4,$C27,N$7,21))</f>
        <v/>
      </c>
      <c r="O27" s="163" t="str">
        <f>IF(OR($C27="",O$7=""),"",_xll.RSA_BAR_FORCE_DATA("EXTREMUM",$D$3,$D$4,$C27,O$7,21))</f>
        <v/>
      </c>
      <c r="P27" s="163" t="str">
        <f>IF(OR($C27="",P$7=""),"",_xll.RSA_BAR_FORCE_DATA("EXTREMUM",$D$3,$D$4,$C27,P$7,21))</f>
        <v/>
      </c>
      <c r="Q27" s="163" t="str">
        <f>IF(OR($C27="",Q$7=""),"",_xll.RSA_BAR_FORCE_DATA("EXTREMUM",$D$3,$D$4,$C27,Q$7,21))</f>
        <v/>
      </c>
      <c r="R27" s="163" t="str">
        <f>IF(OR($C27="",R$7=""),"",_xll.RSA_BAR_FORCE_DATA("EXTREMUM",$D$3,$D$4,$C27,R$7,21))</f>
        <v/>
      </c>
      <c r="S27" s="163" t="str">
        <f>IF(OR($C27="",S$7=""),"",_xll.RSA_BAR_FORCE_DATA("EXTREMUM",$D$3,$D$4,$C27,S$7,21))</f>
        <v/>
      </c>
      <c r="T27" s="163" t="str">
        <f>IF(OR($C27="",T$7=""),"",_xll.RSA_BAR_FORCE_DATA("EXTREMUM",$D$3,$D$4,$C27,T$7,21))</f>
        <v/>
      </c>
      <c r="U27" s="163" t="str">
        <f>IF(OR($C27="",U$7=""),"",_xll.RSA_BAR_FORCE_DATA("EXTREMUM",$D$3,$D$4,$C27,U$7,21))</f>
        <v/>
      </c>
      <c r="V27" s="163" t="str">
        <f>IF(OR($C27="",V$7=""),"",_xll.RSA_BAR_FORCE_DATA("EXTREMUM",$D$3,$D$4,$C27,V$7,21))</f>
        <v/>
      </c>
      <c r="W27" s="163" t="str">
        <f>IF(OR($C27="",W$7=""),"",_xll.RSA_BAR_FORCE_DATA("EXTREMUM",$D$3,$D$4,$C27,W$7,21))</f>
        <v/>
      </c>
      <c r="X27" s="163" t="str">
        <f>IF(OR($C27="",X$7=""),"",_xll.RSA_BAR_FORCE_DATA("EXTREMUM",$D$3,$D$4,$C27,X$7,21))</f>
        <v/>
      </c>
      <c r="Y27" s="160">
        <f t="shared" si="0"/>
        <v>17.087972810556856</v>
      </c>
    </row>
    <row r="28" spans="3:25" x14ac:dyDescent="0.3">
      <c r="C28" s="41"/>
      <c r="D28" t="str">
        <f>IF(C28="","",_xll.RSA_BAR_DATA("BAR_NAME",C28))</f>
        <v/>
      </c>
      <c r="E28" s="163" t="str">
        <f>IF(OR($C28="",E$7=""),"",_xll.RSA_BAR_FORCE_DATA("EXTREMUM",$D$3,$D$4,$C28,E$7,21))</f>
        <v/>
      </c>
      <c r="F28" s="163" t="str">
        <f>IF(OR($C28="",F$7=""),"",_xll.RSA_BAR_FORCE_DATA("EXTREMUM",$D$3,$D$4,$C28,F$7,21))</f>
        <v/>
      </c>
      <c r="G28" s="163" t="str">
        <f>IF(OR($C28="",G$7=""),"",_xll.RSA_BAR_FORCE_DATA("EXTREMUM",$D$3,$D$4,$C28,G$7,21))</f>
        <v/>
      </c>
      <c r="H28" s="163" t="str">
        <f>IF(OR($C28="",H$7=""),"",_xll.RSA_BAR_FORCE_DATA("EXTREMUM",$D$3,$D$4,$C28,H$7,21))</f>
        <v/>
      </c>
      <c r="I28" s="163" t="str">
        <f>IF(OR($C28="",I$7=""),"",_xll.RSA_BAR_FORCE_DATA("EXTREMUM",$D$3,$D$4,$C28,I$7,21))</f>
        <v/>
      </c>
      <c r="J28" s="163" t="str">
        <f>IF(OR($C28="",J$7=""),"",_xll.RSA_BAR_FORCE_DATA("EXTREMUM",$D$3,$D$4,$C28,J$7,21))</f>
        <v/>
      </c>
      <c r="K28" s="163" t="str">
        <f>IF(OR($C28="",K$7=""),"",_xll.RSA_BAR_FORCE_DATA("EXTREMUM",$D$3,$D$4,$C28,K$7,21))</f>
        <v/>
      </c>
      <c r="L28" s="163" t="str">
        <f>IF(OR($C28="",L$7=""),"",_xll.RSA_BAR_FORCE_DATA("EXTREMUM",$D$3,$D$4,$C28,L$7,21))</f>
        <v/>
      </c>
      <c r="M28" s="163" t="str">
        <f>IF(OR($C28="",M$7=""),"",_xll.RSA_BAR_FORCE_DATA("EXTREMUM",$D$3,$D$4,$C28,M$7,21))</f>
        <v/>
      </c>
      <c r="N28" s="163" t="str">
        <f>IF(OR($C28="",N$7=""),"",_xll.RSA_BAR_FORCE_DATA("EXTREMUM",$D$3,$D$4,$C28,N$7,21))</f>
        <v/>
      </c>
      <c r="O28" s="163" t="str">
        <f>IF(OR($C28="",O$7=""),"",_xll.RSA_BAR_FORCE_DATA("EXTREMUM",$D$3,$D$4,$C28,O$7,21))</f>
        <v/>
      </c>
      <c r="P28" s="163" t="str">
        <f>IF(OR($C28="",P$7=""),"",_xll.RSA_BAR_FORCE_DATA("EXTREMUM",$D$3,$D$4,$C28,P$7,21))</f>
        <v/>
      </c>
      <c r="Q28" s="163" t="str">
        <f>IF(OR($C28="",Q$7=""),"",_xll.RSA_BAR_FORCE_DATA("EXTREMUM",$D$3,$D$4,$C28,Q$7,21))</f>
        <v/>
      </c>
      <c r="R28" s="163" t="str">
        <f>IF(OR($C28="",R$7=""),"",_xll.RSA_BAR_FORCE_DATA("EXTREMUM",$D$3,$D$4,$C28,R$7,21))</f>
        <v/>
      </c>
      <c r="S28" s="163" t="str">
        <f>IF(OR($C28="",S$7=""),"",_xll.RSA_BAR_FORCE_DATA("EXTREMUM",$D$3,$D$4,$C28,S$7,21))</f>
        <v/>
      </c>
      <c r="T28" s="163" t="str">
        <f>IF(OR($C28="",T$7=""),"",_xll.RSA_BAR_FORCE_DATA("EXTREMUM",$D$3,$D$4,$C28,T$7,21))</f>
        <v/>
      </c>
      <c r="U28" s="163" t="str">
        <f>IF(OR($C28="",U$7=""),"",_xll.RSA_BAR_FORCE_DATA("EXTREMUM",$D$3,$D$4,$C28,U$7,21))</f>
        <v/>
      </c>
      <c r="V28" s="163" t="str">
        <f>IF(OR($C28="",V$7=""),"",_xll.RSA_BAR_FORCE_DATA("EXTREMUM",$D$3,$D$4,$C28,V$7,21))</f>
        <v/>
      </c>
      <c r="W28" s="163" t="str">
        <f>IF(OR($C28="",W$7=""),"",_xll.RSA_BAR_FORCE_DATA("EXTREMUM",$D$3,$D$4,$C28,W$7,21))</f>
        <v/>
      </c>
      <c r="X28" s="163" t="str">
        <f>IF(OR($C28="",X$7=""),"",_xll.RSA_BAR_FORCE_DATA("EXTREMUM",$D$3,$D$4,$C28,X$7,21))</f>
        <v/>
      </c>
      <c r="Y28" s="160">
        <f t="shared" si="0"/>
        <v>0</v>
      </c>
    </row>
    <row r="29" spans="3:25" x14ac:dyDescent="0.3">
      <c r="C29" s="41"/>
      <c r="D29" t="str">
        <f>IF(C29="","",_xll.RSA_BAR_DATA("BAR_NAME",C29))</f>
        <v/>
      </c>
      <c r="E29" s="163" t="str">
        <f>IF(OR($C29="",E$7=""),"",_xll.RSA_BAR_FORCE_DATA("EXTREMUM",$D$3,$D$4,$C29,E$7,21))</f>
        <v/>
      </c>
      <c r="F29" s="163" t="str">
        <f>IF(OR($C29="",F$7=""),"",_xll.RSA_BAR_FORCE_DATA("EXTREMUM",$D$3,$D$4,$C29,F$7,21))</f>
        <v/>
      </c>
      <c r="G29" s="163" t="str">
        <f>IF(OR($C29="",G$7=""),"",_xll.RSA_BAR_FORCE_DATA("EXTREMUM",$D$3,$D$4,$C29,G$7,21))</f>
        <v/>
      </c>
      <c r="H29" s="163" t="str">
        <f>IF(OR($C29="",H$7=""),"",_xll.RSA_BAR_FORCE_DATA("EXTREMUM",$D$3,$D$4,$C29,H$7,21))</f>
        <v/>
      </c>
      <c r="I29" s="163" t="str">
        <f>IF(OR($C29="",I$7=""),"",_xll.RSA_BAR_FORCE_DATA("EXTREMUM",$D$3,$D$4,$C29,I$7,21))</f>
        <v/>
      </c>
      <c r="J29" s="163" t="str">
        <f>IF(OR($C29="",J$7=""),"",_xll.RSA_BAR_FORCE_DATA("EXTREMUM",$D$3,$D$4,$C29,J$7,21))</f>
        <v/>
      </c>
      <c r="K29" s="163" t="str">
        <f>IF(OR($C29="",K$7=""),"",_xll.RSA_BAR_FORCE_DATA("EXTREMUM",$D$3,$D$4,$C29,K$7,21))</f>
        <v/>
      </c>
      <c r="L29" s="163" t="str">
        <f>IF(OR($C29="",L$7=""),"",_xll.RSA_BAR_FORCE_DATA("EXTREMUM",$D$3,$D$4,$C29,L$7,21))</f>
        <v/>
      </c>
      <c r="M29" s="163" t="str">
        <f>IF(OR($C29="",M$7=""),"",_xll.RSA_BAR_FORCE_DATA("EXTREMUM",$D$3,$D$4,$C29,M$7,21))</f>
        <v/>
      </c>
      <c r="N29" s="163" t="str">
        <f>IF(OR($C29="",N$7=""),"",_xll.RSA_BAR_FORCE_DATA("EXTREMUM",$D$3,$D$4,$C29,N$7,21))</f>
        <v/>
      </c>
      <c r="O29" s="163" t="str">
        <f>IF(OR($C29="",O$7=""),"",_xll.RSA_BAR_FORCE_DATA("EXTREMUM",$D$3,$D$4,$C29,O$7,21))</f>
        <v/>
      </c>
      <c r="P29" s="163" t="str">
        <f>IF(OR($C29="",P$7=""),"",_xll.RSA_BAR_FORCE_DATA("EXTREMUM",$D$3,$D$4,$C29,P$7,21))</f>
        <v/>
      </c>
      <c r="Q29" s="163" t="str">
        <f>IF(OR($C29="",Q$7=""),"",_xll.RSA_BAR_FORCE_DATA("EXTREMUM",$D$3,$D$4,$C29,Q$7,21))</f>
        <v/>
      </c>
      <c r="R29" s="163" t="str">
        <f>IF(OR($C29="",R$7=""),"",_xll.RSA_BAR_FORCE_DATA("EXTREMUM",$D$3,$D$4,$C29,R$7,21))</f>
        <v/>
      </c>
      <c r="S29" s="163" t="str">
        <f>IF(OR($C29="",S$7=""),"",_xll.RSA_BAR_FORCE_DATA("EXTREMUM",$D$3,$D$4,$C29,S$7,21))</f>
        <v/>
      </c>
      <c r="T29" s="163" t="str">
        <f>IF(OR($C29="",T$7=""),"",_xll.RSA_BAR_FORCE_DATA("EXTREMUM",$D$3,$D$4,$C29,T$7,21))</f>
        <v/>
      </c>
      <c r="U29" s="163" t="str">
        <f>IF(OR($C29="",U$7=""),"",_xll.RSA_BAR_FORCE_DATA("EXTREMUM",$D$3,$D$4,$C29,U$7,21))</f>
        <v/>
      </c>
      <c r="V29" s="163" t="str">
        <f>IF(OR($C29="",V$7=""),"",_xll.RSA_BAR_FORCE_DATA("EXTREMUM",$D$3,$D$4,$C29,V$7,21))</f>
        <v/>
      </c>
      <c r="W29" s="163" t="str">
        <f>IF(OR($C29="",W$7=""),"",_xll.RSA_BAR_FORCE_DATA("EXTREMUM",$D$3,$D$4,$C29,W$7,21))</f>
        <v/>
      </c>
      <c r="X29" s="163" t="str">
        <f>IF(OR($C29="",X$7=""),"",_xll.RSA_BAR_FORCE_DATA("EXTREMUM",$D$3,$D$4,$C29,X$7,21))</f>
        <v/>
      </c>
      <c r="Y29" s="160">
        <f t="shared" si="0"/>
        <v>0</v>
      </c>
    </row>
    <row r="30" spans="3:25" x14ac:dyDescent="0.3">
      <c r="C30" s="41"/>
      <c r="D30" t="str">
        <f>IF(C30="","",_xll.RSA_BAR_DATA("BAR_NAME",C30))</f>
        <v/>
      </c>
      <c r="E30" s="163" t="str">
        <f>IF(OR($C30="",E$7=""),"",_xll.RSA_BAR_FORCE_DATA("EXTREMUM",$D$3,$D$4,$C30,E$7,21))</f>
        <v/>
      </c>
      <c r="F30" s="163" t="str">
        <f>IF(OR($C30="",F$7=""),"",_xll.RSA_BAR_FORCE_DATA("EXTREMUM",$D$3,$D$4,$C30,F$7,21))</f>
        <v/>
      </c>
      <c r="G30" s="163" t="str">
        <f>IF(OR($C30="",G$7=""),"",_xll.RSA_BAR_FORCE_DATA("EXTREMUM",$D$3,$D$4,$C30,G$7,21))</f>
        <v/>
      </c>
      <c r="H30" s="163" t="str">
        <f>IF(OR($C30="",H$7=""),"",_xll.RSA_BAR_FORCE_DATA("EXTREMUM",$D$3,$D$4,$C30,H$7,21))</f>
        <v/>
      </c>
      <c r="I30" s="163" t="str">
        <f>IF(OR($C30="",I$7=""),"",_xll.RSA_BAR_FORCE_DATA("EXTREMUM",$D$3,$D$4,$C30,I$7,21))</f>
        <v/>
      </c>
      <c r="J30" s="163" t="str">
        <f>IF(OR($C30="",J$7=""),"",_xll.RSA_BAR_FORCE_DATA("EXTREMUM",$D$3,$D$4,$C30,J$7,21))</f>
        <v/>
      </c>
      <c r="K30" s="163" t="str">
        <f>IF(OR($C30="",K$7=""),"",_xll.RSA_BAR_FORCE_DATA("EXTREMUM",$D$3,$D$4,$C30,K$7,21))</f>
        <v/>
      </c>
      <c r="L30" s="163" t="str">
        <f>IF(OR($C30="",L$7=""),"",_xll.RSA_BAR_FORCE_DATA("EXTREMUM",$D$3,$D$4,$C30,L$7,21))</f>
        <v/>
      </c>
      <c r="M30" s="163" t="str">
        <f>IF(OR($C30="",M$7=""),"",_xll.RSA_BAR_FORCE_DATA("EXTREMUM",$D$3,$D$4,$C30,M$7,21))</f>
        <v/>
      </c>
      <c r="N30" s="163" t="str">
        <f>IF(OR($C30="",N$7=""),"",_xll.RSA_BAR_FORCE_DATA("EXTREMUM",$D$3,$D$4,$C30,N$7,21))</f>
        <v/>
      </c>
      <c r="O30" s="163" t="str">
        <f>IF(OR($C30="",O$7=""),"",_xll.RSA_BAR_FORCE_DATA("EXTREMUM",$D$3,$D$4,$C30,O$7,21))</f>
        <v/>
      </c>
      <c r="P30" s="163" t="str">
        <f>IF(OR($C30="",P$7=""),"",_xll.RSA_BAR_FORCE_DATA("EXTREMUM",$D$3,$D$4,$C30,P$7,21))</f>
        <v/>
      </c>
      <c r="Q30" s="163" t="str">
        <f>IF(OR($C30="",Q$7=""),"",_xll.RSA_BAR_FORCE_DATA("EXTREMUM",$D$3,$D$4,$C30,Q$7,21))</f>
        <v/>
      </c>
      <c r="R30" s="163" t="str">
        <f>IF(OR($C30="",R$7=""),"",_xll.RSA_BAR_FORCE_DATA("EXTREMUM",$D$3,$D$4,$C30,R$7,21))</f>
        <v/>
      </c>
      <c r="S30" s="163" t="str">
        <f>IF(OR($C30="",S$7=""),"",_xll.RSA_BAR_FORCE_DATA("EXTREMUM",$D$3,$D$4,$C30,S$7,21))</f>
        <v/>
      </c>
      <c r="T30" s="163" t="str">
        <f>IF(OR($C30="",T$7=""),"",_xll.RSA_BAR_FORCE_DATA("EXTREMUM",$D$3,$D$4,$C30,T$7,21))</f>
        <v/>
      </c>
      <c r="U30" s="163" t="str">
        <f>IF(OR($C30="",U$7=""),"",_xll.RSA_BAR_FORCE_DATA("EXTREMUM",$D$3,$D$4,$C30,U$7,21))</f>
        <v/>
      </c>
      <c r="V30" s="163" t="str">
        <f>IF(OR($C30="",V$7=""),"",_xll.RSA_BAR_FORCE_DATA("EXTREMUM",$D$3,$D$4,$C30,V$7,21))</f>
        <v/>
      </c>
      <c r="W30" s="163" t="str">
        <f>IF(OR($C30="",W$7=""),"",_xll.RSA_BAR_FORCE_DATA("EXTREMUM",$D$3,$D$4,$C30,W$7,21))</f>
        <v/>
      </c>
      <c r="X30" s="163" t="str">
        <f>IF(OR($C30="",X$7=""),"",_xll.RSA_BAR_FORCE_DATA("EXTREMUM",$D$3,$D$4,$C30,X$7,21))</f>
        <v/>
      </c>
      <c r="Y30" s="160">
        <f t="shared" si="0"/>
        <v>0</v>
      </c>
    </row>
    <row r="31" spans="3:25" x14ac:dyDescent="0.3">
      <c r="C31" s="41"/>
      <c r="D31" t="str">
        <f>IF(C31="","",_xll.RSA_BAR_DATA("BAR_NAME",C31))</f>
        <v/>
      </c>
      <c r="E31" s="163" t="str">
        <f>IF(OR($C31="",E$7=""),"",_xll.RSA_BAR_FORCE_DATA("EXTREMUM",$D$3,$D$4,$C31,E$7,21))</f>
        <v/>
      </c>
      <c r="F31" s="163" t="str">
        <f>IF(OR($C31="",F$7=""),"",_xll.RSA_BAR_FORCE_DATA("EXTREMUM",$D$3,$D$4,$C31,F$7,21))</f>
        <v/>
      </c>
      <c r="G31" s="163" t="str">
        <f>IF(OR($C31="",G$7=""),"",_xll.RSA_BAR_FORCE_DATA("EXTREMUM",$D$3,$D$4,$C31,G$7,21))</f>
        <v/>
      </c>
      <c r="H31" s="163" t="str">
        <f>IF(OR($C31="",H$7=""),"",_xll.RSA_BAR_FORCE_DATA("EXTREMUM",$D$3,$D$4,$C31,H$7,21))</f>
        <v/>
      </c>
      <c r="I31" s="163" t="str">
        <f>IF(OR($C31="",I$7=""),"",_xll.RSA_BAR_FORCE_DATA("EXTREMUM",$D$3,$D$4,$C31,I$7,21))</f>
        <v/>
      </c>
      <c r="J31" s="163" t="str">
        <f>IF(OR($C31="",J$7=""),"",_xll.RSA_BAR_FORCE_DATA("EXTREMUM",$D$3,$D$4,$C31,J$7,21))</f>
        <v/>
      </c>
      <c r="K31" s="163" t="str">
        <f>IF(OR($C31="",K$7=""),"",_xll.RSA_BAR_FORCE_DATA("EXTREMUM",$D$3,$D$4,$C31,K$7,21))</f>
        <v/>
      </c>
      <c r="L31" s="163" t="str">
        <f>IF(OR($C31="",L$7=""),"",_xll.RSA_BAR_FORCE_DATA("EXTREMUM",$D$3,$D$4,$C31,L$7,21))</f>
        <v/>
      </c>
      <c r="M31" s="163" t="str">
        <f>IF(OR($C31="",M$7=""),"",_xll.RSA_BAR_FORCE_DATA("EXTREMUM",$D$3,$D$4,$C31,M$7,21))</f>
        <v/>
      </c>
      <c r="N31" s="163" t="str">
        <f>IF(OR($C31="",N$7=""),"",_xll.RSA_BAR_FORCE_DATA("EXTREMUM",$D$3,$D$4,$C31,N$7,21))</f>
        <v/>
      </c>
      <c r="O31" s="163" t="str">
        <f>IF(OR($C31="",O$7=""),"",_xll.RSA_BAR_FORCE_DATA("EXTREMUM",$D$3,$D$4,$C31,O$7,21))</f>
        <v/>
      </c>
      <c r="P31" s="163" t="str">
        <f>IF(OR($C31="",P$7=""),"",_xll.RSA_BAR_FORCE_DATA("EXTREMUM",$D$3,$D$4,$C31,P$7,21))</f>
        <v/>
      </c>
      <c r="Q31" s="163" t="str">
        <f>IF(OR($C31="",Q$7=""),"",_xll.RSA_BAR_FORCE_DATA("EXTREMUM",$D$3,$D$4,$C31,Q$7,21))</f>
        <v/>
      </c>
      <c r="R31" s="163" t="str">
        <f>IF(OR($C31="",R$7=""),"",_xll.RSA_BAR_FORCE_DATA("EXTREMUM",$D$3,$D$4,$C31,R$7,21))</f>
        <v/>
      </c>
      <c r="S31" s="163" t="str">
        <f>IF(OR($C31="",S$7=""),"",_xll.RSA_BAR_FORCE_DATA("EXTREMUM",$D$3,$D$4,$C31,S$7,21))</f>
        <v/>
      </c>
      <c r="T31" s="163" t="str">
        <f>IF(OR($C31="",T$7=""),"",_xll.RSA_BAR_FORCE_DATA("EXTREMUM",$D$3,$D$4,$C31,T$7,21))</f>
        <v/>
      </c>
      <c r="U31" s="163" t="str">
        <f>IF(OR($C31="",U$7=""),"",_xll.RSA_BAR_FORCE_DATA("EXTREMUM",$D$3,$D$4,$C31,U$7,21))</f>
        <v/>
      </c>
      <c r="V31" s="163" t="str">
        <f>IF(OR($C31="",V$7=""),"",_xll.RSA_BAR_FORCE_DATA("EXTREMUM",$D$3,$D$4,$C31,V$7,21))</f>
        <v/>
      </c>
      <c r="W31" s="163" t="str">
        <f>IF(OR($C31="",W$7=""),"",_xll.RSA_BAR_FORCE_DATA("EXTREMUM",$D$3,$D$4,$C31,W$7,21))</f>
        <v/>
      </c>
      <c r="X31" s="163" t="str">
        <f>IF(OR($C31="",X$7=""),"",_xll.RSA_BAR_FORCE_DATA("EXTREMUM",$D$3,$D$4,$C31,X$7,21))</f>
        <v/>
      </c>
      <c r="Y31" s="160">
        <f t="shared" si="0"/>
        <v>0</v>
      </c>
    </row>
    <row r="32" spans="3:25" x14ac:dyDescent="0.3">
      <c r="C32" s="41"/>
      <c r="D32" t="str">
        <f>IF(C32="","",_xll.RSA_BAR_DATA("BAR_NAME",C32))</f>
        <v/>
      </c>
      <c r="E32" s="163" t="str">
        <f>IF(OR($C32="",E$7=""),"",_xll.RSA_BAR_FORCE_DATA("EXTREMUM",$D$3,$D$4,$C32,E$7,21))</f>
        <v/>
      </c>
      <c r="F32" s="163" t="str">
        <f>IF(OR($C32="",F$7=""),"",_xll.RSA_BAR_FORCE_DATA("EXTREMUM",$D$3,$D$4,$C32,F$7,21))</f>
        <v/>
      </c>
      <c r="G32" s="163" t="str">
        <f>IF(OR($C32="",G$7=""),"",_xll.RSA_BAR_FORCE_DATA("EXTREMUM",$D$3,$D$4,$C32,G$7,21))</f>
        <v/>
      </c>
      <c r="H32" s="163" t="str">
        <f>IF(OR($C32="",H$7=""),"",_xll.RSA_BAR_FORCE_DATA("EXTREMUM",$D$3,$D$4,$C32,H$7,21))</f>
        <v/>
      </c>
      <c r="I32" s="163" t="str">
        <f>IF(OR($C32="",I$7=""),"",_xll.RSA_BAR_FORCE_DATA("EXTREMUM",$D$3,$D$4,$C32,I$7,21))</f>
        <v/>
      </c>
      <c r="J32" s="163" t="str">
        <f>IF(OR($C32="",J$7=""),"",_xll.RSA_BAR_FORCE_DATA("EXTREMUM",$D$3,$D$4,$C32,J$7,21))</f>
        <v/>
      </c>
      <c r="K32" s="163" t="str">
        <f>IF(OR($C32="",K$7=""),"",_xll.RSA_BAR_FORCE_DATA("EXTREMUM",$D$3,$D$4,$C32,K$7,21))</f>
        <v/>
      </c>
      <c r="L32" s="163" t="str">
        <f>IF(OR($C32="",L$7=""),"",_xll.RSA_BAR_FORCE_DATA("EXTREMUM",$D$3,$D$4,$C32,L$7,21))</f>
        <v/>
      </c>
      <c r="M32" s="163" t="str">
        <f>IF(OR($C32="",M$7=""),"",_xll.RSA_BAR_FORCE_DATA("EXTREMUM",$D$3,$D$4,$C32,M$7,21))</f>
        <v/>
      </c>
      <c r="N32" s="163" t="str">
        <f>IF(OR($C32="",N$7=""),"",_xll.RSA_BAR_FORCE_DATA("EXTREMUM",$D$3,$D$4,$C32,N$7,21))</f>
        <v/>
      </c>
      <c r="O32" s="163" t="str">
        <f>IF(OR($C32="",O$7=""),"",_xll.RSA_BAR_FORCE_DATA("EXTREMUM",$D$3,$D$4,$C32,O$7,21))</f>
        <v/>
      </c>
      <c r="P32" s="163" t="str">
        <f>IF(OR($C32="",P$7=""),"",_xll.RSA_BAR_FORCE_DATA("EXTREMUM",$D$3,$D$4,$C32,P$7,21))</f>
        <v/>
      </c>
      <c r="Q32" s="163" t="str">
        <f>IF(OR($C32="",Q$7=""),"",_xll.RSA_BAR_FORCE_DATA("EXTREMUM",$D$3,$D$4,$C32,Q$7,21))</f>
        <v/>
      </c>
      <c r="R32" s="163" t="str">
        <f>IF(OR($C32="",R$7=""),"",_xll.RSA_BAR_FORCE_DATA("EXTREMUM",$D$3,$D$4,$C32,R$7,21))</f>
        <v/>
      </c>
      <c r="S32" s="163" t="str">
        <f>IF(OR($C32="",S$7=""),"",_xll.RSA_BAR_FORCE_DATA("EXTREMUM",$D$3,$D$4,$C32,S$7,21))</f>
        <v/>
      </c>
      <c r="T32" s="163" t="str">
        <f>IF(OR($C32="",T$7=""),"",_xll.RSA_BAR_FORCE_DATA("EXTREMUM",$D$3,$D$4,$C32,T$7,21))</f>
        <v/>
      </c>
      <c r="U32" s="163" t="str">
        <f>IF(OR($C32="",U$7=""),"",_xll.RSA_BAR_FORCE_DATA("EXTREMUM",$D$3,$D$4,$C32,U$7,21))</f>
        <v/>
      </c>
      <c r="V32" s="163" t="str">
        <f>IF(OR($C32="",V$7=""),"",_xll.RSA_BAR_FORCE_DATA("EXTREMUM",$D$3,$D$4,$C32,V$7,21))</f>
        <v/>
      </c>
      <c r="W32" s="163" t="str">
        <f>IF(OR($C32="",W$7=""),"",_xll.RSA_BAR_FORCE_DATA("EXTREMUM",$D$3,$D$4,$C32,W$7,21))</f>
        <v/>
      </c>
      <c r="X32" s="163" t="str">
        <f>IF(OR($C32="",X$7=""),"",_xll.RSA_BAR_FORCE_DATA("EXTREMUM",$D$3,$D$4,$C32,X$7,21))</f>
        <v/>
      </c>
      <c r="Y32" s="160">
        <f t="shared" si="0"/>
        <v>0</v>
      </c>
    </row>
    <row r="33" spans="3:25" x14ac:dyDescent="0.3">
      <c r="C33" s="41"/>
      <c r="D33" t="str">
        <f>IF(C33="","",_xll.RSA_BAR_DATA("BAR_NAME",C33))</f>
        <v/>
      </c>
      <c r="E33" s="163" t="str">
        <f>IF(OR($C33="",E$7=""),"",_xll.RSA_BAR_FORCE_DATA("EXTREMUM",$D$3,$D$4,$C33,E$7,21))</f>
        <v/>
      </c>
      <c r="F33" s="163" t="str">
        <f>IF(OR($C33="",F$7=""),"",_xll.RSA_BAR_FORCE_DATA("EXTREMUM",$D$3,$D$4,$C33,F$7,21))</f>
        <v/>
      </c>
      <c r="G33" s="163" t="str">
        <f>IF(OR($C33="",G$7=""),"",_xll.RSA_BAR_FORCE_DATA("EXTREMUM",$D$3,$D$4,$C33,G$7,21))</f>
        <v/>
      </c>
      <c r="H33" s="163" t="str">
        <f>IF(OR($C33="",H$7=""),"",_xll.RSA_BAR_FORCE_DATA("EXTREMUM",$D$3,$D$4,$C33,H$7,21))</f>
        <v/>
      </c>
      <c r="I33" s="163" t="str">
        <f>IF(OR($C33="",I$7=""),"",_xll.RSA_BAR_FORCE_DATA("EXTREMUM",$D$3,$D$4,$C33,I$7,21))</f>
        <v/>
      </c>
      <c r="J33" s="163" t="str">
        <f>IF(OR($C33="",J$7=""),"",_xll.RSA_BAR_FORCE_DATA("EXTREMUM",$D$3,$D$4,$C33,J$7,21))</f>
        <v/>
      </c>
      <c r="K33" s="163" t="str">
        <f>IF(OR($C33="",K$7=""),"",_xll.RSA_BAR_FORCE_DATA("EXTREMUM",$D$3,$D$4,$C33,K$7,21))</f>
        <v/>
      </c>
      <c r="L33" s="163" t="str">
        <f>IF(OR($C33="",L$7=""),"",_xll.RSA_BAR_FORCE_DATA("EXTREMUM",$D$3,$D$4,$C33,L$7,21))</f>
        <v/>
      </c>
      <c r="M33" s="163" t="str">
        <f>IF(OR($C33="",M$7=""),"",_xll.RSA_BAR_FORCE_DATA("EXTREMUM",$D$3,$D$4,$C33,M$7,21))</f>
        <v/>
      </c>
      <c r="N33" s="163" t="str">
        <f>IF(OR($C33="",N$7=""),"",_xll.RSA_BAR_FORCE_DATA("EXTREMUM",$D$3,$D$4,$C33,N$7,21))</f>
        <v/>
      </c>
      <c r="O33" s="163" t="str">
        <f>IF(OR($C33="",O$7=""),"",_xll.RSA_BAR_FORCE_DATA("EXTREMUM",$D$3,$D$4,$C33,O$7,21))</f>
        <v/>
      </c>
      <c r="P33" s="163" t="str">
        <f>IF(OR($C33="",P$7=""),"",_xll.RSA_BAR_FORCE_DATA("EXTREMUM",$D$3,$D$4,$C33,P$7,21))</f>
        <v/>
      </c>
      <c r="Q33" s="163" t="str">
        <f>IF(OR($C33="",Q$7=""),"",_xll.RSA_BAR_FORCE_DATA("EXTREMUM",$D$3,$D$4,$C33,Q$7,21))</f>
        <v/>
      </c>
      <c r="R33" s="163" t="str">
        <f>IF(OR($C33="",R$7=""),"",_xll.RSA_BAR_FORCE_DATA("EXTREMUM",$D$3,$D$4,$C33,R$7,21))</f>
        <v/>
      </c>
      <c r="S33" s="163" t="str">
        <f>IF(OR($C33="",S$7=""),"",_xll.RSA_BAR_FORCE_DATA("EXTREMUM",$D$3,$D$4,$C33,S$7,21))</f>
        <v/>
      </c>
      <c r="T33" s="163" t="str">
        <f>IF(OR($C33="",T$7=""),"",_xll.RSA_BAR_FORCE_DATA("EXTREMUM",$D$3,$D$4,$C33,T$7,21))</f>
        <v/>
      </c>
      <c r="U33" s="163" t="str">
        <f>IF(OR($C33="",U$7=""),"",_xll.RSA_BAR_FORCE_DATA("EXTREMUM",$D$3,$D$4,$C33,U$7,21))</f>
        <v/>
      </c>
      <c r="V33" s="163" t="str">
        <f>IF(OR($C33="",V$7=""),"",_xll.RSA_BAR_FORCE_DATA("EXTREMUM",$D$3,$D$4,$C33,V$7,21))</f>
        <v/>
      </c>
      <c r="W33" s="163" t="str">
        <f>IF(OR($C33="",W$7=""),"",_xll.RSA_BAR_FORCE_DATA("EXTREMUM",$D$3,$D$4,$C33,W$7,21))</f>
        <v/>
      </c>
      <c r="X33" s="163" t="str">
        <f>IF(OR($C33="",X$7=""),"",_xll.RSA_BAR_FORCE_DATA("EXTREMUM",$D$3,$D$4,$C33,X$7,21))</f>
        <v/>
      </c>
      <c r="Y33" s="160">
        <f t="shared" si="0"/>
        <v>0</v>
      </c>
    </row>
    <row r="34" spans="3:25" x14ac:dyDescent="0.3">
      <c r="C34" s="41"/>
      <c r="D34" t="str">
        <f>IF(C34="","",_xll.RSA_BAR_DATA("BAR_NAME",C34))</f>
        <v/>
      </c>
      <c r="E34" s="163" t="str">
        <f>IF(OR($C34="",E$7=""),"",_xll.RSA_BAR_FORCE_DATA("EXTREMUM",$D$3,$D$4,$C34,E$7,21))</f>
        <v/>
      </c>
      <c r="F34" s="163" t="str">
        <f>IF(OR($C34="",F$7=""),"",_xll.RSA_BAR_FORCE_DATA("EXTREMUM",$D$3,$D$4,$C34,F$7,21))</f>
        <v/>
      </c>
      <c r="G34" s="163" t="str">
        <f>IF(OR($C34="",G$7=""),"",_xll.RSA_BAR_FORCE_DATA("EXTREMUM",$D$3,$D$4,$C34,G$7,21))</f>
        <v/>
      </c>
      <c r="H34" s="163" t="str">
        <f>IF(OR($C34="",H$7=""),"",_xll.RSA_BAR_FORCE_DATA("EXTREMUM",$D$3,$D$4,$C34,H$7,21))</f>
        <v/>
      </c>
      <c r="I34" s="163" t="str">
        <f>IF(OR($C34="",I$7=""),"",_xll.RSA_BAR_FORCE_DATA("EXTREMUM",$D$3,$D$4,$C34,I$7,21))</f>
        <v/>
      </c>
      <c r="J34" s="163" t="str">
        <f>IF(OR($C34="",J$7=""),"",_xll.RSA_BAR_FORCE_DATA("EXTREMUM",$D$3,$D$4,$C34,J$7,21))</f>
        <v/>
      </c>
      <c r="K34" s="163" t="str">
        <f>IF(OR($C34="",K$7=""),"",_xll.RSA_BAR_FORCE_DATA("EXTREMUM",$D$3,$D$4,$C34,K$7,21))</f>
        <v/>
      </c>
      <c r="L34" s="163" t="str">
        <f>IF(OR($C34="",L$7=""),"",_xll.RSA_BAR_FORCE_DATA("EXTREMUM",$D$3,$D$4,$C34,L$7,21))</f>
        <v/>
      </c>
      <c r="M34" s="163" t="str">
        <f>IF(OR($C34="",M$7=""),"",_xll.RSA_BAR_FORCE_DATA("EXTREMUM",$D$3,$D$4,$C34,M$7,21))</f>
        <v/>
      </c>
      <c r="N34" s="163" t="str">
        <f>IF(OR($C34="",N$7=""),"",_xll.RSA_BAR_FORCE_DATA("EXTREMUM",$D$3,$D$4,$C34,N$7,21))</f>
        <v/>
      </c>
      <c r="O34" s="163" t="str">
        <f>IF(OR($C34="",O$7=""),"",_xll.RSA_BAR_FORCE_DATA("EXTREMUM",$D$3,$D$4,$C34,O$7,21))</f>
        <v/>
      </c>
      <c r="P34" s="163" t="str">
        <f>IF(OR($C34="",P$7=""),"",_xll.RSA_BAR_FORCE_DATA("EXTREMUM",$D$3,$D$4,$C34,P$7,21))</f>
        <v/>
      </c>
      <c r="Q34" s="163" t="str">
        <f>IF(OR($C34="",Q$7=""),"",_xll.RSA_BAR_FORCE_DATA("EXTREMUM",$D$3,$D$4,$C34,Q$7,21))</f>
        <v/>
      </c>
      <c r="R34" s="163" t="str">
        <f>IF(OR($C34="",R$7=""),"",_xll.RSA_BAR_FORCE_DATA("EXTREMUM",$D$3,$D$4,$C34,R$7,21))</f>
        <v/>
      </c>
      <c r="S34" s="163" t="str">
        <f>IF(OR($C34="",S$7=""),"",_xll.RSA_BAR_FORCE_DATA("EXTREMUM",$D$3,$D$4,$C34,S$7,21))</f>
        <v/>
      </c>
      <c r="T34" s="163" t="str">
        <f>IF(OR($C34="",T$7=""),"",_xll.RSA_BAR_FORCE_DATA("EXTREMUM",$D$3,$D$4,$C34,T$7,21))</f>
        <v/>
      </c>
      <c r="U34" s="163" t="str">
        <f>IF(OR($C34="",U$7=""),"",_xll.RSA_BAR_FORCE_DATA("EXTREMUM",$D$3,$D$4,$C34,U$7,21))</f>
        <v/>
      </c>
      <c r="V34" s="163" t="str">
        <f>IF(OR($C34="",V$7=""),"",_xll.RSA_BAR_FORCE_DATA("EXTREMUM",$D$3,$D$4,$C34,V$7,21))</f>
        <v/>
      </c>
      <c r="W34" s="163" t="str">
        <f>IF(OR($C34="",W$7=""),"",_xll.RSA_BAR_FORCE_DATA("EXTREMUM",$D$3,$D$4,$C34,W$7,21))</f>
        <v/>
      </c>
      <c r="X34" s="163" t="str">
        <f>IF(OR($C34="",X$7=""),"",_xll.RSA_BAR_FORCE_DATA("EXTREMUM",$D$3,$D$4,$C34,X$7,21))</f>
        <v/>
      </c>
      <c r="Y34" s="160">
        <f t="shared" si="0"/>
        <v>0</v>
      </c>
    </row>
    <row r="35" spans="3:25" x14ac:dyDescent="0.3">
      <c r="C35" s="41"/>
      <c r="D35" t="str">
        <f>IF(C35="","",_xll.RSA_BAR_DATA("BAR_NAME",C35))</f>
        <v/>
      </c>
      <c r="E35" s="163" t="str">
        <f>IF(OR($C35="",E$7=""),"",_xll.RSA_BAR_FORCE_DATA("EXTREMUM",$D$3,$D$4,$C35,E$7,21))</f>
        <v/>
      </c>
      <c r="F35" s="163" t="str">
        <f>IF(OR($C35="",F$7=""),"",_xll.RSA_BAR_FORCE_DATA("EXTREMUM",$D$3,$D$4,$C35,F$7,21))</f>
        <v/>
      </c>
      <c r="G35" s="163" t="str">
        <f>IF(OR($C35="",G$7=""),"",_xll.RSA_BAR_FORCE_DATA("EXTREMUM",$D$3,$D$4,$C35,G$7,21))</f>
        <v/>
      </c>
      <c r="H35" s="163" t="str">
        <f>IF(OR($C35="",H$7=""),"",_xll.RSA_BAR_FORCE_DATA("EXTREMUM",$D$3,$D$4,$C35,H$7,21))</f>
        <v/>
      </c>
      <c r="I35" s="163" t="str">
        <f>IF(OR($C35="",I$7=""),"",_xll.RSA_BAR_FORCE_DATA("EXTREMUM",$D$3,$D$4,$C35,I$7,21))</f>
        <v/>
      </c>
      <c r="J35" s="163" t="str">
        <f>IF(OR($C35="",J$7=""),"",_xll.RSA_BAR_FORCE_DATA("EXTREMUM",$D$3,$D$4,$C35,J$7,21))</f>
        <v/>
      </c>
      <c r="K35" s="163" t="str">
        <f>IF(OR($C35="",K$7=""),"",_xll.RSA_BAR_FORCE_DATA("EXTREMUM",$D$3,$D$4,$C35,K$7,21))</f>
        <v/>
      </c>
      <c r="L35" s="163" t="str">
        <f>IF(OR($C35="",L$7=""),"",_xll.RSA_BAR_FORCE_DATA("EXTREMUM",$D$3,$D$4,$C35,L$7,21))</f>
        <v/>
      </c>
      <c r="M35" s="163" t="str">
        <f>IF(OR($C35="",M$7=""),"",_xll.RSA_BAR_FORCE_DATA("EXTREMUM",$D$3,$D$4,$C35,M$7,21))</f>
        <v/>
      </c>
      <c r="N35" s="163" t="str">
        <f>IF(OR($C35="",N$7=""),"",_xll.RSA_BAR_FORCE_DATA("EXTREMUM",$D$3,$D$4,$C35,N$7,21))</f>
        <v/>
      </c>
      <c r="O35" s="163" t="str">
        <f>IF(OR($C35="",O$7=""),"",_xll.RSA_BAR_FORCE_DATA("EXTREMUM",$D$3,$D$4,$C35,O$7,21))</f>
        <v/>
      </c>
      <c r="P35" s="163" t="str">
        <f>IF(OR($C35="",P$7=""),"",_xll.RSA_BAR_FORCE_DATA("EXTREMUM",$D$3,$D$4,$C35,P$7,21))</f>
        <v/>
      </c>
      <c r="Q35" s="163" t="str">
        <f>IF(OR($C35="",Q$7=""),"",_xll.RSA_BAR_FORCE_DATA("EXTREMUM",$D$3,$D$4,$C35,Q$7,21))</f>
        <v/>
      </c>
      <c r="R35" s="163" t="str">
        <f>IF(OR($C35="",R$7=""),"",_xll.RSA_BAR_FORCE_DATA("EXTREMUM",$D$3,$D$4,$C35,R$7,21))</f>
        <v/>
      </c>
      <c r="S35" s="163" t="str">
        <f>IF(OR($C35="",S$7=""),"",_xll.RSA_BAR_FORCE_DATA("EXTREMUM",$D$3,$D$4,$C35,S$7,21))</f>
        <v/>
      </c>
      <c r="T35" s="163" t="str">
        <f>IF(OR($C35="",T$7=""),"",_xll.RSA_BAR_FORCE_DATA("EXTREMUM",$D$3,$D$4,$C35,T$7,21))</f>
        <v/>
      </c>
      <c r="U35" s="163" t="str">
        <f>IF(OR($C35="",U$7=""),"",_xll.RSA_BAR_FORCE_DATA("EXTREMUM",$D$3,$D$4,$C35,U$7,21))</f>
        <v/>
      </c>
      <c r="V35" s="163" t="str">
        <f>IF(OR($C35="",V$7=""),"",_xll.RSA_BAR_FORCE_DATA("EXTREMUM",$D$3,$D$4,$C35,V$7,21))</f>
        <v/>
      </c>
      <c r="W35" s="163" t="str">
        <f>IF(OR($C35="",W$7=""),"",_xll.RSA_BAR_FORCE_DATA("EXTREMUM",$D$3,$D$4,$C35,W$7,21))</f>
        <v/>
      </c>
      <c r="X35" s="163" t="str">
        <f>IF(OR($C35="",X$7=""),"",_xll.RSA_BAR_FORCE_DATA("EXTREMUM",$D$3,$D$4,$C35,X$7,21))</f>
        <v/>
      </c>
      <c r="Y35" s="160">
        <f t="shared" si="0"/>
        <v>0</v>
      </c>
    </row>
    <row r="36" spans="3:25" x14ac:dyDescent="0.3">
      <c r="C36" s="41"/>
      <c r="D36" t="str">
        <f>IF(C36="","",_xll.RSA_BAR_DATA("BAR_NAME",C36))</f>
        <v/>
      </c>
      <c r="E36" s="163" t="str">
        <f>IF(OR($C36="",E$7=""),"",_xll.RSA_BAR_FORCE_DATA("EXTREMUM",$D$3,$D$4,$C36,E$7,21))</f>
        <v/>
      </c>
      <c r="F36" s="163" t="str">
        <f>IF(OR($C36="",F$7=""),"",_xll.RSA_BAR_FORCE_DATA("EXTREMUM",$D$3,$D$4,$C36,F$7,21))</f>
        <v/>
      </c>
      <c r="G36" s="163" t="str">
        <f>IF(OR($C36="",G$7=""),"",_xll.RSA_BAR_FORCE_DATA("EXTREMUM",$D$3,$D$4,$C36,G$7,21))</f>
        <v/>
      </c>
      <c r="H36" s="163" t="str">
        <f>IF(OR($C36="",H$7=""),"",_xll.RSA_BAR_FORCE_DATA("EXTREMUM",$D$3,$D$4,$C36,H$7,21))</f>
        <v/>
      </c>
      <c r="I36" s="163" t="str">
        <f>IF(OR($C36="",I$7=""),"",_xll.RSA_BAR_FORCE_DATA("EXTREMUM",$D$3,$D$4,$C36,I$7,21))</f>
        <v/>
      </c>
      <c r="J36" s="163" t="str">
        <f>IF(OR($C36="",J$7=""),"",_xll.RSA_BAR_FORCE_DATA("EXTREMUM",$D$3,$D$4,$C36,J$7,21))</f>
        <v/>
      </c>
      <c r="K36" s="163" t="str">
        <f>IF(OR($C36="",K$7=""),"",_xll.RSA_BAR_FORCE_DATA("EXTREMUM",$D$3,$D$4,$C36,K$7,21))</f>
        <v/>
      </c>
      <c r="L36" s="163" t="str">
        <f>IF(OR($C36="",L$7=""),"",_xll.RSA_BAR_FORCE_DATA("EXTREMUM",$D$3,$D$4,$C36,L$7,21))</f>
        <v/>
      </c>
      <c r="M36" s="163" t="str">
        <f>IF(OR($C36="",M$7=""),"",_xll.RSA_BAR_FORCE_DATA("EXTREMUM",$D$3,$D$4,$C36,M$7,21))</f>
        <v/>
      </c>
      <c r="N36" s="163" t="str">
        <f>IF(OR($C36="",N$7=""),"",_xll.RSA_BAR_FORCE_DATA("EXTREMUM",$D$3,$D$4,$C36,N$7,21))</f>
        <v/>
      </c>
      <c r="O36" s="163" t="str">
        <f>IF(OR($C36="",O$7=""),"",_xll.RSA_BAR_FORCE_DATA("EXTREMUM",$D$3,$D$4,$C36,O$7,21))</f>
        <v/>
      </c>
      <c r="P36" s="163" t="str">
        <f>IF(OR($C36="",P$7=""),"",_xll.RSA_BAR_FORCE_DATA("EXTREMUM",$D$3,$D$4,$C36,P$7,21))</f>
        <v/>
      </c>
      <c r="Q36" s="163" t="str">
        <f>IF(OR($C36="",Q$7=""),"",_xll.RSA_BAR_FORCE_DATA("EXTREMUM",$D$3,$D$4,$C36,Q$7,21))</f>
        <v/>
      </c>
      <c r="R36" s="163" t="str">
        <f>IF(OR($C36="",R$7=""),"",_xll.RSA_BAR_FORCE_DATA("EXTREMUM",$D$3,$D$4,$C36,R$7,21))</f>
        <v/>
      </c>
      <c r="S36" s="163" t="str">
        <f>IF(OR($C36="",S$7=""),"",_xll.RSA_BAR_FORCE_DATA("EXTREMUM",$D$3,$D$4,$C36,S$7,21))</f>
        <v/>
      </c>
      <c r="T36" s="163" t="str">
        <f>IF(OR($C36="",T$7=""),"",_xll.RSA_BAR_FORCE_DATA("EXTREMUM",$D$3,$D$4,$C36,T$7,21))</f>
        <v/>
      </c>
      <c r="U36" s="163" t="str">
        <f>IF(OR($C36="",U$7=""),"",_xll.RSA_BAR_FORCE_DATA("EXTREMUM",$D$3,$D$4,$C36,U$7,21))</f>
        <v/>
      </c>
      <c r="V36" s="163" t="str">
        <f>IF(OR($C36="",V$7=""),"",_xll.RSA_BAR_FORCE_DATA("EXTREMUM",$D$3,$D$4,$C36,V$7,21))</f>
        <v/>
      </c>
      <c r="W36" s="163" t="str">
        <f>IF(OR($C36="",W$7=""),"",_xll.RSA_BAR_FORCE_DATA("EXTREMUM",$D$3,$D$4,$C36,W$7,21))</f>
        <v/>
      </c>
      <c r="X36" s="163" t="str">
        <f>IF(OR($C36="",X$7=""),"",_xll.RSA_BAR_FORCE_DATA("EXTREMUM",$D$3,$D$4,$C36,X$7,21))</f>
        <v/>
      </c>
      <c r="Y36" s="160">
        <f t="shared" si="0"/>
        <v>0</v>
      </c>
    </row>
    <row r="37" spans="3:25" x14ac:dyDescent="0.3">
      <c r="C37" s="41"/>
      <c r="D37" t="str">
        <f>IF(C37="","",_xll.RSA_BAR_DATA("BAR_NAME",C37))</f>
        <v/>
      </c>
      <c r="E37" s="163" t="str">
        <f>IF(OR($C37="",E$7=""),"",_xll.RSA_BAR_FORCE_DATA("EXTREMUM",$D$3,$D$4,$C37,E$7,21))</f>
        <v/>
      </c>
      <c r="F37" s="163" t="str">
        <f>IF(OR($C37="",F$7=""),"",_xll.RSA_BAR_FORCE_DATA("EXTREMUM",$D$3,$D$4,$C37,F$7,21))</f>
        <v/>
      </c>
      <c r="G37" s="163" t="str">
        <f>IF(OR($C37="",G$7=""),"",_xll.RSA_BAR_FORCE_DATA("EXTREMUM",$D$3,$D$4,$C37,G$7,21))</f>
        <v/>
      </c>
      <c r="H37" s="163" t="str">
        <f>IF(OR($C37="",H$7=""),"",_xll.RSA_BAR_FORCE_DATA("EXTREMUM",$D$3,$D$4,$C37,H$7,21))</f>
        <v/>
      </c>
      <c r="I37" s="163" t="str">
        <f>IF(OR($C37="",I$7=""),"",_xll.RSA_BAR_FORCE_DATA("EXTREMUM",$D$3,$D$4,$C37,I$7,21))</f>
        <v/>
      </c>
      <c r="J37" s="163" t="str">
        <f>IF(OR($C37="",J$7=""),"",_xll.RSA_BAR_FORCE_DATA("EXTREMUM",$D$3,$D$4,$C37,J$7,21))</f>
        <v/>
      </c>
      <c r="K37" s="163" t="str">
        <f>IF(OR($C37="",K$7=""),"",_xll.RSA_BAR_FORCE_DATA("EXTREMUM",$D$3,$D$4,$C37,K$7,21))</f>
        <v/>
      </c>
      <c r="L37" s="163" t="str">
        <f>IF(OR($C37="",L$7=""),"",_xll.RSA_BAR_FORCE_DATA("EXTREMUM",$D$3,$D$4,$C37,L$7,21))</f>
        <v/>
      </c>
      <c r="M37" s="163" t="str">
        <f>IF(OR($C37="",M$7=""),"",_xll.RSA_BAR_FORCE_DATA("EXTREMUM",$D$3,$D$4,$C37,M$7,21))</f>
        <v/>
      </c>
      <c r="N37" s="163" t="str">
        <f>IF(OR($C37="",N$7=""),"",_xll.RSA_BAR_FORCE_DATA("EXTREMUM",$D$3,$D$4,$C37,N$7,21))</f>
        <v/>
      </c>
      <c r="O37" s="163" t="str">
        <f>IF(OR($C37="",O$7=""),"",_xll.RSA_BAR_FORCE_DATA("EXTREMUM",$D$3,$D$4,$C37,O$7,21))</f>
        <v/>
      </c>
      <c r="P37" s="163" t="str">
        <f>IF(OR($C37="",P$7=""),"",_xll.RSA_BAR_FORCE_DATA("EXTREMUM",$D$3,$D$4,$C37,P$7,21))</f>
        <v/>
      </c>
      <c r="Q37" s="163" t="str">
        <f>IF(OR($C37="",Q$7=""),"",_xll.RSA_BAR_FORCE_DATA("EXTREMUM",$D$3,$D$4,$C37,Q$7,21))</f>
        <v/>
      </c>
      <c r="R37" s="163" t="str">
        <f>IF(OR($C37="",R$7=""),"",_xll.RSA_BAR_FORCE_DATA("EXTREMUM",$D$3,$D$4,$C37,R$7,21))</f>
        <v/>
      </c>
      <c r="S37" s="163" t="str">
        <f>IF(OR($C37="",S$7=""),"",_xll.RSA_BAR_FORCE_DATA("EXTREMUM",$D$3,$D$4,$C37,S$7,21))</f>
        <v/>
      </c>
      <c r="T37" s="163" t="str">
        <f>IF(OR($C37="",T$7=""),"",_xll.RSA_BAR_FORCE_DATA("EXTREMUM",$D$3,$D$4,$C37,T$7,21))</f>
        <v/>
      </c>
      <c r="U37" s="163" t="str">
        <f>IF(OR($C37="",U$7=""),"",_xll.RSA_BAR_FORCE_DATA("EXTREMUM",$D$3,$D$4,$C37,U$7,21))</f>
        <v/>
      </c>
      <c r="V37" s="163" t="str">
        <f>IF(OR($C37="",V$7=""),"",_xll.RSA_BAR_FORCE_DATA("EXTREMUM",$D$3,$D$4,$C37,V$7,21))</f>
        <v/>
      </c>
      <c r="W37" s="163" t="str">
        <f>IF(OR($C37="",W$7=""),"",_xll.RSA_BAR_FORCE_DATA("EXTREMUM",$D$3,$D$4,$C37,W$7,21))</f>
        <v/>
      </c>
      <c r="X37" s="163" t="str">
        <f>IF(OR($C37="",X$7=""),"",_xll.RSA_BAR_FORCE_DATA("EXTREMUM",$D$3,$D$4,$C37,X$7,21))</f>
        <v/>
      </c>
      <c r="Y37" s="160">
        <f t="shared" si="0"/>
        <v>0</v>
      </c>
    </row>
    <row r="38" spans="3:25" x14ac:dyDescent="0.3">
      <c r="C38" s="41"/>
      <c r="D38" t="str">
        <f>IF(C38="","",_xll.RSA_BAR_DATA("BAR_NAME",C38))</f>
        <v/>
      </c>
      <c r="E38" s="163" t="str">
        <f>IF(OR($C38="",E$7=""),"",_xll.RSA_BAR_FORCE_DATA("EXTREMUM",$D$3,$D$4,$C38,E$7,21))</f>
        <v/>
      </c>
      <c r="F38" s="163" t="str">
        <f>IF(OR($C38="",F$7=""),"",_xll.RSA_BAR_FORCE_DATA("EXTREMUM",$D$3,$D$4,$C38,F$7,21))</f>
        <v/>
      </c>
      <c r="G38" s="163" t="str">
        <f>IF(OR($C38="",G$7=""),"",_xll.RSA_BAR_FORCE_DATA("EXTREMUM",$D$3,$D$4,$C38,G$7,21))</f>
        <v/>
      </c>
      <c r="H38" s="163" t="str">
        <f>IF(OR($C38="",H$7=""),"",_xll.RSA_BAR_FORCE_DATA("EXTREMUM",$D$3,$D$4,$C38,H$7,21))</f>
        <v/>
      </c>
      <c r="I38" s="163" t="str">
        <f>IF(OR($C38="",I$7=""),"",_xll.RSA_BAR_FORCE_DATA("EXTREMUM",$D$3,$D$4,$C38,I$7,21))</f>
        <v/>
      </c>
      <c r="J38" s="163" t="str">
        <f>IF(OR($C38="",J$7=""),"",_xll.RSA_BAR_FORCE_DATA("EXTREMUM",$D$3,$D$4,$C38,J$7,21))</f>
        <v/>
      </c>
      <c r="K38" s="163" t="str">
        <f>IF(OR($C38="",K$7=""),"",_xll.RSA_BAR_FORCE_DATA("EXTREMUM",$D$3,$D$4,$C38,K$7,21))</f>
        <v/>
      </c>
      <c r="L38" s="163" t="str">
        <f>IF(OR($C38="",L$7=""),"",_xll.RSA_BAR_FORCE_DATA("EXTREMUM",$D$3,$D$4,$C38,L$7,21))</f>
        <v/>
      </c>
      <c r="M38" s="163" t="str">
        <f>IF(OR($C38="",M$7=""),"",_xll.RSA_BAR_FORCE_DATA("EXTREMUM",$D$3,$D$4,$C38,M$7,21))</f>
        <v/>
      </c>
      <c r="N38" s="163" t="str">
        <f>IF(OR($C38="",N$7=""),"",_xll.RSA_BAR_FORCE_DATA("EXTREMUM",$D$3,$D$4,$C38,N$7,21))</f>
        <v/>
      </c>
      <c r="O38" s="163" t="str">
        <f>IF(OR($C38="",O$7=""),"",_xll.RSA_BAR_FORCE_DATA("EXTREMUM",$D$3,$D$4,$C38,O$7,21))</f>
        <v/>
      </c>
      <c r="P38" s="163" t="str">
        <f>IF(OR($C38="",P$7=""),"",_xll.RSA_BAR_FORCE_DATA("EXTREMUM",$D$3,$D$4,$C38,P$7,21))</f>
        <v/>
      </c>
      <c r="Q38" s="163" t="str">
        <f>IF(OR($C38="",Q$7=""),"",_xll.RSA_BAR_FORCE_DATA("EXTREMUM",$D$3,$D$4,$C38,Q$7,21))</f>
        <v/>
      </c>
      <c r="R38" s="163" t="str">
        <f>IF(OR($C38="",R$7=""),"",_xll.RSA_BAR_FORCE_DATA("EXTREMUM",$D$3,$D$4,$C38,R$7,21))</f>
        <v/>
      </c>
      <c r="S38" s="163" t="str">
        <f>IF(OR($C38="",S$7=""),"",_xll.RSA_BAR_FORCE_DATA("EXTREMUM",$D$3,$D$4,$C38,S$7,21))</f>
        <v/>
      </c>
      <c r="T38" s="163" t="str">
        <f>IF(OR($C38="",T$7=""),"",_xll.RSA_BAR_FORCE_DATA("EXTREMUM",$D$3,$D$4,$C38,T$7,21))</f>
        <v/>
      </c>
      <c r="U38" s="163" t="str">
        <f>IF(OR($C38="",U$7=""),"",_xll.RSA_BAR_FORCE_DATA("EXTREMUM",$D$3,$D$4,$C38,U$7,21))</f>
        <v/>
      </c>
      <c r="V38" s="163" t="str">
        <f>IF(OR($C38="",V$7=""),"",_xll.RSA_BAR_FORCE_DATA("EXTREMUM",$D$3,$D$4,$C38,V$7,21))</f>
        <v/>
      </c>
      <c r="W38" s="163" t="str">
        <f>IF(OR($C38="",W$7=""),"",_xll.RSA_BAR_FORCE_DATA("EXTREMUM",$D$3,$D$4,$C38,W$7,21))</f>
        <v/>
      </c>
      <c r="X38" s="163" t="str">
        <f>IF(OR($C38="",X$7=""),"",_xll.RSA_BAR_FORCE_DATA("EXTREMUM",$D$3,$D$4,$C38,X$7,21))</f>
        <v/>
      </c>
      <c r="Y38" s="160">
        <f t="shared" si="0"/>
        <v>0</v>
      </c>
    </row>
    <row r="39" spans="3:25" x14ac:dyDescent="0.3">
      <c r="C39" s="41"/>
      <c r="D39" t="str">
        <f>IF(C39="","",_xll.RSA_BAR_DATA("BAR_NAME",C39))</f>
        <v/>
      </c>
      <c r="E39" s="163" t="str">
        <f>IF(OR($C39="",E$7=""),"",_xll.RSA_BAR_FORCE_DATA("EXTREMUM",$D$3,$D$4,$C39,E$7,21))</f>
        <v/>
      </c>
      <c r="F39" s="163" t="str">
        <f>IF(OR($C39="",F$7=""),"",_xll.RSA_BAR_FORCE_DATA("EXTREMUM",$D$3,$D$4,$C39,F$7,21))</f>
        <v/>
      </c>
      <c r="G39" s="163" t="str">
        <f>IF(OR($C39="",G$7=""),"",_xll.RSA_BAR_FORCE_DATA("EXTREMUM",$D$3,$D$4,$C39,G$7,21))</f>
        <v/>
      </c>
      <c r="H39" s="163" t="str">
        <f>IF(OR($C39="",H$7=""),"",_xll.RSA_BAR_FORCE_DATA("EXTREMUM",$D$3,$D$4,$C39,H$7,21))</f>
        <v/>
      </c>
      <c r="I39" s="163" t="str">
        <f>IF(OR($C39="",I$7=""),"",_xll.RSA_BAR_FORCE_DATA("EXTREMUM",$D$3,$D$4,$C39,I$7,21))</f>
        <v/>
      </c>
      <c r="J39" s="163" t="str">
        <f>IF(OR($C39="",J$7=""),"",_xll.RSA_BAR_FORCE_DATA("EXTREMUM",$D$3,$D$4,$C39,J$7,21))</f>
        <v/>
      </c>
      <c r="K39" s="163" t="str">
        <f>IF(OR($C39="",K$7=""),"",_xll.RSA_BAR_FORCE_DATA("EXTREMUM",$D$3,$D$4,$C39,K$7,21))</f>
        <v/>
      </c>
      <c r="L39" s="163" t="str">
        <f>IF(OR($C39="",L$7=""),"",_xll.RSA_BAR_FORCE_DATA("EXTREMUM",$D$3,$D$4,$C39,L$7,21))</f>
        <v/>
      </c>
      <c r="M39" s="163" t="str">
        <f>IF(OR($C39="",M$7=""),"",_xll.RSA_BAR_FORCE_DATA("EXTREMUM",$D$3,$D$4,$C39,M$7,21))</f>
        <v/>
      </c>
      <c r="N39" s="163" t="str">
        <f>IF(OR($C39="",N$7=""),"",_xll.RSA_BAR_FORCE_DATA("EXTREMUM",$D$3,$D$4,$C39,N$7,21))</f>
        <v/>
      </c>
      <c r="O39" s="163" t="str">
        <f>IF(OR($C39="",O$7=""),"",_xll.RSA_BAR_FORCE_DATA("EXTREMUM",$D$3,$D$4,$C39,O$7,21))</f>
        <v/>
      </c>
      <c r="P39" s="163" t="str">
        <f>IF(OR($C39="",P$7=""),"",_xll.RSA_BAR_FORCE_DATA("EXTREMUM",$D$3,$D$4,$C39,P$7,21))</f>
        <v/>
      </c>
      <c r="Q39" s="163" t="str">
        <f>IF(OR($C39="",Q$7=""),"",_xll.RSA_BAR_FORCE_DATA("EXTREMUM",$D$3,$D$4,$C39,Q$7,21))</f>
        <v/>
      </c>
      <c r="R39" s="163" t="str">
        <f>IF(OR($C39="",R$7=""),"",_xll.RSA_BAR_FORCE_DATA("EXTREMUM",$D$3,$D$4,$C39,R$7,21))</f>
        <v/>
      </c>
      <c r="S39" s="163" t="str">
        <f>IF(OR($C39="",S$7=""),"",_xll.RSA_BAR_FORCE_DATA("EXTREMUM",$D$3,$D$4,$C39,S$7,21))</f>
        <v/>
      </c>
      <c r="T39" s="163" t="str">
        <f>IF(OR($C39="",T$7=""),"",_xll.RSA_BAR_FORCE_DATA("EXTREMUM",$D$3,$D$4,$C39,T$7,21))</f>
        <v/>
      </c>
      <c r="U39" s="163" t="str">
        <f>IF(OR($C39="",U$7=""),"",_xll.RSA_BAR_FORCE_DATA("EXTREMUM",$D$3,$D$4,$C39,U$7,21))</f>
        <v/>
      </c>
      <c r="V39" s="163" t="str">
        <f>IF(OR($C39="",V$7=""),"",_xll.RSA_BAR_FORCE_DATA("EXTREMUM",$D$3,$D$4,$C39,V$7,21))</f>
        <v/>
      </c>
      <c r="W39" s="163" t="str">
        <f>IF(OR($C39="",W$7=""),"",_xll.RSA_BAR_FORCE_DATA("EXTREMUM",$D$3,$D$4,$C39,W$7,21))</f>
        <v/>
      </c>
      <c r="X39" s="163" t="str">
        <f>IF(OR($C39="",X$7=""),"",_xll.RSA_BAR_FORCE_DATA("EXTREMUM",$D$3,$D$4,$C39,X$7,21))</f>
        <v/>
      </c>
      <c r="Y39" s="160">
        <f t="shared" si="0"/>
        <v>0</v>
      </c>
    </row>
    <row r="40" spans="3:25" x14ac:dyDescent="0.3">
      <c r="C40" s="41"/>
      <c r="D40" t="str">
        <f>IF(C40="","",_xll.RSA_BAR_DATA("BAR_NAME",C40))</f>
        <v/>
      </c>
      <c r="E40" s="163" t="str">
        <f>IF(OR($C40="",E$7=""),"",_xll.RSA_BAR_FORCE_DATA("EXTREMUM",$D$3,$D$4,$C40,E$7,21))</f>
        <v/>
      </c>
      <c r="F40" s="163" t="str">
        <f>IF(OR($C40="",F$7=""),"",_xll.RSA_BAR_FORCE_DATA("EXTREMUM",$D$3,$D$4,$C40,F$7,21))</f>
        <v/>
      </c>
      <c r="G40" s="163" t="str">
        <f>IF(OR($C40="",G$7=""),"",_xll.RSA_BAR_FORCE_DATA("EXTREMUM",$D$3,$D$4,$C40,G$7,21))</f>
        <v/>
      </c>
      <c r="H40" s="163" t="str">
        <f>IF(OR($C40="",H$7=""),"",_xll.RSA_BAR_FORCE_DATA("EXTREMUM",$D$3,$D$4,$C40,H$7,21))</f>
        <v/>
      </c>
      <c r="I40" s="163" t="str">
        <f>IF(OR($C40="",I$7=""),"",_xll.RSA_BAR_FORCE_DATA("EXTREMUM",$D$3,$D$4,$C40,I$7,21))</f>
        <v/>
      </c>
      <c r="J40" s="163" t="str">
        <f>IF(OR($C40="",J$7=""),"",_xll.RSA_BAR_FORCE_DATA("EXTREMUM",$D$3,$D$4,$C40,J$7,21))</f>
        <v/>
      </c>
      <c r="K40" s="163" t="str">
        <f>IF(OR($C40="",K$7=""),"",_xll.RSA_BAR_FORCE_DATA("EXTREMUM",$D$3,$D$4,$C40,K$7,21))</f>
        <v/>
      </c>
      <c r="L40" s="163" t="str">
        <f>IF(OR($C40="",L$7=""),"",_xll.RSA_BAR_FORCE_DATA("EXTREMUM",$D$3,$D$4,$C40,L$7,21))</f>
        <v/>
      </c>
      <c r="M40" s="163" t="str">
        <f>IF(OR($C40="",M$7=""),"",_xll.RSA_BAR_FORCE_DATA("EXTREMUM",$D$3,$D$4,$C40,M$7,21))</f>
        <v/>
      </c>
      <c r="N40" s="163" t="str">
        <f>IF(OR($C40="",N$7=""),"",_xll.RSA_BAR_FORCE_DATA("EXTREMUM",$D$3,$D$4,$C40,N$7,21))</f>
        <v/>
      </c>
      <c r="O40" s="163" t="str">
        <f>IF(OR($C40="",O$7=""),"",_xll.RSA_BAR_FORCE_DATA("EXTREMUM",$D$3,$D$4,$C40,O$7,21))</f>
        <v/>
      </c>
      <c r="P40" s="163" t="str">
        <f>IF(OR($C40="",P$7=""),"",_xll.RSA_BAR_FORCE_DATA("EXTREMUM",$D$3,$D$4,$C40,P$7,21))</f>
        <v/>
      </c>
      <c r="Q40" s="163" t="str">
        <f>IF(OR($C40="",Q$7=""),"",_xll.RSA_BAR_FORCE_DATA("EXTREMUM",$D$3,$D$4,$C40,Q$7,21))</f>
        <v/>
      </c>
      <c r="R40" s="163" t="str">
        <f>IF(OR($C40="",R$7=""),"",_xll.RSA_BAR_FORCE_DATA("EXTREMUM",$D$3,$D$4,$C40,R$7,21))</f>
        <v/>
      </c>
      <c r="S40" s="163" t="str">
        <f>IF(OR($C40="",S$7=""),"",_xll.RSA_BAR_FORCE_DATA("EXTREMUM",$D$3,$D$4,$C40,S$7,21))</f>
        <v/>
      </c>
      <c r="T40" s="163" t="str">
        <f>IF(OR($C40="",T$7=""),"",_xll.RSA_BAR_FORCE_DATA("EXTREMUM",$D$3,$D$4,$C40,T$7,21))</f>
        <v/>
      </c>
      <c r="U40" s="163" t="str">
        <f>IF(OR($C40="",U$7=""),"",_xll.RSA_BAR_FORCE_DATA("EXTREMUM",$D$3,$D$4,$C40,U$7,21))</f>
        <v/>
      </c>
      <c r="V40" s="163" t="str">
        <f>IF(OR($C40="",V$7=""),"",_xll.RSA_BAR_FORCE_DATA("EXTREMUM",$D$3,$D$4,$C40,V$7,21))</f>
        <v/>
      </c>
      <c r="W40" s="163" t="str">
        <f>IF(OR($C40="",W$7=""),"",_xll.RSA_BAR_FORCE_DATA("EXTREMUM",$D$3,$D$4,$C40,W$7,21))</f>
        <v/>
      </c>
      <c r="X40" s="163" t="str">
        <f>IF(OR($C40="",X$7=""),"",_xll.RSA_BAR_FORCE_DATA("EXTREMUM",$D$3,$D$4,$C40,X$7,21))</f>
        <v/>
      </c>
      <c r="Y40" s="160">
        <f t="shared" si="0"/>
        <v>0</v>
      </c>
    </row>
    <row r="41" spans="3:25" x14ac:dyDescent="0.3">
      <c r="C41" s="41"/>
      <c r="D41" t="str">
        <f>IF(C41="","",_xll.RSA_BAR_DATA("BAR_NAME",C41))</f>
        <v/>
      </c>
      <c r="E41" s="163" t="str">
        <f>IF(OR($C41="",E$7=""),"",_xll.RSA_BAR_FORCE_DATA("EXTREMUM",$D$3,$D$4,$C41,E$7,21))</f>
        <v/>
      </c>
      <c r="F41" s="163" t="str">
        <f>IF(OR($C41="",F$7=""),"",_xll.RSA_BAR_FORCE_DATA("EXTREMUM",$D$3,$D$4,$C41,F$7,21))</f>
        <v/>
      </c>
      <c r="G41" s="163" t="str">
        <f>IF(OR($C41="",G$7=""),"",_xll.RSA_BAR_FORCE_DATA("EXTREMUM",$D$3,$D$4,$C41,G$7,21))</f>
        <v/>
      </c>
      <c r="H41" s="163" t="str">
        <f>IF(OR($C41="",H$7=""),"",_xll.RSA_BAR_FORCE_DATA("EXTREMUM",$D$3,$D$4,$C41,H$7,21))</f>
        <v/>
      </c>
      <c r="I41" s="163" t="str">
        <f>IF(OR($C41="",I$7=""),"",_xll.RSA_BAR_FORCE_DATA("EXTREMUM",$D$3,$D$4,$C41,I$7,21))</f>
        <v/>
      </c>
      <c r="J41" s="163" t="str">
        <f>IF(OR($C41="",J$7=""),"",_xll.RSA_BAR_FORCE_DATA("EXTREMUM",$D$3,$D$4,$C41,J$7,21))</f>
        <v/>
      </c>
      <c r="K41" s="163" t="str">
        <f>IF(OR($C41="",K$7=""),"",_xll.RSA_BAR_FORCE_DATA("EXTREMUM",$D$3,$D$4,$C41,K$7,21))</f>
        <v/>
      </c>
      <c r="L41" s="163" t="str">
        <f>IF(OR($C41="",L$7=""),"",_xll.RSA_BAR_FORCE_DATA("EXTREMUM",$D$3,$D$4,$C41,L$7,21))</f>
        <v/>
      </c>
      <c r="M41" s="163" t="str">
        <f>IF(OR($C41="",M$7=""),"",_xll.RSA_BAR_FORCE_DATA("EXTREMUM",$D$3,$D$4,$C41,M$7,21))</f>
        <v/>
      </c>
      <c r="N41" s="163" t="str">
        <f>IF(OR($C41="",N$7=""),"",_xll.RSA_BAR_FORCE_DATA("EXTREMUM",$D$3,$D$4,$C41,N$7,21))</f>
        <v/>
      </c>
      <c r="O41" s="163" t="str">
        <f>IF(OR($C41="",O$7=""),"",_xll.RSA_BAR_FORCE_DATA("EXTREMUM",$D$3,$D$4,$C41,O$7,21))</f>
        <v/>
      </c>
      <c r="P41" s="163" t="str">
        <f>IF(OR($C41="",P$7=""),"",_xll.RSA_BAR_FORCE_DATA("EXTREMUM",$D$3,$D$4,$C41,P$7,21))</f>
        <v/>
      </c>
      <c r="Q41" s="163" t="str">
        <f>IF(OR($C41="",Q$7=""),"",_xll.RSA_BAR_FORCE_DATA("EXTREMUM",$D$3,$D$4,$C41,Q$7,21))</f>
        <v/>
      </c>
      <c r="R41" s="163" t="str">
        <f>IF(OR($C41="",R$7=""),"",_xll.RSA_BAR_FORCE_DATA("EXTREMUM",$D$3,$D$4,$C41,R$7,21))</f>
        <v/>
      </c>
      <c r="S41" s="163" t="str">
        <f>IF(OR($C41="",S$7=""),"",_xll.RSA_BAR_FORCE_DATA("EXTREMUM",$D$3,$D$4,$C41,S$7,21))</f>
        <v/>
      </c>
      <c r="T41" s="163" t="str">
        <f>IF(OR($C41="",T$7=""),"",_xll.RSA_BAR_FORCE_DATA("EXTREMUM",$D$3,$D$4,$C41,T$7,21))</f>
        <v/>
      </c>
      <c r="U41" s="163" t="str">
        <f>IF(OR($C41="",U$7=""),"",_xll.RSA_BAR_FORCE_DATA("EXTREMUM",$D$3,$D$4,$C41,U$7,21))</f>
        <v/>
      </c>
      <c r="V41" s="163" t="str">
        <f>IF(OR($C41="",V$7=""),"",_xll.RSA_BAR_FORCE_DATA("EXTREMUM",$D$3,$D$4,$C41,V$7,21))</f>
        <v/>
      </c>
      <c r="W41" s="163" t="str">
        <f>IF(OR($C41="",W$7=""),"",_xll.RSA_BAR_FORCE_DATA("EXTREMUM",$D$3,$D$4,$C41,W$7,21))</f>
        <v/>
      </c>
      <c r="X41" s="163" t="str">
        <f>IF(OR($C41="",X$7=""),"",_xll.RSA_BAR_FORCE_DATA("EXTREMUM",$D$3,$D$4,$C41,X$7,21))</f>
        <v/>
      </c>
      <c r="Y41" s="160">
        <f t="shared" si="0"/>
        <v>0</v>
      </c>
    </row>
    <row r="42" spans="3:25" x14ac:dyDescent="0.3">
      <c r="C42" s="41"/>
      <c r="D42" t="str">
        <f>IF(C42="","",_xll.RSA_BAR_DATA("BAR_NAME",C42))</f>
        <v/>
      </c>
      <c r="E42" s="163" t="str">
        <f>IF(OR($C42="",E$7=""),"",_xll.RSA_BAR_FORCE_DATA("EXTREMUM",$D$3,$D$4,$C42,E$7,21))</f>
        <v/>
      </c>
      <c r="F42" s="163" t="str">
        <f>IF(OR($C42="",F$7=""),"",_xll.RSA_BAR_FORCE_DATA("EXTREMUM",$D$3,$D$4,$C42,F$7,21))</f>
        <v/>
      </c>
      <c r="G42" s="163" t="str">
        <f>IF(OR($C42="",G$7=""),"",_xll.RSA_BAR_FORCE_DATA("EXTREMUM",$D$3,$D$4,$C42,G$7,21))</f>
        <v/>
      </c>
      <c r="H42" s="163" t="str">
        <f>IF(OR($C42="",H$7=""),"",_xll.RSA_BAR_FORCE_DATA("EXTREMUM",$D$3,$D$4,$C42,H$7,21))</f>
        <v/>
      </c>
      <c r="I42" s="163" t="str">
        <f>IF(OR($C42="",I$7=""),"",_xll.RSA_BAR_FORCE_DATA("EXTREMUM",$D$3,$D$4,$C42,I$7,21))</f>
        <v/>
      </c>
      <c r="J42" s="163" t="str">
        <f>IF(OR($C42="",J$7=""),"",_xll.RSA_BAR_FORCE_DATA("EXTREMUM",$D$3,$D$4,$C42,J$7,21))</f>
        <v/>
      </c>
      <c r="K42" s="163" t="str">
        <f>IF(OR($C42="",K$7=""),"",_xll.RSA_BAR_FORCE_DATA("EXTREMUM",$D$3,$D$4,$C42,K$7,21))</f>
        <v/>
      </c>
      <c r="L42" s="163" t="str">
        <f>IF(OR($C42="",L$7=""),"",_xll.RSA_BAR_FORCE_DATA("EXTREMUM",$D$3,$D$4,$C42,L$7,21))</f>
        <v/>
      </c>
      <c r="M42" s="163" t="str">
        <f>IF(OR($C42="",M$7=""),"",_xll.RSA_BAR_FORCE_DATA("EXTREMUM",$D$3,$D$4,$C42,M$7,21))</f>
        <v/>
      </c>
      <c r="N42" s="163" t="str">
        <f>IF(OR($C42="",N$7=""),"",_xll.RSA_BAR_FORCE_DATA("EXTREMUM",$D$3,$D$4,$C42,N$7,21))</f>
        <v/>
      </c>
      <c r="O42" s="163" t="str">
        <f>IF(OR($C42="",O$7=""),"",_xll.RSA_BAR_FORCE_DATA("EXTREMUM",$D$3,$D$4,$C42,O$7,21))</f>
        <v/>
      </c>
      <c r="P42" s="163" t="str">
        <f>IF(OR($C42="",P$7=""),"",_xll.RSA_BAR_FORCE_DATA("EXTREMUM",$D$3,$D$4,$C42,P$7,21))</f>
        <v/>
      </c>
      <c r="Q42" s="163" t="str">
        <f>IF(OR($C42="",Q$7=""),"",_xll.RSA_BAR_FORCE_DATA("EXTREMUM",$D$3,$D$4,$C42,Q$7,21))</f>
        <v/>
      </c>
      <c r="R42" s="163" t="str">
        <f>IF(OR($C42="",R$7=""),"",_xll.RSA_BAR_FORCE_DATA("EXTREMUM",$D$3,$D$4,$C42,R$7,21))</f>
        <v/>
      </c>
      <c r="S42" s="163" t="str">
        <f>IF(OR($C42="",S$7=""),"",_xll.RSA_BAR_FORCE_DATA("EXTREMUM",$D$3,$D$4,$C42,S$7,21))</f>
        <v/>
      </c>
      <c r="T42" s="163" t="str">
        <f>IF(OR($C42="",T$7=""),"",_xll.RSA_BAR_FORCE_DATA("EXTREMUM",$D$3,$D$4,$C42,T$7,21))</f>
        <v/>
      </c>
      <c r="U42" s="163" t="str">
        <f>IF(OR($C42="",U$7=""),"",_xll.RSA_BAR_FORCE_DATA("EXTREMUM",$D$3,$D$4,$C42,U$7,21))</f>
        <v/>
      </c>
      <c r="V42" s="163" t="str">
        <f>IF(OR($C42="",V$7=""),"",_xll.RSA_BAR_FORCE_DATA("EXTREMUM",$D$3,$D$4,$C42,V$7,21))</f>
        <v/>
      </c>
      <c r="W42" s="163" t="str">
        <f>IF(OR($C42="",W$7=""),"",_xll.RSA_BAR_FORCE_DATA("EXTREMUM",$D$3,$D$4,$C42,W$7,21))</f>
        <v/>
      </c>
      <c r="X42" s="163" t="str">
        <f>IF(OR($C42="",X$7=""),"",_xll.RSA_BAR_FORCE_DATA("EXTREMUM",$D$3,$D$4,$C42,X$7,21))</f>
        <v/>
      </c>
      <c r="Y42" s="160">
        <f t="shared" si="0"/>
        <v>0</v>
      </c>
    </row>
    <row r="43" spans="3:25" x14ac:dyDescent="0.3">
      <c r="C43" s="41"/>
      <c r="D43" t="str">
        <f>IF(C43="","",_xll.RSA_BAR_DATA("BAR_NAME",C43))</f>
        <v/>
      </c>
      <c r="E43" s="163" t="str">
        <f>IF(OR($C43="",E$7=""),"",_xll.RSA_BAR_FORCE_DATA("EXTREMUM",$D$3,$D$4,$C43,E$7,21))</f>
        <v/>
      </c>
      <c r="F43" s="163" t="str">
        <f>IF(OR($C43="",F$7=""),"",_xll.RSA_BAR_FORCE_DATA("EXTREMUM",$D$3,$D$4,$C43,F$7,21))</f>
        <v/>
      </c>
      <c r="G43" s="163" t="str">
        <f>IF(OR($C43="",G$7=""),"",_xll.RSA_BAR_FORCE_DATA("EXTREMUM",$D$3,$D$4,$C43,G$7,21))</f>
        <v/>
      </c>
      <c r="H43" s="163" t="str">
        <f>IF(OR($C43="",H$7=""),"",_xll.RSA_BAR_FORCE_DATA("EXTREMUM",$D$3,$D$4,$C43,H$7,21))</f>
        <v/>
      </c>
      <c r="I43" s="163" t="str">
        <f>IF(OR($C43="",I$7=""),"",_xll.RSA_BAR_FORCE_DATA("EXTREMUM",$D$3,$D$4,$C43,I$7,21))</f>
        <v/>
      </c>
      <c r="J43" s="163" t="str">
        <f>IF(OR($C43="",J$7=""),"",_xll.RSA_BAR_FORCE_DATA("EXTREMUM",$D$3,$D$4,$C43,J$7,21))</f>
        <v/>
      </c>
      <c r="K43" s="163" t="str">
        <f>IF(OR($C43="",K$7=""),"",_xll.RSA_BAR_FORCE_DATA("EXTREMUM",$D$3,$D$4,$C43,K$7,21))</f>
        <v/>
      </c>
      <c r="L43" s="163" t="str">
        <f>IF(OR($C43="",L$7=""),"",_xll.RSA_BAR_FORCE_DATA("EXTREMUM",$D$3,$D$4,$C43,L$7,21))</f>
        <v/>
      </c>
      <c r="M43" s="163" t="str">
        <f>IF(OR($C43="",M$7=""),"",_xll.RSA_BAR_FORCE_DATA("EXTREMUM",$D$3,$D$4,$C43,M$7,21))</f>
        <v/>
      </c>
      <c r="N43" s="163" t="str">
        <f>IF(OR($C43="",N$7=""),"",_xll.RSA_BAR_FORCE_DATA("EXTREMUM",$D$3,$D$4,$C43,N$7,21))</f>
        <v/>
      </c>
      <c r="O43" s="163" t="str">
        <f>IF(OR($C43="",O$7=""),"",_xll.RSA_BAR_FORCE_DATA("EXTREMUM",$D$3,$D$4,$C43,O$7,21))</f>
        <v/>
      </c>
      <c r="P43" s="163" t="str">
        <f>IF(OR($C43="",P$7=""),"",_xll.RSA_BAR_FORCE_DATA("EXTREMUM",$D$3,$D$4,$C43,P$7,21))</f>
        <v/>
      </c>
      <c r="Q43" s="163" t="str">
        <f>IF(OR($C43="",Q$7=""),"",_xll.RSA_BAR_FORCE_DATA("EXTREMUM",$D$3,$D$4,$C43,Q$7,21))</f>
        <v/>
      </c>
      <c r="R43" s="163" t="str">
        <f>IF(OR($C43="",R$7=""),"",_xll.RSA_BAR_FORCE_DATA("EXTREMUM",$D$3,$D$4,$C43,R$7,21))</f>
        <v/>
      </c>
      <c r="S43" s="163" t="str">
        <f>IF(OR($C43="",S$7=""),"",_xll.RSA_BAR_FORCE_DATA("EXTREMUM",$D$3,$D$4,$C43,S$7,21))</f>
        <v/>
      </c>
      <c r="T43" s="163" t="str">
        <f>IF(OR($C43="",T$7=""),"",_xll.RSA_BAR_FORCE_DATA("EXTREMUM",$D$3,$D$4,$C43,T$7,21))</f>
        <v/>
      </c>
      <c r="U43" s="163" t="str">
        <f>IF(OR($C43="",U$7=""),"",_xll.RSA_BAR_FORCE_DATA("EXTREMUM",$D$3,$D$4,$C43,U$7,21))</f>
        <v/>
      </c>
      <c r="V43" s="163" t="str">
        <f>IF(OR($C43="",V$7=""),"",_xll.RSA_BAR_FORCE_DATA("EXTREMUM",$D$3,$D$4,$C43,V$7,21))</f>
        <v/>
      </c>
      <c r="W43" s="163" t="str">
        <f>IF(OR($C43="",W$7=""),"",_xll.RSA_BAR_FORCE_DATA("EXTREMUM",$D$3,$D$4,$C43,W$7,21))</f>
        <v/>
      </c>
      <c r="X43" s="163" t="str">
        <f>IF(OR($C43="",X$7=""),"",_xll.RSA_BAR_FORCE_DATA("EXTREMUM",$D$3,$D$4,$C43,X$7,21))</f>
        <v/>
      </c>
      <c r="Y43" s="160">
        <f t="shared" si="0"/>
        <v>0</v>
      </c>
    </row>
    <row r="44" spans="3:25" x14ac:dyDescent="0.3">
      <c r="C44" s="41"/>
      <c r="D44" t="str">
        <f>IF(C44="","",_xll.RSA_BAR_DATA("BAR_NAME",C44))</f>
        <v/>
      </c>
      <c r="E44" s="163" t="str">
        <f>IF(OR($C44="",E$7=""),"",_xll.RSA_BAR_FORCE_DATA("EXTREMUM",$D$3,$D$4,$C44,E$7,21))</f>
        <v/>
      </c>
      <c r="F44" s="163" t="str">
        <f>IF(OR($C44="",F$7=""),"",_xll.RSA_BAR_FORCE_DATA("EXTREMUM",$D$3,$D$4,$C44,F$7,21))</f>
        <v/>
      </c>
      <c r="G44" s="163" t="str">
        <f>IF(OR($C44="",G$7=""),"",_xll.RSA_BAR_FORCE_DATA("EXTREMUM",$D$3,$D$4,$C44,G$7,21))</f>
        <v/>
      </c>
      <c r="H44" s="163" t="str">
        <f>IF(OR($C44="",H$7=""),"",_xll.RSA_BAR_FORCE_DATA("EXTREMUM",$D$3,$D$4,$C44,H$7,21))</f>
        <v/>
      </c>
      <c r="I44" s="163" t="str">
        <f>IF(OR($C44="",I$7=""),"",_xll.RSA_BAR_FORCE_DATA("EXTREMUM",$D$3,$D$4,$C44,I$7,21))</f>
        <v/>
      </c>
      <c r="J44" s="163" t="str">
        <f>IF(OR($C44="",J$7=""),"",_xll.RSA_BAR_FORCE_DATA("EXTREMUM",$D$3,$D$4,$C44,J$7,21))</f>
        <v/>
      </c>
      <c r="K44" s="163" t="str">
        <f>IF(OR($C44="",K$7=""),"",_xll.RSA_BAR_FORCE_DATA("EXTREMUM",$D$3,$D$4,$C44,K$7,21))</f>
        <v/>
      </c>
      <c r="L44" s="163" t="str">
        <f>IF(OR($C44="",L$7=""),"",_xll.RSA_BAR_FORCE_DATA("EXTREMUM",$D$3,$D$4,$C44,L$7,21))</f>
        <v/>
      </c>
      <c r="M44" s="163" t="str">
        <f>IF(OR($C44="",M$7=""),"",_xll.RSA_BAR_FORCE_DATA("EXTREMUM",$D$3,$D$4,$C44,M$7,21))</f>
        <v/>
      </c>
      <c r="N44" s="163" t="str">
        <f>IF(OR($C44="",N$7=""),"",_xll.RSA_BAR_FORCE_DATA("EXTREMUM",$D$3,$D$4,$C44,N$7,21))</f>
        <v/>
      </c>
      <c r="O44" s="163" t="str">
        <f>IF(OR($C44="",O$7=""),"",_xll.RSA_BAR_FORCE_DATA("EXTREMUM",$D$3,$D$4,$C44,O$7,21))</f>
        <v/>
      </c>
      <c r="P44" s="163" t="str">
        <f>IF(OR($C44="",P$7=""),"",_xll.RSA_BAR_FORCE_DATA("EXTREMUM",$D$3,$D$4,$C44,P$7,21))</f>
        <v/>
      </c>
      <c r="Q44" s="163" t="str">
        <f>IF(OR($C44="",Q$7=""),"",_xll.RSA_BAR_FORCE_DATA("EXTREMUM",$D$3,$D$4,$C44,Q$7,21))</f>
        <v/>
      </c>
      <c r="R44" s="163" t="str">
        <f>IF(OR($C44="",R$7=""),"",_xll.RSA_BAR_FORCE_DATA("EXTREMUM",$D$3,$D$4,$C44,R$7,21))</f>
        <v/>
      </c>
      <c r="S44" s="163" t="str">
        <f>IF(OR($C44="",S$7=""),"",_xll.RSA_BAR_FORCE_DATA("EXTREMUM",$D$3,$D$4,$C44,S$7,21))</f>
        <v/>
      </c>
      <c r="T44" s="163" t="str">
        <f>IF(OR($C44="",T$7=""),"",_xll.RSA_BAR_FORCE_DATA("EXTREMUM",$D$3,$D$4,$C44,T$7,21))</f>
        <v/>
      </c>
      <c r="U44" s="163" t="str">
        <f>IF(OR($C44="",U$7=""),"",_xll.RSA_BAR_FORCE_DATA("EXTREMUM",$D$3,$D$4,$C44,U$7,21))</f>
        <v/>
      </c>
      <c r="V44" s="163" t="str">
        <f>IF(OR($C44="",V$7=""),"",_xll.RSA_BAR_FORCE_DATA("EXTREMUM",$D$3,$D$4,$C44,V$7,21))</f>
        <v/>
      </c>
      <c r="W44" s="163" t="str">
        <f>IF(OR($C44="",W$7=""),"",_xll.RSA_BAR_FORCE_DATA("EXTREMUM",$D$3,$D$4,$C44,W$7,21))</f>
        <v/>
      </c>
      <c r="X44" s="163" t="str">
        <f>IF(OR($C44="",X$7=""),"",_xll.RSA_BAR_FORCE_DATA("EXTREMUM",$D$3,$D$4,$C44,X$7,21))</f>
        <v/>
      </c>
      <c r="Y44" s="160">
        <f t="shared" si="0"/>
        <v>0</v>
      </c>
    </row>
    <row r="45" spans="3:25" x14ac:dyDescent="0.3">
      <c r="C45" s="41"/>
      <c r="D45" t="str">
        <f>IF(C45="","",_xll.RSA_BAR_DATA("BAR_NAME",C45))</f>
        <v/>
      </c>
      <c r="E45" s="163" t="str">
        <f>IF(OR($C45="",E$7=""),"",_xll.RSA_BAR_FORCE_DATA("EXTREMUM",$D$3,$D$4,$C45,E$7,21))</f>
        <v/>
      </c>
      <c r="F45" s="163" t="str">
        <f>IF(OR($C45="",F$7=""),"",_xll.RSA_BAR_FORCE_DATA("EXTREMUM",$D$3,$D$4,$C45,F$7,21))</f>
        <v/>
      </c>
      <c r="G45" s="163" t="str">
        <f>IF(OR($C45="",G$7=""),"",_xll.RSA_BAR_FORCE_DATA("EXTREMUM",$D$3,$D$4,$C45,G$7,21))</f>
        <v/>
      </c>
      <c r="H45" s="163" t="str">
        <f>IF(OR($C45="",H$7=""),"",_xll.RSA_BAR_FORCE_DATA("EXTREMUM",$D$3,$D$4,$C45,H$7,21))</f>
        <v/>
      </c>
      <c r="I45" s="163" t="str">
        <f>IF(OR($C45="",I$7=""),"",_xll.RSA_BAR_FORCE_DATA("EXTREMUM",$D$3,$D$4,$C45,I$7,21))</f>
        <v/>
      </c>
      <c r="J45" s="163" t="str">
        <f>IF(OR($C45="",J$7=""),"",_xll.RSA_BAR_FORCE_DATA("EXTREMUM",$D$3,$D$4,$C45,J$7,21))</f>
        <v/>
      </c>
      <c r="K45" s="163" t="str">
        <f>IF(OR($C45="",K$7=""),"",_xll.RSA_BAR_FORCE_DATA("EXTREMUM",$D$3,$D$4,$C45,K$7,21))</f>
        <v/>
      </c>
      <c r="L45" s="163" t="str">
        <f>IF(OR($C45="",L$7=""),"",_xll.RSA_BAR_FORCE_DATA("EXTREMUM",$D$3,$D$4,$C45,L$7,21))</f>
        <v/>
      </c>
      <c r="M45" s="163" t="str">
        <f>IF(OR($C45="",M$7=""),"",_xll.RSA_BAR_FORCE_DATA("EXTREMUM",$D$3,$D$4,$C45,M$7,21))</f>
        <v/>
      </c>
      <c r="N45" s="163" t="str">
        <f>IF(OR($C45="",N$7=""),"",_xll.RSA_BAR_FORCE_DATA("EXTREMUM",$D$3,$D$4,$C45,N$7,21))</f>
        <v/>
      </c>
      <c r="O45" s="163" t="str">
        <f>IF(OR($C45="",O$7=""),"",_xll.RSA_BAR_FORCE_DATA("EXTREMUM",$D$3,$D$4,$C45,O$7,21))</f>
        <v/>
      </c>
      <c r="P45" s="163" t="str">
        <f>IF(OR($C45="",P$7=""),"",_xll.RSA_BAR_FORCE_DATA("EXTREMUM",$D$3,$D$4,$C45,P$7,21))</f>
        <v/>
      </c>
      <c r="Q45" s="163" t="str">
        <f>IF(OR($C45="",Q$7=""),"",_xll.RSA_BAR_FORCE_DATA("EXTREMUM",$D$3,$D$4,$C45,Q$7,21))</f>
        <v/>
      </c>
      <c r="R45" s="163" t="str">
        <f>IF(OR($C45="",R$7=""),"",_xll.RSA_BAR_FORCE_DATA("EXTREMUM",$D$3,$D$4,$C45,R$7,21))</f>
        <v/>
      </c>
      <c r="S45" s="163" t="str">
        <f>IF(OR($C45="",S$7=""),"",_xll.RSA_BAR_FORCE_DATA("EXTREMUM",$D$3,$D$4,$C45,S$7,21))</f>
        <v/>
      </c>
      <c r="T45" s="163" t="str">
        <f>IF(OR($C45="",T$7=""),"",_xll.RSA_BAR_FORCE_DATA("EXTREMUM",$D$3,$D$4,$C45,T$7,21))</f>
        <v/>
      </c>
      <c r="U45" s="163" t="str">
        <f>IF(OR($C45="",U$7=""),"",_xll.RSA_BAR_FORCE_DATA("EXTREMUM",$D$3,$D$4,$C45,U$7,21))</f>
        <v/>
      </c>
      <c r="V45" s="163" t="str">
        <f>IF(OR($C45="",V$7=""),"",_xll.RSA_BAR_FORCE_DATA("EXTREMUM",$D$3,$D$4,$C45,V$7,21))</f>
        <v/>
      </c>
      <c r="W45" s="163" t="str">
        <f>IF(OR($C45="",W$7=""),"",_xll.RSA_BAR_FORCE_DATA("EXTREMUM",$D$3,$D$4,$C45,W$7,21))</f>
        <v/>
      </c>
      <c r="X45" s="163" t="str">
        <f>IF(OR($C45="",X$7=""),"",_xll.RSA_BAR_FORCE_DATA("EXTREMUM",$D$3,$D$4,$C45,X$7,21))</f>
        <v/>
      </c>
      <c r="Y45" s="160">
        <f t="shared" si="0"/>
        <v>0</v>
      </c>
    </row>
    <row r="46" spans="3:25" x14ac:dyDescent="0.3">
      <c r="C46" s="41"/>
      <c r="D46" t="str">
        <f>IF(C46="","",_xll.RSA_BAR_DATA("BAR_NAME",C46))</f>
        <v/>
      </c>
      <c r="E46" s="163" t="str">
        <f>IF(OR($C46="",E$7=""),"",_xll.RSA_BAR_FORCE_DATA("EXTREMUM",$D$3,$D$4,$C46,E$7,21))</f>
        <v/>
      </c>
      <c r="F46" s="163" t="str">
        <f>IF(OR($C46="",F$7=""),"",_xll.RSA_BAR_FORCE_DATA("EXTREMUM",$D$3,$D$4,$C46,F$7,21))</f>
        <v/>
      </c>
      <c r="G46" s="163" t="str">
        <f>IF(OR($C46="",G$7=""),"",_xll.RSA_BAR_FORCE_DATA("EXTREMUM",$D$3,$D$4,$C46,G$7,21))</f>
        <v/>
      </c>
      <c r="H46" s="163" t="str">
        <f>IF(OR($C46="",H$7=""),"",_xll.RSA_BAR_FORCE_DATA("EXTREMUM",$D$3,$D$4,$C46,H$7,21))</f>
        <v/>
      </c>
      <c r="I46" s="163" t="str">
        <f>IF(OR($C46="",I$7=""),"",_xll.RSA_BAR_FORCE_DATA("EXTREMUM",$D$3,$D$4,$C46,I$7,21))</f>
        <v/>
      </c>
      <c r="J46" s="163" t="str">
        <f>IF(OR($C46="",J$7=""),"",_xll.RSA_BAR_FORCE_DATA("EXTREMUM",$D$3,$D$4,$C46,J$7,21))</f>
        <v/>
      </c>
      <c r="K46" s="163" t="str">
        <f>IF(OR($C46="",K$7=""),"",_xll.RSA_BAR_FORCE_DATA("EXTREMUM",$D$3,$D$4,$C46,K$7,21))</f>
        <v/>
      </c>
      <c r="L46" s="163" t="str">
        <f>IF(OR($C46="",L$7=""),"",_xll.RSA_BAR_FORCE_DATA("EXTREMUM",$D$3,$D$4,$C46,L$7,21))</f>
        <v/>
      </c>
      <c r="M46" s="163" t="str">
        <f>IF(OR($C46="",M$7=""),"",_xll.RSA_BAR_FORCE_DATA("EXTREMUM",$D$3,$D$4,$C46,M$7,21))</f>
        <v/>
      </c>
      <c r="N46" s="163" t="str">
        <f>IF(OR($C46="",N$7=""),"",_xll.RSA_BAR_FORCE_DATA("EXTREMUM",$D$3,$D$4,$C46,N$7,21))</f>
        <v/>
      </c>
      <c r="O46" s="163" t="str">
        <f>IF(OR($C46="",O$7=""),"",_xll.RSA_BAR_FORCE_DATA("EXTREMUM",$D$3,$D$4,$C46,O$7,21))</f>
        <v/>
      </c>
      <c r="P46" s="163" t="str">
        <f>IF(OR($C46="",P$7=""),"",_xll.RSA_BAR_FORCE_DATA("EXTREMUM",$D$3,$D$4,$C46,P$7,21))</f>
        <v/>
      </c>
      <c r="Q46" s="163" t="str">
        <f>IF(OR($C46="",Q$7=""),"",_xll.RSA_BAR_FORCE_DATA("EXTREMUM",$D$3,$D$4,$C46,Q$7,21))</f>
        <v/>
      </c>
      <c r="R46" s="163" t="str">
        <f>IF(OR($C46="",R$7=""),"",_xll.RSA_BAR_FORCE_DATA("EXTREMUM",$D$3,$D$4,$C46,R$7,21))</f>
        <v/>
      </c>
      <c r="S46" s="163" t="str">
        <f>IF(OR($C46="",S$7=""),"",_xll.RSA_BAR_FORCE_DATA("EXTREMUM",$D$3,$D$4,$C46,S$7,21))</f>
        <v/>
      </c>
      <c r="T46" s="163" t="str">
        <f>IF(OR($C46="",T$7=""),"",_xll.RSA_BAR_FORCE_DATA("EXTREMUM",$D$3,$D$4,$C46,T$7,21))</f>
        <v/>
      </c>
      <c r="U46" s="163" t="str">
        <f>IF(OR($C46="",U$7=""),"",_xll.RSA_BAR_FORCE_DATA("EXTREMUM",$D$3,$D$4,$C46,U$7,21))</f>
        <v/>
      </c>
      <c r="V46" s="163" t="str">
        <f>IF(OR($C46="",V$7=""),"",_xll.RSA_BAR_FORCE_DATA("EXTREMUM",$D$3,$D$4,$C46,V$7,21))</f>
        <v/>
      </c>
      <c r="W46" s="163" t="str">
        <f>IF(OR($C46="",W$7=""),"",_xll.RSA_BAR_FORCE_DATA("EXTREMUM",$D$3,$D$4,$C46,W$7,21))</f>
        <v/>
      </c>
      <c r="X46" s="163" t="str">
        <f>IF(OR($C46="",X$7=""),"",_xll.RSA_BAR_FORCE_DATA("EXTREMUM",$D$3,$D$4,$C46,X$7,21))</f>
        <v/>
      </c>
      <c r="Y46" s="160">
        <f t="shared" si="0"/>
        <v>0</v>
      </c>
    </row>
    <row r="47" spans="3:25" x14ac:dyDescent="0.3">
      <c r="C47" s="41"/>
      <c r="D47" t="str">
        <f>IF(C47="","",_xll.RSA_BAR_DATA("BAR_NAME",C47))</f>
        <v/>
      </c>
      <c r="E47" s="163" t="str">
        <f>IF(OR($C47="",E$7=""),"",_xll.RSA_BAR_FORCE_DATA("EXTREMUM",$D$3,$D$4,$C47,E$7,21))</f>
        <v/>
      </c>
      <c r="F47" s="163" t="str">
        <f>IF(OR($C47="",F$7=""),"",_xll.RSA_BAR_FORCE_DATA("EXTREMUM",$D$3,$D$4,$C47,F$7,21))</f>
        <v/>
      </c>
      <c r="G47" s="163" t="str">
        <f>IF(OR($C47="",G$7=""),"",_xll.RSA_BAR_FORCE_DATA("EXTREMUM",$D$3,$D$4,$C47,G$7,21))</f>
        <v/>
      </c>
      <c r="H47" s="163" t="str">
        <f>IF(OR($C47="",H$7=""),"",_xll.RSA_BAR_FORCE_DATA("EXTREMUM",$D$3,$D$4,$C47,H$7,21))</f>
        <v/>
      </c>
      <c r="I47" s="163" t="str">
        <f>IF(OR($C47="",I$7=""),"",_xll.RSA_BAR_FORCE_DATA("EXTREMUM",$D$3,$D$4,$C47,I$7,21))</f>
        <v/>
      </c>
      <c r="J47" s="163" t="str">
        <f>IF(OR($C47="",J$7=""),"",_xll.RSA_BAR_FORCE_DATA("EXTREMUM",$D$3,$D$4,$C47,J$7,21))</f>
        <v/>
      </c>
      <c r="K47" s="163" t="str">
        <f>IF(OR($C47="",K$7=""),"",_xll.RSA_BAR_FORCE_DATA("EXTREMUM",$D$3,$D$4,$C47,K$7,21))</f>
        <v/>
      </c>
      <c r="L47" s="163" t="str">
        <f>IF(OR($C47="",L$7=""),"",_xll.RSA_BAR_FORCE_DATA("EXTREMUM",$D$3,$D$4,$C47,L$7,21))</f>
        <v/>
      </c>
      <c r="M47" s="163" t="str">
        <f>IF(OR($C47="",M$7=""),"",_xll.RSA_BAR_FORCE_DATA("EXTREMUM",$D$3,$D$4,$C47,M$7,21))</f>
        <v/>
      </c>
      <c r="N47" s="163" t="str">
        <f>IF(OR($C47="",N$7=""),"",_xll.RSA_BAR_FORCE_DATA("EXTREMUM",$D$3,$D$4,$C47,N$7,21))</f>
        <v/>
      </c>
      <c r="O47" s="163" t="str">
        <f>IF(OR($C47="",O$7=""),"",_xll.RSA_BAR_FORCE_DATA("EXTREMUM",$D$3,$D$4,$C47,O$7,21))</f>
        <v/>
      </c>
      <c r="P47" s="163" t="str">
        <f>IF(OR($C47="",P$7=""),"",_xll.RSA_BAR_FORCE_DATA("EXTREMUM",$D$3,$D$4,$C47,P$7,21))</f>
        <v/>
      </c>
      <c r="Q47" s="163" t="str">
        <f>IF(OR($C47="",Q$7=""),"",_xll.RSA_BAR_FORCE_DATA("EXTREMUM",$D$3,$D$4,$C47,Q$7,21))</f>
        <v/>
      </c>
      <c r="R47" s="163" t="str">
        <f>IF(OR($C47="",R$7=""),"",_xll.RSA_BAR_FORCE_DATA("EXTREMUM",$D$3,$D$4,$C47,R$7,21))</f>
        <v/>
      </c>
      <c r="S47" s="163" t="str">
        <f>IF(OR($C47="",S$7=""),"",_xll.RSA_BAR_FORCE_DATA("EXTREMUM",$D$3,$D$4,$C47,S$7,21))</f>
        <v/>
      </c>
      <c r="T47" s="163" t="str">
        <f>IF(OR($C47="",T$7=""),"",_xll.RSA_BAR_FORCE_DATA("EXTREMUM",$D$3,$D$4,$C47,T$7,21))</f>
        <v/>
      </c>
      <c r="U47" s="163" t="str">
        <f>IF(OR($C47="",U$7=""),"",_xll.RSA_BAR_FORCE_DATA("EXTREMUM",$D$3,$D$4,$C47,U$7,21))</f>
        <v/>
      </c>
      <c r="V47" s="163" t="str">
        <f>IF(OR($C47="",V$7=""),"",_xll.RSA_BAR_FORCE_DATA("EXTREMUM",$D$3,$D$4,$C47,V$7,21))</f>
        <v/>
      </c>
      <c r="W47" s="163" t="str">
        <f>IF(OR($C47="",W$7=""),"",_xll.RSA_BAR_FORCE_DATA("EXTREMUM",$D$3,$D$4,$C47,W$7,21))</f>
        <v/>
      </c>
      <c r="X47" s="163" t="str">
        <f>IF(OR($C47="",X$7=""),"",_xll.RSA_BAR_FORCE_DATA("EXTREMUM",$D$3,$D$4,$C47,X$7,21))</f>
        <v/>
      </c>
      <c r="Y47" s="160">
        <f t="shared" si="0"/>
        <v>0</v>
      </c>
    </row>
    <row r="48" spans="3:25" x14ac:dyDescent="0.3">
      <c r="C48" s="41"/>
      <c r="D48" t="str">
        <f>IF(C48="","",_xll.RSA_BAR_DATA("BAR_NAME",C48))</f>
        <v/>
      </c>
      <c r="E48" s="163" t="str">
        <f>IF(OR($C48="",E$7=""),"",_xll.RSA_BAR_FORCE_DATA("EXTREMUM",$D$3,$D$4,$C48,E$7,21))</f>
        <v/>
      </c>
      <c r="F48" s="163" t="str">
        <f>IF(OR($C48="",F$7=""),"",_xll.RSA_BAR_FORCE_DATA("EXTREMUM",$D$3,$D$4,$C48,F$7,21))</f>
        <v/>
      </c>
      <c r="G48" s="163" t="str">
        <f>IF(OR($C48="",G$7=""),"",_xll.RSA_BAR_FORCE_DATA("EXTREMUM",$D$3,$D$4,$C48,G$7,21))</f>
        <v/>
      </c>
      <c r="H48" s="163" t="str">
        <f>IF(OR($C48="",H$7=""),"",_xll.RSA_BAR_FORCE_DATA("EXTREMUM",$D$3,$D$4,$C48,H$7,21))</f>
        <v/>
      </c>
      <c r="I48" s="163" t="str">
        <f>IF(OR($C48="",I$7=""),"",_xll.RSA_BAR_FORCE_DATA("EXTREMUM",$D$3,$D$4,$C48,I$7,21))</f>
        <v/>
      </c>
      <c r="J48" s="163" t="str">
        <f>IF(OR($C48="",J$7=""),"",_xll.RSA_BAR_FORCE_DATA("EXTREMUM",$D$3,$D$4,$C48,J$7,21))</f>
        <v/>
      </c>
      <c r="K48" s="163" t="str">
        <f>IF(OR($C48="",K$7=""),"",_xll.RSA_BAR_FORCE_DATA("EXTREMUM",$D$3,$D$4,$C48,K$7,21))</f>
        <v/>
      </c>
      <c r="L48" s="163" t="str">
        <f>IF(OR($C48="",L$7=""),"",_xll.RSA_BAR_FORCE_DATA("EXTREMUM",$D$3,$D$4,$C48,L$7,21))</f>
        <v/>
      </c>
      <c r="M48" s="163" t="str">
        <f>IF(OR($C48="",M$7=""),"",_xll.RSA_BAR_FORCE_DATA("EXTREMUM",$D$3,$D$4,$C48,M$7,21))</f>
        <v/>
      </c>
      <c r="N48" s="163" t="str">
        <f>IF(OR($C48="",N$7=""),"",_xll.RSA_BAR_FORCE_DATA("EXTREMUM",$D$3,$D$4,$C48,N$7,21))</f>
        <v/>
      </c>
      <c r="O48" s="163" t="str">
        <f>IF(OR($C48="",O$7=""),"",_xll.RSA_BAR_FORCE_DATA("EXTREMUM",$D$3,$D$4,$C48,O$7,21))</f>
        <v/>
      </c>
      <c r="P48" s="163" t="str">
        <f>IF(OR($C48="",P$7=""),"",_xll.RSA_BAR_FORCE_DATA("EXTREMUM",$D$3,$D$4,$C48,P$7,21))</f>
        <v/>
      </c>
      <c r="Q48" s="163" t="str">
        <f>IF(OR($C48="",Q$7=""),"",_xll.RSA_BAR_FORCE_DATA("EXTREMUM",$D$3,$D$4,$C48,Q$7,21))</f>
        <v/>
      </c>
      <c r="R48" s="163" t="str">
        <f>IF(OR($C48="",R$7=""),"",_xll.RSA_BAR_FORCE_DATA("EXTREMUM",$D$3,$D$4,$C48,R$7,21))</f>
        <v/>
      </c>
      <c r="S48" s="163" t="str">
        <f>IF(OR($C48="",S$7=""),"",_xll.RSA_BAR_FORCE_DATA("EXTREMUM",$D$3,$D$4,$C48,S$7,21))</f>
        <v/>
      </c>
      <c r="T48" s="163" t="str">
        <f>IF(OR($C48="",T$7=""),"",_xll.RSA_BAR_FORCE_DATA("EXTREMUM",$D$3,$D$4,$C48,T$7,21))</f>
        <v/>
      </c>
      <c r="U48" s="163" t="str">
        <f>IF(OR($C48="",U$7=""),"",_xll.RSA_BAR_FORCE_DATA("EXTREMUM",$D$3,$D$4,$C48,U$7,21))</f>
        <v/>
      </c>
      <c r="V48" s="163" t="str">
        <f>IF(OR($C48="",V$7=""),"",_xll.RSA_BAR_FORCE_DATA("EXTREMUM",$D$3,$D$4,$C48,V$7,21))</f>
        <v/>
      </c>
      <c r="W48" s="163" t="str">
        <f>IF(OR($C48="",W$7=""),"",_xll.RSA_BAR_FORCE_DATA("EXTREMUM",$D$3,$D$4,$C48,W$7,21))</f>
        <v/>
      </c>
      <c r="X48" s="163" t="str">
        <f>IF(OR($C48="",X$7=""),"",_xll.RSA_BAR_FORCE_DATA("EXTREMUM",$D$3,$D$4,$C48,X$7,21))</f>
        <v/>
      </c>
      <c r="Y48" s="160">
        <f t="shared" si="0"/>
        <v>0</v>
      </c>
    </row>
    <row r="49" spans="3:25" x14ac:dyDescent="0.3">
      <c r="C49" s="41"/>
      <c r="D49" t="str">
        <f>IF(C49="","",_xll.RSA_BAR_DATA("BAR_NAME",C49))</f>
        <v/>
      </c>
      <c r="E49" s="163" t="str">
        <f>IF(OR($C49="",E$7=""),"",_xll.RSA_BAR_FORCE_DATA("EXTREMUM",$D$3,$D$4,$C49,E$7,21))</f>
        <v/>
      </c>
      <c r="F49" s="163" t="str">
        <f>IF(OR($C49="",F$7=""),"",_xll.RSA_BAR_FORCE_DATA("EXTREMUM",$D$3,$D$4,$C49,F$7,21))</f>
        <v/>
      </c>
      <c r="G49" s="163" t="str">
        <f>IF(OR($C49="",G$7=""),"",_xll.RSA_BAR_FORCE_DATA("EXTREMUM",$D$3,$D$4,$C49,G$7,21))</f>
        <v/>
      </c>
      <c r="H49" s="163" t="str">
        <f>IF(OR($C49="",H$7=""),"",_xll.RSA_BAR_FORCE_DATA("EXTREMUM",$D$3,$D$4,$C49,H$7,21))</f>
        <v/>
      </c>
      <c r="I49" s="163" t="str">
        <f>IF(OR($C49="",I$7=""),"",_xll.RSA_BAR_FORCE_DATA("EXTREMUM",$D$3,$D$4,$C49,I$7,21))</f>
        <v/>
      </c>
      <c r="J49" s="163" t="str">
        <f>IF(OR($C49="",J$7=""),"",_xll.RSA_BAR_FORCE_DATA("EXTREMUM",$D$3,$D$4,$C49,J$7,21))</f>
        <v/>
      </c>
      <c r="K49" s="163" t="str">
        <f>IF(OR($C49="",K$7=""),"",_xll.RSA_BAR_FORCE_DATA("EXTREMUM",$D$3,$D$4,$C49,K$7,21))</f>
        <v/>
      </c>
      <c r="L49" s="163" t="str">
        <f>IF(OR($C49="",L$7=""),"",_xll.RSA_BAR_FORCE_DATA("EXTREMUM",$D$3,$D$4,$C49,L$7,21))</f>
        <v/>
      </c>
      <c r="M49" s="163" t="str">
        <f>IF(OR($C49="",M$7=""),"",_xll.RSA_BAR_FORCE_DATA("EXTREMUM",$D$3,$D$4,$C49,M$7,21))</f>
        <v/>
      </c>
      <c r="N49" s="163" t="str">
        <f>IF(OR($C49="",N$7=""),"",_xll.RSA_BAR_FORCE_DATA("EXTREMUM",$D$3,$D$4,$C49,N$7,21))</f>
        <v/>
      </c>
      <c r="O49" s="163" t="str">
        <f>IF(OR($C49="",O$7=""),"",_xll.RSA_BAR_FORCE_DATA("EXTREMUM",$D$3,$D$4,$C49,O$7,21))</f>
        <v/>
      </c>
      <c r="P49" s="163" t="str">
        <f>IF(OR($C49="",P$7=""),"",_xll.RSA_BAR_FORCE_DATA("EXTREMUM",$D$3,$D$4,$C49,P$7,21))</f>
        <v/>
      </c>
      <c r="Q49" s="163" t="str">
        <f>IF(OR($C49="",Q$7=""),"",_xll.RSA_BAR_FORCE_DATA("EXTREMUM",$D$3,$D$4,$C49,Q$7,21))</f>
        <v/>
      </c>
      <c r="R49" s="163" t="str">
        <f>IF(OR($C49="",R$7=""),"",_xll.RSA_BAR_FORCE_DATA("EXTREMUM",$D$3,$D$4,$C49,R$7,21))</f>
        <v/>
      </c>
      <c r="S49" s="163" t="str">
        <f>IF(OR($C49="",S$7=""),"",_xll.RSA_BAR_FORCE_DATA("EXTREMUM",$D$3,$D$4,$C49,S$7,21))</f>
        <v/>
      </c>
      <c r="T49" s="163" t="str">
        <f>IF(OR($C49="",T$7=""),"",_xll.RSA_BAR_FORCE_DATA("EXTREMUM",$D$3,$D$4,$C49,T$7,21))</f>
        <v/>
      </c>
      <c r="U49" s="163" t="str">
        <f>IF(OR($C49="",U$7=""),"",_xll.RSA_BAR_FORCE_DATA("EXTREMUM",$D$3,$D$4,$C49,U$7,21))</f>
        <v/>
      </c>
      <c r="V49" s="163" t="str">
        <f>IF(OR($C49="",V$7=""),"",_xll.RSA_BAR_FORCE_DATA("EXTREMUM",$D$3,$D$4,$C49,V$7,21))</f>
        <v/>
      </c>
      <c r="W49" s="163" t="str">
        <f>IF(OR($C49="",W$7=""),"",_xll.RSA_BAR_FORCE_DATA("EXTREMUM",$D$3,$D$4,$C49,W$7,21))</f>
        <v/>
      </c>
      <c r="X49" s="163" t="str">
        <f>IF(OR($C49="",X$7=""),"",_xll.RSA_BAR_FORCE_DATA("EXTREMUM",$D$3,$D$4,$C49,X$7,21))</f>
        <v/>
      </c>
      <c r="Y49" s="160">
        <f t="shared" si="0"/>
        <v>0</v>
      </c>
    </row>
    <row r="50" spans="3:25" x14ac:dyDescent="0.3">
      <c r="C50" s="41"/>
      <c r="D50" t="str">
        <f>IF(C50="","",_xll.RSA_BAR_DATA("BAR_NAME",C50))</f>
        <v/>
      </c>
      <c r="E50" s="163" t="str">
        <f>IF(OR($C50="",E$7=""),"",_xll.RSA_BAR_FORCE_DATA("EXTREMUM",$D$3,$D$4,$C50,E$7,21))</f>
        <v/>
      </c>
      <c r="F50" s="163" t="str">
        <f>IF(OR($C50="",F$7=""),"",_xll.RSA_BAR_FORCE_DATA("EXTREMUM",$D$3,$D$4,$C50,F$7,21))</f>
        <v/>
      </c>
      <c r="G50" s="163" t="str">
        <f>IF(OR($C50="",G$7=""),"",_xll.RSA_BAR_FORCE_DATA("EXTREMUM",$D$3,$D$4,$C50,G$7,21))</f>
        <v/>
      </c>
      <c r="H50" s="163" t="str">
        <f>IF(OR($C50="",H$7=""),"",_xll.RSA_BAR_FORCE_DATA("EXTREMUM",$D$3,$D$4,$C50,H$7,21))</f>
        <v/>
      </c>
      <c r="I50" s="163" t="str">
        <f>IF(OR($C50="",I$7=""),"",_xll.RSA_BAR_FORCE_DATA("EXTREMUM",$D$3,$D$4,$C50,I$7,21))</f>
        <v/>
      </c>
      <c r="J50" s="163" t="str">
        <f>IF(OR($C50="",J$7=""),"",_xll.RSA_BAR_FORCE_DATA("EXTREMUM",$D$3,$D$4,$C50,J$7,21))</f>
        <v/>
      </c>
      <c r="K50" s="163" t="str">
        <f>IF(OR($C50="",K$7=""),"",_xll.RSA_BAR_FORCE_DATA("EXTREMUM",$D$3,$D$4,$C50,K$7,21))</f>
        <v/>
      </c>
      <c r="L50" s="163" t="str">
        <f>IF(OR($C50="",L$7=""),"",_xll.RSA_BAR_FORCE_DATA("EXTREMUM",$D$3,$D$4,$C50,L$7,21))</f>
        <v/>
      </c>
      <c r="M50" s="163" t="str">
        <f>IF(OR($C50="",M$7=""),"",_xll.RSA_BAR_FORCE_DATA("EXTREMUM",$D$3,$D$4,$C50,M$7,21))</f>
        <v/>
      </c>
      <c r="N50" s="163" t="str">
        <f>IF(OR($C50="",N$7=""),"",_xll.RSA_BAR_FORCE_DATA("EXTREMUM",$D$3,$D$4,$C50,N$7,21))</f>
        <v/>
      </c>
      <c r="O50" s="163" t="str">
        <f>IF(OR($C50="",O$7=""),"",_xll.RSA_BAR_FORCE_DATA("EXTREMUM",$D$3,$D$4,$C50,O$7,21))</f>
        <v/>
      </c>
      <c r="P50" s="163" t="str">
        <f>IF(OR($C50="",P$7=""),"",_xll.RSA_BAR_FORCE_DATA("EXTREMUM",$D$3,$D$4,$C50,P$7,21))</f>
        <v/>
      </c>
      <c r="Q50" s="163" t="str">
        <f>IF(OR($C50="",Q$7=""),"",_xll.RSA_BAR_FORCE_DATA("EXTREMUM",$D$3,$D$4,$C50,Q$7,21))</f>
        <v/>
      </c>
      <c r="R50" s="163" t="str">
        <f>IF(OR($C50="",R$7=""),"",_xll.RSA_BAR_FORCE_DATA("EXTREMUM",$D$3,$D$4,$C50,R$7,21))</f>
        <v/>
      </c>
      <c r="S50" s="163" t="str">
        <f>IF(OR($C50="",S$7=""),"",_xll.RSA_BAR_FORCE_DATA("EXTREMUM",$D$3,$D$4,$C50,S$7,21))</f>
        <v/>
      </c>
      <c r="T50" s="163" t="str">
        <f>IF(OR($C50="",T$7=""),"",_xll.RSA_BAR_FORCE_DATA("EXTREMUM",$D$3,$D$4,$C50,T$7,21))</f>
        <v/>
      </c>
      <c r="U50" s="163" t="str">
        <f>IF(OR($C50="",U$7=""),"",_xll.RSA_BAR_FORCE_DATA("EXTREMUM",$D$3,$D$4,$C50,U$7,21))</f>
        <v/>
      </c>
      <c r="V50" s="163" t="str">
        <f>IF(OR($C50="",V$7=""),"",_xll.RSA_BAR_FORCE_DATA("EXTREMUM",$D$3,$D$4,$C50,V$7,21))</f>
        <v/>
      </c>
      <c r="W50" s="163" t="str">
        <f>IF(OR($C50="",W$7=""),"",_xll.RSA_BAR_FORCE_DATA("EXTREMUM",$D$3,$D$4,$C50,W$7,21))</f>
        <v/>
      </c>
      <c r="X50" s="163" t="str">
        <f>IF(OR($C50="",X$7=""),"",_xll.RSA_BAR_FORCE_DATA("EXTREMUM",$D$3,$D$4,$C50,X$7,21))</f>
        <v/>
      </c>
      <c r="Y50" s="160">
        <f t="shared" si="0"/>
        <v>0</v>
      </c>
    </row>
    <row r="51" spans="3:25" x14ac:dyDescent="0.3">
      <c r="C51" s="41"/>
      <c r="D51" t="str">
        <f>IF(C51="","",_xll.RSA_BAR_DATA("BAR_NAME",C51))</f>
        <v/>
      </c>
      <c r="E51" s="163" t="str">
        <f>IF(OR($C51="",E$7=""),"",_xll.RSA_BAR_FORCE_DATA("EXTREMUM",$D$3,$D$4,$C51,E$7,21))</f>
        <v/>
      </c>
      <c r="F51" s="163" t="str">
        <f>IF(OR($C51="",F$7=""),"",_xll.RSA_BAR_FORCE_DATA("EXTREMUM",$D$3,$D$4,$C51,F$7,21))</f>
        <v/>
      </c>
      <c r="G51" s="163" t="str">
        <f>IF(OR($C51="",G$7=""),"",_xll.RSA_BAR_FORCE_DATA("EXTREMUM",$D$3,$D$4,$C51,G$7,21))</f>
        <v/>
      </c>
      <c r="H51" s="163" t="str">
        <f>IF(OR($C51="",H$7=""),"",_xll.RSA_BAR_FORCE_DATA("EXTREMUM",$D$3,$D$4,$C51,H$7,21))</f>
        <v/>
      </c>
      <c r="I51" s="163" t="str">
        <f>IF(OR($C51="",I$7=""),"",_xll.RSA_BAR_FORCE_DATA("EXTREMUM",$D$3,$D$4,$C51,I$7,21))</f>
        <v/>
      </c>
      <c r="J51" s="163" t="str">
        <f>IF(OR($C51="",J$7=""),"",_xll.RSA_BAR_FORCE_DATA("EXTREMUM",$D$3,$D$4,$C51,J$7,21))</f>
        <v/>
      </c>
      <c r="K51" s="163" t="str">
        <f>IF(OR($C51="",K$7=""),"",_xll.RSA_BAR_FORCE_DATA("EXTREMUM",$D$3,$D$4,$C51,K$7,21))</f>
        <v/>
      </c>
      <c r="L51" s="163" t="str">
        <f>IF(OR($C51="",L$7=""),"",_xll.RSA_BAR_FORCE_DATA("EXTREMUM",$D$3,$D$4,$C51,L$7,21))</f>
        <v/>
      </c>
      <c r="M51" s="163" t="str">
        <f>IF(OR($C51="",M$7=""),"",_xll.RSA_BAR_FORCE_DATA("EXTREMUM",$D$3,$D$4,$C51,M$7,21))</f>
        <v/>
      </c>
      <c r="N51" s="163" t="str">
        <f>IF(OR($C51="",N$7=""),"",_xll.RSA_BAR_FORCE_DATA("EXTREMUM",$D$3,$D$4,$C51,N$7,21))</f>
        <v/>
      </c>
      <c r="O51" s="163" t="str">
        <f>IF(OR($C51="",O$7=""),"",_xll.RSA_BAR_FORCE_DATA("EXTREMUM",$D$3,$D$4,$C51,O$7,21))</f>
        <v/>
      </c>
      <c r="P51" s="163" t="str">
        <f>IF(OR($C51="",P$7=""),"",_xll.RSA_BAR_FORCE_DATA("EXTREMUM",$D$3,$D$4,$C51,P$7,21))</f>
        <v/>
      </c>
      <c r="Q51" s="163" t="str">
        <f>IF(OR($C51="",Q$7=""),"",_xll.RSA_BAR_FORCE_DATA("EXTREMUM",$D$3,$D$4,$C51,Q$7,21))</f>
        <v/>
      </c>
      <c r="R51" s="163" t="str">
        <f>IF(OR($C51="",R$7=""),"",_xll.RSA_BAR_FORCE_DATA("EXTREMUM",$D$3,$D$4,$C51,R$7,21))</f>
        <v/>
      </c>
      <c r="S51" s="163" t="str">
        <f>IF(OR($C51="",S$7=""),"",_xll.RSA_BAR_FORCE_DATA("EXTREMUM",$D$3,$D$4,$C51,S$7,21))</f>
        <v/>
      </c>
      <c r="T51" s="163" t="str">
        <f>IF(OR($C51="",T$7=""),"",_xll.RSA_BAR_FORCE_DATA("EXTREMUM",$D$3,$D$4,$C51,T$7,21))</f>
        <v/>
      </c>
      <c r="U51" s="163" t="str">
        <f>IF(OR($C51="",U$7=""),"",_xll.RSA_BAR_FORCE_DATA("EXTREMUM",$D$3,$D$4,$C51,U$7,21))</f>
        <v/>
      </c>
      <c r="V51" s="163" t="str">
        <f>IF(OR($C51="",V$7=""),"",_xll.RSA_BAR_FORCE_DATA("EXTREMUM",$D$3,$D$4,$C51,V$7,21))</f>
        <v/>
      </c>
      <c r="W51" s="163" t="str">
        <f>IF(OR($C51="",W$7=""),"",_xll.RSA_BAR_FORCE_DATA("EXTREMUM",$D$3,$D$4,$C51,W$7,21))</f>
        <v/>
      </c>
      <c r="X51" s="163" t="str">
        <f>IF(OR($C51="",X$7=""),"",_xll.RSA_BAR_FORCE_DATA("EXTREMUM",$D$3,$D$4,$C51,X$7,21))</f>
        <v/>
      </c>
      <c r="Y51" s="160">
        <f t="shared" si="0"/>
        <v>0</v>
      </c>
    </row>
    <row r="52" spans="3:25" x14ac:dyDescent="0.3">
      <c r="C52" s="41"/>
      <c r="D52" t="str">
        <f>IF(C52="","",_xll.RSA_BAR_DATA("BAR_NAME",C52))</f>
        <v/>
      </c>
      <c r="E52" s="163" t="str">
        <f>IF(OR($C52="",E$7=""),"",_xll.RSA_BAR_FORCE_DATA("EXTREMUM",$D$3,$D$4,$C52,E$7,21))</f>
        <v/>
      </c>
      <c r="F52" s="163" t="str">
        <f>IF(OR($C52="",F$7=""),"",_xll.RSA_BAR_FORCE_DATA("EXTREMUM",$D$3,$D$4,$C52,F$7,21))</f>
        <v/>
      </c>
      <c r="G52" s="163" t="str">
        <f>IF(OR($C52="",G$7=""),"",_xll.RSA_BAR_FORCE_DATA("EXTREMUM",$D$3,$D$4,$C52,G$7,21))</f>
        <v/>
      </c>
      <c r="H52" s="163" t="str">
        <f>IF(OR($C52="",H$7=""),"",_xll.RSA_BAR_FORCE_DATA("EXTREMUM",$D$3,$D$4,$C52,H$7,21))</f>
        <v/>
      </c>
      <c r="I52" s="163" t="str">
        <f>IF(OR($C52="",I$7=""),"",_xll.RSA_BAR_FORCE_DATA("EXTREMUM",$D$3,$D$4,$C52,I$7,21))</f>
        <v/>
      </c>
      <c r="J52" s="163" t="str">
        <f>IF(OR($C52="",J$7=""),"",_xll.RSA_BAR_FORCE_DATA("EXTREMUM",$D$3,$D$4,$C52,J$7,21))</f>
        <v/>
      </c>
      <c r="K52" s="163" t="str">
        <f>IF(OR($C52="",K$7=""),"",_xll.RSA_BAR_FORCE_DATA("EXTREMUM",$D$3,$D$4,$C52,K$7,21))</f>
        <v/>
      </c>
      <c r="L52" s="163" t="str">
        <f>IF(OR($C52="",L$7=""),"",_xll.RSA_BAR_FORCE_DATA("EXTREMUM",$D$3,$D$4,$C52,L$7,21))</f>
        <v/>
      </c>
      <c r="M52" s="163" t="str">
        <f>IF(OR($C52="",M$7=""),"",_xll.RSA_BAR_FORCE_DATA("EXTREMUM",$D$3,$D$4,$C52,M$7,21))</f>
        <v/>
      </c>
      <c r="N52" s="163" t="str">
        <f>IF(OR($C52="",N$7=""),"",_xll.RSA_BAR_FORCE_DATA("EXTREMUM",$D$3,$D$4,$C52,N$7,21))</f>
        <v/>
      </c>
      <c r="O52" s="163" t="str">
        <f>IF(OR($C52="",O$7=""),"",_xll.RSA_BAR_FORCE_DATA("EXTREMUM",$D$3,$D$4,$C52,O$7,21))</f>
        <v/>
      </c>
      <c r="P52" s="163" t="str">
        <f>IF(OR($C52="",P$7=""),"",_xll.RSA_BAR_FORCE_DATA("EXTREMUM",$D$3,$D$4,$C52,P$7,21))</f>
        <v/>
      </c>
      <c r="Q52" s="163" t="str">
        <f>IF(OR($C52="",Q$7=""),"",_xll.RSA_BAR_FORCE_DATA("EXTREMUM",$D$3,$D$4,$C52,Q$7,21))</f>
        <v/>
      </c>
      <c r="R52" s="163" t="str">
        <f>IF(OR($C52="",R$7=""),"",_xll.RSA_BAR_FORCE_DATA("EXTREMUM",$D$3,$D$4,$C52,R$7,21))</f>
        <v/>
      </c>
      <c r="S52" s="163" t="str">
        <f>IF(OR($C52="",S$7=""),"",_xll.RSA_BAR_FORCE_DATA("EXTREMUM",$D$3,$D$4,$C52,S$7,21))</f>
        <v/>
      </c>
      <c r="T52" s="163" t="str">
        <f>IF(OR($C52="",T$7=""),"",_xll.RSA_BAR_FORCE_DATA("EXTREMUM",$D$3,$D$4,$C52,T$7,21))</f>
        <v/>
      </c>
      <c r="U52" s="163" t="str">
        <f>IF(OR($C52="",U$7=""),"",_xll.RSA_BAR_FORCE_DATA("EXTREMUM",$D$3,$D$4,$C52,U$7,21))</f>
        <v/>
      </c>
      <c r="V52" s="163" t="str">
        <f>IF(OR($C52="",V$7=""),"",_xll.RSA_BAR_FORCE_DATA("EXTREMUM",$D$3,$D$4,$C52,V$7,21))</f>
        <v/>
      </c>
      <c r="W52" s="163" t="str">
        <f>IF(OR($C52="",W$7=""),"",_xll.RSA_BAR_FORCE_DATA("EXTREMUM",$D$3,$D$4,$C52,W$7,21))</f>
        <v/>
      </c>
      <c r="X52" s="163" t="str">
        <f>IF(OR($C52="",X$7=""),"",_xll.RSA_BAR_FORCE_DATA("EXTREMUM",$D$3,$D$4,$C52,X$7,21))</f>
        <v/>
      </c>
      <c r="Y52" s="160">
        <f t="shared" si="0"/>
        <v>0</v>
      </c>
    </row>
    <row r="53" spans="3:25" x14ac:dyDescent="0.3">
      <c r="C53" s="41"/>
      <c r="D53" t="str">
        <f>IF(C53="","",_xll.RSA_BAR_DATA("BAR_NAME",C53))</f>
        <v/>
      </c>
      <c r="E53" s="163" t="str">
        <f>IF(OR($C53="",E$7=""),"",_xll.RSA_BAR_FORCE_DATA("EXTREMUM",$D$3,$D$4,$C53,E$7,21))</f>
        <v/>
      </c>
      <c r="F53" s="163" t="str">
        <f>IF(OR($C53="",F$7=""),"",_xll.RSA_BAR_FORCE_DATA("EXTREMUM",$D$3,$D$4,$C53,F$7,21))</f>
        <v/>
      </c>
      <c r="G53" s="163" t="str">
        <f>IF(OR($C53="",G$7=""),"",_xll.RSA_BAR_FORCE_DATA("EXTREMUM",$D$3,$D$4,$C53,G$7,21))</f>
        <v/>
      </c>
      <c r="H53" s="163" t="str">
        <f>IF(OR($C53="",H$7=""),"",_xll.RSA_BAR_FORCE_DATA("EXTREMUM",$D$3,$D$4,$C53,H$7,21))</f>
        <v/>
      </c>
      <c r="I53" s="163" t="str">
        <f>IF(OR($C53="",I$7=""),"",_xll.RSA_BAR_FORCE_DATA("EXTREMUM",$D$3,$D$4,$C53,I$7,21))</f>
        <v/>
      </c>
      <c r="J53" s="163" t="str">
        <f>IF(OR($C53="",J$7=""),"",_xll.RSA_BAR_FORCE_DATA("EXTREMUM",$D$3,$D$4,$C53,J$7,21))</f>
        <v/>
      </c>
      <c r="K53" s="163" t="str">
        <f>IF(OR($C53="",K$7=""),"",_xll.RSA_BAR_FORCE_DATA("EXTREMUM",$D$3,$D$4,$C53,K$7,21))</f>
        <v/>
      </c>
      <c r="L53" s="163" t="str">
        <f>IF(OR($C53="",L$7=""),"",_xll.RSA_BAR_FORCE_DATA("EXTREMUM",$D$3,$D$4,$C53,L$7,21))</f>
        <v/>
      </c>
      <c r="M53" s="163" t="str">
        <f>IF(OR($C53="",M$7=""),"",_xll.RSA_BAR_FORCE_DATA("EXTREMUM",$D$3,$D$4,$C53,M$7,21))</f>
        <v/>
      </c>
      <c r="N53" s="163" t="str">
        <f>IF(OR($C53="",N$7=""),"",_xll.RSA_BAR_FORCE_DATA("EXTREMUM",$D$3,$D$4,$C53,N$7,21))</f>
        <v/>
      </c>
      <c r="O53" s="163" t="str">
        <f>IF(OR($C53="",O$7=""),"",_xll.RSA_BAR_FORCE_DATA("EXTREMUM",$D$3,$D$4,$C53,O$7,21))</f>
        <v/>
      </c>
      <c r="P53" s="163" t="str">
        <f>IF(OR($C53="",P$7=""),"",_xll.RSA_BAR_FORCE_DATA("EXTREMUM",$D$3,$D$4,$C53,P$7,21))</f>
        <v/>
      </c>
      <c r="Q53" s="163" t="str">
        <f>IF(OR($C53="",Q$7=""),"",_xll.RSA_BAR_FORCE_DATA("EXTREMUM",$D$3,$D$4,$C53,Q$7,21))</f>
        <v/>
      </c>
      <c r="R53" s="163" t="str">
        <f>IF(OR($C53="",R$7=""),"",_xll.RSA_BAR_FORCE_DATA("EXTREMUM",$D$3,$D$4,$C53,R$7,21))</f>
        <v/>
      </c>
      <c r="S53" s="163" t="str">
        <f>IF(OR($C53="",S$7=""),"",_xll.RSA_BAR_FORCE_DATA("EXTREMUM",$D$3,$D$4,$C53,S$7,21))</f>
        <v/>
      </c>
      <c r="T53" s="163" t="str">
        <f>IF(OR($C53="",T$7=""),"",_xll.RSA_BAR_FORCE_DATA("EXTREMUM",$D$3,$D$4,$C53,T$7,21))</f>
        <v/>
      </c>
      <c r="U53" s="163" t="str">
        <f>IF(OR($C53="",U$7=""),"",_xll.RSA_BAR_FORCE_DATA("EXTREMUM",$D$3,$D$4,$C53,U$7,21))</f>
        <v/>
      </c>
      <c r="V53" s="163" t="str">
        <f>IF(OR($C53="",V$7=""),"",_xll.RSA_BAR_FORCE_DATA("EXTREMUM",$D$3,$D$4,$C53,V$7,21))</f>
        <v/>
      </c>
      <c r="W53" s="163" t="str">
        <f>IF(OR($C53="",W$7=""),"",_xll.RSA_BAR_FORCE_DATA("EXTREMUM",$D$3,$D$4,$C53,W$7,21))</f>
        <v/>
      </c>
      <c r="X53" s="163" t="str">
        <f>IF(OR($C53="",X$7=""),"",_xll.RSA_BAR_FORCE_DATA("EXTREMUM",$D$3,$D$4,$C53,X$7,21))</f>
        <v/>
      </c>
      <c r="Y53" s="160">
        <f t="shared" si="0"/>
        <v>0</v>
      </c>
    </row>
    <row r="54" spans="3:25" ht="15" thickBot="1" x14ac:dyDescent="0.35">
      <c r="C54" s="41"/>
      <c r="D54" t="str">
        <f>IF(C54="","",_xll.RSA_BAR_DATA("BAR_NAME",C54))</f>
        <v/>
      </c>
      <c r="E54" s="163" t="str">
        <f>IF(OR($C54="",E$7=""),"",_xll.RSA_BAR_FORCE_DATA("EXTREMUM",$D$3,$D$4,$C54,E$7,21))</f>
        <v/>
      </c>
      <c r="F54" s="163" t="str">
        <f>IF(OR($C54="",F$7=""),"",_xll.RSA_BAR_FORCE_DATA("EXTREMUM",$D$3,$D$4,$C54,F$7,21))</f>
        <v/>
      </c>
      <c r="G54" s="163" t="str">
        <f>IF(OR($C54="",G$7=""),"",_xll.RSA_BAR_FORCE_DATA("EXTREMUM",$D$3,$D$4,$C54,G$7,21))</f>
        <v/>
      </c>
      <c r="H54" s="163" t="str">
        <f>IF(OR($C54="",H$7=""),"",_xll.RSA_BAR_FORCE_DATA("EXTREMUM",$D$3,$D$4,$C54,H$7,21))</f>
        <v/>
      </c>
      <c r="I54" s="163" t="str">
        <f>IF(OR($C54="",I$7=""),"",_xll.RSA_BAR_FORCE_DATA("EXTREMUM",$D$3,$D$4,$C54,I$7,21))</f>
        <v/>
      </c>
      <c r="J54" s="163" t="str">
        <f>IF(OR($C54="",J$7=""),"",_xll.RSA_BAR_FORCE_DATA("EXTREMUM",$D$3,$D$4,$C54,J$7,21))</f>
        <v/>
      </c>
      <c r="K54" s="163" t="str">
        <f>IF(OR($C54="",K$7=""),"",_xll.RSA_BAR_FORCE_DATA("EXTREMUM",$D$3,$D$4,$C54,K$7,21))</f>
        <v/>
      </c>
      <c r="L54" s="163" t="str">
        <f>IF(OR($C54="",L$7=""),"",_xll.RSA_BAR_FORCE_DATA("EXTREMUM",$D$3,$D$4,$C54,L$7,21))</f>
        <v/>
      </c>
      <c r="M54" s="163" t="str">
        <f>IF(OR($C54="",M$7=""),"",_xll.RSA_BAR_FORCE_DATA("EXTREMUM",$D$3,$D$4,$C54,M$7,21))</f>
        <v/>
      </c>
      <c r="N54" s="163" t="str">
        <f>IF(OR($C54="",N$7=""),"",_xll.RSA_BAR_FORCE_DATA("EXTREMUM",$D$3,$D$4,$C54,N$7,21))</f>
        <v/>
      </c>
      <c r="O54" s="163" t="str">
        <f>IF(OR($C54="",O$7=""),"",_xll.RSA_BAR_FORCE_DATA("EXTREMUM",$D$3,$D$4,$C54,O$7,21))</f>
        <v/>
      </c>
      <c r="P54" s="163" t="str">
        <f>IF(OR($C54="",P$7=""),"",_xll.RSA_BAR_FORCE_DATA("EXTREMUM",$D$3,$D$4,$C54,P$7,21))</f>
        <v/>
      </c>
      <c r="Q54" s="163" t="str">
        <f>IF(OR($C54="",Q$7=""),"",_xll.RSA_BAR_FORCE_DATA("EXTREMUM",$D$3,$D$4,$C54,Q$7,21))</f>
        <v/>
      </c>
      <c r="R54" s="163" t="str">
        <f>IF(OR($C54="",R$7=""),"",_xll.RSA_BAR_FORCE_DATA("EXTREMUM",$D$3,$D$4,$C54,R$7,21))</f>
        <v/>
      </c>
      <c r="S54" s="163" t="str">
        <f>IF(OR($C54="",S$7=""),"",_xll.RSA_BAR_FORCE_DATA("EXTREMUM",$D$3,$D$4,$C54,S$7,21))</f>
        <v/>
      </c>
      <c r="T54" s="163" t="str">
        <f>IF(OR($C54="",T$7=""),"",_xll.RSA_BAR_FORCE_DATA("EXTREMUM",$D$3,$D$4,$C54,T$7,21))</f>
        <v/>
      </c>
      <c r="U54" s="163" t="str">
        <f>IF(OR($C54="",U$7=""),"",_xll.RSA_BAR_FORCE_DATA("EXTREMUM",$D$3,$D$4,$C54,U$7,21))</f>
        <v/>
      </c>
      <c r="V54" s="163" t="str">
        <f>IF(OR($C54="",V$7=""),"",_xll.RSA_BAR_FORCE_DATA("EXTREMUM",$D$3,$D$4,$C54,V$7,21))</f>
        <v/>
      </c>
      <c r="W54" s="163" t="str">
        <f>IF(OR($C54="",W$7=""),"",_xll.RSA_BAR_FORCE_DATA("EXTREMUM",$D$3,$D$4,$C54,W$7,21))</f>
        <v/>
      </c>
      <c r="X54" s="163" t="str">
        <f>IF(OR($C54="",X$7=""),"",_xll.RSA_BAR_FORCE_DATA("EXTREMUM",$D$3,$D$4,$C54,X$7,21))</f>
        <v/>
      </c>
      <c r="Y54" s="223">
        <f t="shared" si="0"/>
        <v>0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6665C-45F3-4C76-8459-CF5DF92636E2}">
  <sheetPr codeName="Sheet1"/>
  <dimension ref="B1:P136"/>
  <sheetViews>
    <sheetView topLeftCell="A30" zoomScaleNormal="100" workbookViewId="0">
      <selection activeCell="D25" sqref="D25"/>
    </sheetView>
  </sheetViews>
  <sheetFormatPr defaultRowHeight="14.4" x14ac:dyDescent="0.3"/>
  <cols>
    <col min="1" max="1" width="4.44140625" style="1" customWidth="1"/>
    <col min="2" max="4" width="8.77734375" style="9" customWidth="1"/>
    <col min="5" max="11" width="8.77734375" style="1" customWidth="1"/>
    <col min="12" max="12" width="5.44140625" style="1" customWidth="1"/>
    <col min="13" max="13" width="8.33203125" style="1" customWidth="1"/>
    <col min="14" max="16384" width="8.88671875" style="1"/>
  </cols>
  <sheetData>
    <row r="1" spans="2:12" ht="15" thickBot="1" x14ac:dyDescent="0.35"/>
    <row r="2" spans="2:12" x14ac:dyDescent="0.3">
      <c r="B2" s="278" t="s">
        <v>36</v>
      </c>
      <c r="C2" s="279"/>
      <c r="D2" s="279"/>
      <c r="E2" s="279"/>
      <c r="F2" s="279"/>
      <c r="G2" s="279"/>
      <c r="H2" s="279"/>
      <c r="I2" s="279"/>
      <c r="J2" s="279"/>
      <c r="K2" s="280"/>
    </row>
    <row r="3" spans="2:12" x14ac:dyDescent="0.3">
      <c r="B3" s="11" t="s">
        <v>0</v>
      </c>
      <c r="C3" s="12"/>
      <c r="D3" s="12"/>
      <c r="E3" s="13"/>
      <c r="F3" s="14"/>
      <c r="G3" s="14"/>
      <c r="H3" s="14"/>
      <c r="I3" s="14"/>
      <c r="J3" s="14"/>
      <c r="K3" s="15"/>
    </row>
    <row r="4" spans="2:12" x14ac:dyDescent="0.3">
      <c r="B4" s="16" t="s">
        <v>298</v>
      </c>
      <c r="C4" s="17"/>
      <c r="D4" s="39">
        <v>0.8</v>
      </c>
      <c r="E4" s="14" t="s">
        <v>1</v>
      </c>
      <c r="F4" s="14"/>
      <c r="G4" s="14"/>
      <c r="H4" s="14"/>
      <c r="I4" s="14"/>
      <c r="J4" s="14"/>
      <c r="K4" s="15"/>
    </row>
    <row r="5" spans="2:12" x14ac:dyDescent="0.3">
      <c r="B5" s="16" t="s">
        <v>299</v>
      </c>
      <c r="C5" s="17"/>
      <c r="D5" s="39">
        <v>0.82499999999999996</v>
      </c>
      <c r="E5" s="14" t="s">
        <v>2</v>
      </c>
      <c r="F5" s="14"/>
      <c r="G5" s="14"/>
      <c r="H5" s="14"/>
      <c r="I5" s="14"/>
      <c r="J5" s="14"/>
      <c r="K5" s="15"/>
    </row>
    <row r="6" spans="2:12" x14ac:dyDescent="0.3">
      <c r="B6" s="16" t="s">
        <v>300</v>
      </c>
      <c r="C6" s="17"/>
      <c r="D6" s="39">
        <v>0.8</v>
      </c>
      <c r="E6" s="14" t="s">
        <v>3</v>
      </c>
      <c r="F6" s="14"/>
      <c r="G6" s="14"/>
      <c r="H6" s="14"/>
      <c r="I6" s="14"/>
      <c r="J6" s="14"/>
      <c r="K6" s="15"/>
    </row>
    <row r="7" spans="2:12" x14ac:dyDescent="0.3">
      <c r="B7" s="16" t="s">
        <v>301</v>
      </c>
      <c r="C7" s="17"/>
      <c r="D7" s="40">
        <v>0.66666666666666663</v>
      </c>
      <c r="E7" s="14" t="s">
        <v>4</v>
      </c>
      <c r="F7" s="14"/>
      <c r="G7" s="14"/>
      <c r="H7" s="14"/>
      <c r="I7" s="14"/>
      <c r="J7" s="14"/>
      <c r="K7" s="15"/>
    </row>
    <row r="8" spans="2:12" x14ac:dyDescent="0.3">
      <c r="B8" s="11" t="s">
        <v>5</v>
      </c>
      <c r="C8" s="17"/>
      <c r="D8" s="13"/>
      <c r="E8" s="14"/>
      <c r="F8" s="14"/>
      <c r="G8" s="14"/>
      <c r="H8" s="14"/>
      <c r="I8" s="14"/>
      <c r="J8" s="14"/>
      <c r="K8" s="15"/>
    </row>
    <row r="9" spans="2:12" x14ac:dyDescent="0.3">
      <c r="B9" s="16" t="s">
        <v>6</v>
      </c>
      <c r="C9" s="17"/>
      <c r="D9" s="41">
        <v>30</v>
      </c>
      <c r="E9" s="14" t="s">
        <v>34</v>
      </c>
      <c r="F9" s="14"/>
      <c r="G9" s="14"/>
      <c r="H9" s="14"/>
      <c r="I9" s="14"/>
      <c r="J9" s="14"/>
      <c r="K9" s="15"/>
    </row>
    <row r="10" spans="2:12" x14ac:dyDescent="0.3">
      <c r="B10" s="16" t="s">
        <v>7</v>
      </c>
      <c r="C10" s="17"/>
      <c r="D10" s="42">
        <v>3.0000000000000001E-3</v>
      </c>
      <c r="E10" s="14"/>
      <c r="F10" s="14"/>
      <c r="G10" s="14"/>
      <c r="H10" s="14"/>
      <c r="I10" s="14"/>
      <c r="J10" s="14"/>
      <c r="K10" s="15"/>
    </row>
    <row r="11" spans="2:12" x14ac:dyDescent="0.3">
      <c r="B11" s="16" t="s">
        <v>8</v>
      </c>
      <c r="C11" s="17"/>
      <c r="D11" s="42">
        <v>1.5</v>
      </c>
      <c r="E11" s="14"/>
      <c r="F11" s="14"/>
      <c r="G11" s="14"/>
      <c r="H11" s="14"/>
      <c r="I11" s="14"/>
      <c r="J11" s="14"/>
      <c r="K11" s="15"/>
      <c r="L11" s="7"/>
    </row>
    <row r="12" spans="2:12" x14ac:dyDescent="0.3">
      <c r="B12" s="11" t="s">
        <v>87</v>
      </c>
      <c r="C12" s="12"/>
      <c r="D12" s="14"/>
      <c r="E12" s="14"/>
      <c r="F12" s="14"/>
      <c r="G12" s="14"/>
      <c r="H12" s="14"/>
      <c r="I12" s="14"/>
      <c r="J12" s="14"/>
      <c r="K12" s="15"/>
    </row>
    <row r="13" spans="2:12" x14ac:dyDescent="0.3">
      <c r="B13" s="16" t="s">
        <v>10</v>
      </c>
      <c r="C13" s="17"/>
      <c r="D13" s="41">
        <v>360</v>
      </c>
      <c r="E13" s="14" t="s">
        <v>34</v>
      </c>
      <c r="F13" s="14"/>
      <c r="G13" s="14"/>
      <c r="H13" s="14"/>
      <c r="I13" s="14"/>
      <c r="J13" s="14"/>
      <c r="K13" s="15"/>
    </row>
    <row r="14" spans="2:12" x14ac:dyDescent="0.3">
      <c r="B14" s="16" t="s">
        <v>86</v>
      </c>
      <c r="C14" s="17"/>
      <c r="D14" s="41">
        <v>240</v>
      </c>
      <c r="E14" s="14" t="s">
        <v>34</v>
      </c>
      <c r="F14" s="14"/>
      <c r="G14" s="14"/>
      <c r="H14" s="14"/>
      <c r="I14" s="14"/>
      <c r="J14" s="14"/>
      <c r="K14" s="15"/>
    </row>
    <row r="15" spans="2:12" x14ac:dyDescent="0.3">
      <c r="B15" s="16" t="s">
        <v>11</v>
      </c>
      <c r="C15" s="17"/>
      <c r="D15" s="43">
        <v>200000</v>
      </c>
      <c r="E15" s="14" t="s">
        <v>35</v>
      </c>
      <c r="F15" s="14"/>
      <c r="G15" s="14"/>
      <c r="H15" s="14"/>
      <c r="I15" s="14"/>
      <c r="J15" s="14"/>
      <c r="K15" s="15"/>
    </row>
    <row r="16" spans="2:12" x14ac:dyDescent="0.3">
      <c r="B16" s="16" t="s">
        <v>12</v>
      </c>
      <c r="C16" s="17"/>
      <c r="D16" s="42">
        <v>1.1499999999999999</v>
      </c>
      <c r="E16" s="14"/>
      <c r="F16" s="14"/>
      <c r="G16" s="14"/>
      <c r="H16" s="14"/>
      <c r="I16" s="14"/>
      <c r="J16" s="14"/>
      <c r="K16" s="15"/>
    </row>
    <row r="17" spans="2:16" x14ac:dyDescent="0.3">
      <c r="B17" s="16"/>
      <c r="C17" s="17"/>
      <c r="D17" s="14"/>
      <c r="E17" s="14"/>
      <c r="F17" s="14"/>
      <c r="G17" s="14"/>
      <c r="H17" s="14"/>
      <c r="I17" s="14"/>
      <c r="J17" s="14"/>
      <c r="K17" s="15"/>
      <c r="N17" s="3" t="s">
        <v>14</v>
      </c>
      <c r="O17" s="3"/>
      <c r="P17" s="3"/>
    </row>
    <row r="18" spans="2:16" x14ac:dyDescent="0.3">
      <c r="B18" s="16" t="s">
        <v>13</v>
      </c>
      <c r="C18" s="17"/>
      <c r="D18" s="44">
        <f>D13/D16</f>
        <v>313.04347826086956</v>
      </c>
      <c r="E18" s="14" t="s">
        <v>34</v>
      </c>
      <c r="F18" s="14"/>
      <c r="G18" s="18" t="s">
        <v>19</v>
      </c>
      <c r="H18" s="19" t="s">
        <v>20</v>
      </c>
      <c r="I18" s="19"/>
      <c r="J18" s="14"/>
      <c r="K18" s="15"/>
      <c r="N18" s="4" t="s">
        <v>15</v>
      </c>
      <c r="O18" s="4"/>
      <c r="P18" s="5" t="s">
        <v>16</v>
      </c>
    </row>
    <row r="19" spans="2:16" x14ac:dyDescent="0.3">
      <c r="B19" s="16" t="s">
        <v>9</v>
      </c>
      <c r="C19" s="17"/>
      <c r="D19" s="44">
        <f>D9*D4*D5/D11</f>
        <v>13.199999999999998</v>
      </c>
      <c r="E19" s="14" t="s">
        <v>34</v>
      </c>
      <c r="F19" s="14"/>
      <c r="G19" s="18" t="s">
        <v>21</v>
      </c>
      <c r="H19" s="19" t="s">
        <v>22</v>
      </c>
      <c r="I19" s="19"/>
      <c r="J19" s="14"/>
      <c r="K19" s="15"/>
      <c r="N19" s="6"/>
      <c r="O19" s="6"/>
      <c r="P19" s="5" t="s">
        <v>17</v>
      </c>
    </row>
    <row r="20" spans="2:16" x14ac:dyDescent="0.3">
      <c r="B20" s="16" t="s">
        <v>88</v>
      </c>
      <c r="C20" s="17"/>
      <c r="D20" s="45">
        <f>D14/D16</f>
        <v>208.69565217391306</v>
      </c>
      <c r="E20" s="14"/>
      <c r="F20" s="14"/>
      <c r="G20" s="18" t="s">
        <v>23</v>
      </c>
      <c r="H20" s="19" t="s">
        <v>24</v>
      </c>
      <c r="I20" s="19"/>
      <c r="J20" s="14"/>
      <c r="K20" s="15"/>
      <c r="N20" s="6"/>
      <c r="O20" s="6"/>
      <c r="P20" s="5" t="s">
        <v>18</v>
      </c>
    </row>
    <row r="21" spans="2:16" x14ac:dyDescent="0.3">
      <c r="B21" s="16" t="s">
        <v>82</v>
      </c>
      <c r="C21" s="17"/>
      <c r="D21" s="44">
        <f>0.24*SQRT(D9/D11)</f>
        <v>1.0733126291998991</v>
      </c>
      <c r="E21" s="14" t="s">
        <v>34</v>
      </c>
      <c r="F21" s="14"/>
      <c r="G21" s="18" t="s">
        <v>25</v>
      </c>
      <c r="H21" s="19" t="s">
        <v>26</v>
      </c>
      <c r="I21" s="19"/>
      <c r="J21" s="14"/>
      <c r="K21" s="15"/>
    </row>
    <row r="22" spans="2:16" x14ac:dyDescent="0.3">
      <c r="B22" s="16" t="s">
        <v>83</v>
      </c>
      <c r="C22" s="17"/>
      <c r="D22" s="44">
        <f>0.7*SQRT(D9/D11)</f>
        <v>3.1304951684997055</v>
      </c>
      <c r="E22" s="14" t="s">
        <v>34</v>
      </c>
      <c r="F22" s="14"/>
      <c r="G22" s="20" t="s">
        <v>27</v>
      </c>
      <c r="H22" s="166" t="s">
        <v>28</v>
      </c>
      <c r="I22" s="166"/>
      <c r="J22" s="14"/>
      <c r="K22" s="15"/>
    </row>
    <row r="23" spans="2:16" x14ac:dyDescent="0.3">
      <c r="B23" s="16" t="s">
        <v>274</v>
      </c>
      <c r="C23" s="17"/>
      <c r="D23" s="44">
        <f>0.06*SQRT(D9/D11)</f>
        <v>0.26832815729997478</v>
      </c>
      <c r="E23" s="14"/>
      <c r="F23" s="14"/>
      <c r="G23" s="21" t="s">
        <v>29</v>
      </c>
      <c r="H23" s="21" t="s">
        <v>30</v>
      </c>
      <c r="I23" s="21" t="s">
        <v>31</v>
      </c>
      <c r="J23" s="22"/>
      <c r="K23" s="15"/>
      <c r="O23" s="2"/>
    </row>
    <row r="24" spans="2:16" x14ac:dyDescent="0.3">
      <c r="B24" s="23" t="s">
        <v>41</v>
      </c>
      <c r="C24" s="24"/>
      <c r="D24" s="41">
        <v>440</v>
      </c>
      <c r="E24" s="14"/>
      <c r="F24" s="14"/>
      <c r="G24" s="21" t="s">
        <v>32</v>
      </c>
      <c r="H24" s="21" t="s">
        <v>93</v>
      </c>
      <c r="I24" s="21"/>
      <c r="J24" s="22"/>
      <c r="K24" s="15"/>
    </row>
    <row r="25" spans="2:16" x14ac:dyDescent="0.3">
      <c r="B25" s="11" t="s">
        <v>49</v>
      </c>
      <c r="C25" s="17"/>
      <c r="D25" s="14"/>
      <c r="E25" s="14"/>
      <c r="F25" s="14"/>
      <c r="G25" s="14"/>
      <c r="H25" s="14"/>
      <c r="I25" s="14"/>
      <c r="J25" s="14"/>
      <c r="K25" s="15"/>
    </row>
    <row r="26" spans="2:16" x14ac:dyDescent="0.3">
      <c r="B26" s="16" t="s">
        <v>50</v>
      </c>
      <c r="C26" s="17"/>
      <c r="D26" s="8" t="str">
        <f>_xll.RSA_BAR_DATA("SECTION",D24)</f>
        <v>B R 12x50</v>
      </c>
      <c r="E26" s="14"/>
      <c r="F26" s="14"/>
      <c r="G26" s="25" t="s">
        <v>79</v>
      </c>
      <c r="H26" s="25"/>
      <c r="I26" s="25"/>
      <c r="J26" s="25"/>
      <c r="K26" s="15"/>
    </row>
    <row r="27" spans="2:16" x14ac:dyDescent="0.3">
      <c r="B27" s="16" t="s">
        <v>46</v>
      </c>
      <c r="C27" s="17"/>
      <c r="D27" s="46">
        <f>_xll.RSA_SECTION_DATA("BF",D26)</f>
        <v>120</v>
      </c>
      <c r="E27" s="14" t="s">
        <v>38</v>
      </c>
      <c r="F27" s="14"/>
      <c r="G27" s="25"/>
      <c r="H27" s="25" t="s">
        <v>80</v>
      </c>
      <c r="I27" s="25"/>
      <c r="J27" s="25"/>
      <c r="K27" s="15"/>
    </row>
    <row r="28" spans="2:16" x14ac:dyDescent="0.3">
      <c r="B28" s="16" t="s">
        <v>47</v>
      </c>
      <c r="C28" s="17"/>
      <c r="D28" s="46">
        <f>_xll.RSA_SECTION_DATA("D",D26)</f>
        <v>500</v>
      </c>
      <c r="E28" s="14" t="s">
        <v>38</v>
      </c>
      <c r="F28" s="14"/>
      <c r="G28" s="26" t="s">
        <v>33</v>
      </c>
      <c r="H28" s="27">
        <f>D7*D10/(D10+D13/D15)</f>
        <v>0.41666666666666663</v>
      </c>
      <c r="I28" s="14"/>
      <c r="J28" s="14"/>
      <c r="K28" s="15"/>
    </row>
    <row r="29" spans="2:16" x14ac:dyDescent="0.3">
      <c r="B29" s="16" t="s">
        <v>37</v>
      </c>
      <c r="C29" s="17"/>
      <c r="D29" s="46">
        <v>50</v>
      </c>
      <c r="E29" s="14" t="s">
        <v>38</v>
      </c>
      <c r="F29" s="14"/>
      <c r="G29" s="14"/>
      <c r="H29" s="14"/>
      <c r="I29" s="14"/>
      <c r="J29" s="14"/>
      <c r="K29" s="15"/>
    </row>
    <row r="30" spans="2:16" x14ac:dyDescent="0.3">
      <c r="B30" s="16" t="s">
        <v>60</v>
      </c>
      <c r="C30" s="17"/>
      <c r="D30" s="46">
        <f>D28-D29</f>
        <v>450</v>
      </c>
      <c r="E30" s="14" t="s">
        <v>38</v>
      </c>
      <c r="F30" s="14"/>
      <c r="G30" s="14"/>
      <c r="H30" s="14"/>
      <c r="I30" s="14"/>
      <c r="J30" s="14"/>
      <c r="K30" s="15"/>
    </row>
    <row r="31" spans="2:16" x14ac:dyDescent="0.3">
      <c r="B31" s="16" t="s">
        <v>48</v>
      </c>
      <c r="C31" s="17"/>
      <c r="D31" s="46">
        <f>_xll.RSA_BAR_DATA("LENGTH",D24)</f>
        <v>4435</v>
      </c>
      <c r="E31" s="14" t="s">
        <v>38</v>
      </c>
      <c r="F31" s="14"/>
      <c r="G31" s="14"/>
      <c r="H31" s="14"/>
      <c r="I31" s="14"/>
      <c r="J31" s="14"/>
      <c r="K31" s="15"/>
    </row>
    <row r="32" spans="2:16" x14ac:dyDescent="0.3">
      <c r="B32" s="16"/>
      <c r="C32" s="17"/>
      <c r="D32" s="17"/>
      <c r="E32" s="14"/>
      <c r="F32" s="14"/>
      <c r="G32" s="14"/>
      <c r="H32" s="14"/>
      <c r="I32" s="14"/>
      <c r="J32" s="14"/>
      <c r="K32" s="15"/>
    </row>
    <row r="33" spans="2:11" x14ac:dyDescent="0.3">
      <c r="B33" s="167" t="s">
        <v>51</v>
      </c>
      <c r="C33" s="47" t="s">
        <v>39</v>
      </c>
      <c r="D33" s="47" t="s">
        <v>40</v>
      </c>
      <c r="E33" s="47" t="s">
        <v>42</v>
      </c>
      <c r="F33" s="47" t="s">
        <v>43</v>
      </c>
      <c r="G33" s="47" t="s">
        <v>44</v>
      </c>
      <c r="H33" s="47" t="s">
        <v>45</v>
      </c>
      <c r="I33" s="47" t="s">
        <v>257</v>
      </c>
      <c r="J33" s="47" t="s">
        <v>258</v>
      </c>
      <c r="K33" s="15"/>
    </row>
    <row r="34" spans="2:11" x14ac:dyDescent="0.3">
      <c r="B34" s="168">
        <v>1</v>
      </c>
      <c r="C34" s="49">
        <v>105</v>
      </c>
      <c r="D34" s="48" t="str">
        <f>IF(C34="","",_xll.RSA_CASE_DATA("NAME",C34))</f>
        <v>COMB1</v>
      </c>
      <c r="E34" s="48">
        <f>IF(C34="","",_xll.RSA_BAR_FORCE_DATA("EXTREMUM","MY","MAX",$D$24,$C34,21))</f>
        <v>38.561987263018551</v>
      </c>
      <c r="F34" s="48">
        <f>IF(C34="","",_xll.RSA_BAR_FORCE_DATA("EXTREMUM","MY","MIN",$D$24,$C34,21))</f>
        <v>-74.710508101815108</v>
      </c>
      <c r="G34" s="48">
        <f>IF(C34="","",_xll.RSA_BAR_FORCE_DATA("EXTREMUM","FZ","MIN",$D$24,$C34,21))</f>
        <v>-117.5824807153157</v>
      </c>
      <c r="H34" s="48">
        <f>IF(C34="","",_xll.RSA_BAR_FORCE_DATA("EXTREMUM","FZ","MAX",$D$24,$C34,21))</f>
        <v>71.399908975787369</v>
      </c>
      <c r="I34" s="48">
        <f>IF($C34="","",_xll.RSA_BAR_FORCE_DATA("EXTREMUM","MX","MAX",$D$24,$C34,21))</f>
        <v>1.2782624986523807</v>
      </c>
      <c r="J34" s="48">
        <f>IF($C34="","",_xll.RSA_BAR_FORCE_DATA("EXTREMUM","MX","MIN",$D$24,$C34,21))</f>
        <v>-1.1015348930361399</v>
      </c>
      <c r="K34" s="15"/>
    </row>
    <row r="35" spans="2:11" x14ac:dyDescent="0.3">
      <c r="B35" s="168">
        <v>2</v>
      </c>
      <c r="C35" s="49"/>
      <c r="D35" s="48"/>
      <c r="E35" s="48" t="str">
        <f>IF(C35="","",_xll.RSA_BAR_FORCE_DATA("EXTREMUM","MY","MAX",$D$24,$C35,21))</f>
        <v/>
      </c>
      <c r="F35" s="48" t="str">
        <f>IF(C35="","",_xll.RSA_BAR_FORCE_DATA("EXTREMUM","MY","MIN",$D$24,$C35,21))</f>
        <v/>
      </c>
      <c r="G35" s="48" t="str">
        <f>IF(C35="","",_xll.RSA_BAR_FORCE_DATA("EXTREMUM","FZ","MIN",$D$24,$C35,21))</f>
        <v/>
      </c>
      <c r="H35" s="48" t="str">
        <f>IF(C35="","",_xll.RSA_BAR_FORCE_DATA("EXTREMUM","FZ","MAX",$D$24,$C35,21))</f>
        <v/>
      </c>
      <c r="I35" s="48" t="str">
        <f>IF(D35="","",_xll.RSA_BAR_FORCE_DATA("EXTREMUM","FZ","MAX",$D$24,$C35,21))</f>
        <v/>
      </c>
      <c r="J35" s="48" t="str">
        <f>IF(E35="","",_xll.RSA_BAR_FORCE_DATA("EXTREMUM","FZ","MAX",$D$24,$C35,21))</f>
        <v/>
      </c>
      <c r="K35" s="15"/>
    </row>
    <row r="36" spans="2:11" x14ac:dyDescent="0.3">
      <c r="B36" s="168">
        <v>3</v>
      </c>
      <c r="C36" s="49"/>
      <c r="D36" s="48"/>
      <c r="E36" s="48" t="str">
        <f>IF(C36="","",_xll.RSA_BAR_FORCE_DATA("EXTREMUM","MY","MAX",$D$24,$C36,21))</f>
        <v/>
      </c>
      <c r="F36" s="48" t="str">
        <f>IF(C36="","",_xll.RSA_BAR_FORCE_DATA("EXTREMUM","MY","MIN",$D$24,$C36,21))</f>
        <v/>
      </c>
      <c r="G36" s="48" t="str">
        <f>IF(C36="","",_xll.RSA_BAR_FORCE_DATA("EXTREMUM","FZ","MIN",$D$24,$C36,21))</f>
        <v/>
      </c>
      <c r="H36" s="48" t="str">
        <f>IF(C36="","",_xll.RSA_BAR_FORCE_DATA("EXTREMUM","FZ","MAX",$D$24,$C36,21))</f>
        <v/>
      </c>
      <c r="I36" s="48" t="str">
        <f>IF(D36="","",_xll.RSA_BAR_FORCE_DATA("EXTREMUM","FZ","MAX",$D$24,$C36,21))</f>
        <v/>
      </c>
      <c r="J36" s="48" t="str">
        <f>IF(E36="","",_xll.RSA_BAR_FORCE_DATA("EXTREMUM","FZ","MAX",$D$24,$C36,21))</f>
        <v/>
      </c>
      <c r="K36" s="15"/>
    </row>
    <row r="37" spans="2:11" x14ac:dyDescent="0.3">
      <c r="B37" s="168">
        <v>4</v>
      </c>
      <c r="C37" s="49"/>
      <c r="D37" s="48"/>
      <c r="E37" s="48" t="str">
        <f>IF(C37="","",_xll.RSA_BAR_FORCE_DATA("EXTREMUM","MY","MAX",$D$24,$C37,21))</f>
        <v/>
      </c>
      <c r="F37" s="48" t="str">
        <f>IF(C37="","",_xll.RSA_BAR_FORCE_DATA("EXTREMUM","MY","MIN",$D$24,$C37,21))</f>
        <v/>
      </c>
      <c r="G37" s="48" t="str">
        <f>IF(C37="","",_xll.RSA_BAR_FORCE_DATA("EXTREMUM","FZ","MIN",$D$24,$C37,21))</f>
        <v/>
      </c>
      <c r="H37" s="48" t="str">
        <f>IF(C37="","",_xll.RSA_BAR_FORCE_DATA("EXTREMUM","FZ","MAX",$D$24,$C37,21))</f>
        <v/>
      </c>
      <c r="I37" s="48" t="str">
        <f>IF(D37="","",_xll.RSA_BAR_FORCE_DATA("EXTREMUM","FZ","MAX",$D$24,$C37,21))</f>
        <v/>
      </c>
      <c r="J37" s="48" t="str">
        <f>IF(E37="","",_xll.RSA_BAR_FORCE_DATA("EXTREMUM","FZ","MAX",$D$24,$C37,21))</f>
        <v/>
      </c>
      <c r="K37" s="15"/>
    </row>
    <row r="38" spans="2:11" x14ac:dyDescent="0.3">
      <c r="B38" s="168">
        <v>5</v>
      </c>
      <c r="C38" s="49"/>
      <c r="D38" s="48"/>
      <c r="E38" s="48" t="str">
        <f>IF(C38="","",_xll.RSA_BAR_FORCE_DATA("EXTREMUM","MY","MAX",$D$24,$C38,21))</f>
        <v/>
      </c>
      <c r="F38" s="48" t="str">
        <f>IF(C38="","",_xll.RSA_BAR_FORCE_DATA("EXTREMUM","MY","MIN",$D$24,$C38,21))</f>
        <v/>
      </c>
      <c r="G38" s="48" t="str">
        <f>IF(C38="","",_xll.RSA_BAR_FORCE_DATA("EXTREMUM","FZ","MIN",$D$24,$C38,21))</f>
        <v/>
      </c>
      <c r="H38" s="48" t="str">
        <f>IF(C38="","",_xll.RSA_BAR_FORCE_DATA("EXTREMUM","FZ","MAX",$D$24,$C38,21))</f>
        <v/>
      </c>
      <c r="I38" s="48" t="str">
        <f>IF(D38="","",_xll.RSA_BAR_FORCE_DATA("EXTREMUM","FZ","MAX",$D$24,$C38,21))</f>
        <v/>
      </c>
      <c r="J38" s="48" t="str">
        <f>IF(E38="","",_xll.RSA_BAR_FORCE_DATA("EXTREMUM","FZ","MAX",$D$24,$C38,21))</f>
        <v/>
      </c>
      <c r="K38" s="15"/>
    </row>
    <row r="39" spans="2:11" x14ac:dyDescent="0.3">
      <c r="B39" s="168">
        <v>6</v>
      </c>
      <c r="C39" s="49"/>
      <c r="D39" s="48" t="str">
        <f>IF(C39="","",_xll.RSA_CASE_DATA("NAME",C39))</f>
        <v/>
      </c>
      <c r="E39" s="48" t="str">
        <f>IF(C39="","",_xll.RSA_BAR_FORCE_DATA("EXTREMUM","MY","MAX",$D$24,$C39,21))</f>
        <v/>
      </c>
      <c r="F39" s="48" t="str">
        <f>IF(C39="","",_xll.RSA_BAR_FORCE_DATA("EXTREMUM","MY","MIN",$D$24,$C39,21))</f>
        <v/>
      </c>
      <c r="G39" s="48" t="str">
        <f>IF(C39="","",_xll.RSA_BAR_FORCE_DATA("EXTREMUM","FZ","MIN",$D$24,$C39,21))</f>
        <v/>
      </c>
      <c r="H39" s="48" t="str">
        <f>IF(C39="","",_xll.RSA_BAR_FORCE_DATA("EXTREMUM","FZ","MAX",$D$24,$C39,21))</f>
        <v/>
      </c>
      <c r="I39" s="48" t="str">
        <f>IF(D39="","",_xll.RSA_BAR_FORCE_DATA("EXTREMUM","FZ","MAX",$D$24,$C39,21))</f>
        <v/>
      </c>
      <c r="J39" s="48" t="str">
        <f>IF(E39="","",_xll.RSA_BAR_FORCE_DATA("EXTREMUM","FZ","MAX",$D$24,$C39,21))</f>
        <v/>
      </c>
      <c r="K39" s="15"/>
    </row>
    <row r="40" spans="2:11" x14ac:dyDescent="0.3">
      <c r="B40" s="168">
        <v>7</v>
      </c>
      <c r="C40" s="49"/>
      <c r="D40" s="48" t="str">
        <f>IF(C40="","",_xll.RSA_CASE_DATA("NAME",C40))</f>
        <v/>
      </c>
      <c r="E40" s="48" t="str">
        <f>IF(C40="","",_xll.RSA_BAR_FORCE_DATA("EXTREMUM","MY","MAX",$D$24,$C40,21))</f>
        <v/>
      </c>
      <c r="F40" s="48" t="str">
        <f>IF(C40="","",_xll.RSA_BAR_FORCE_DATA("EXTREMUM","MY","MIN",$D$24,$C40,21))</f>
        <v/>
      </c>
      <c r="G40" s="48" t="str">
        <f>IF(C40="","",_xll.RSA_BAR_FORCE_DATA("EXTREMUM","FZ","MIN",$D$24,$C40,21))</f>
        <v/>
      </c>
      <c r="H40" s="48" t="str">
        <f>IF(C40="","",_xll.RSA_BAR_FORCE_DATA("EXTREMUM","FZ","MAX",$D$24,$C40,21))</f>
        <v/>
      </c>
      <c r="I40" s="48" t="str">
        <f>IF(D40="","",_xll.RSA_BAR_FORCE_DATA("EXTREMUM","FZ","MAX",$D$24,$C40,21))</f>
        <v/>
      </c>
      <c r="J40" s="48" t="str">
        <f>IF(E40="","",_xll.RSA_BAR_FORCE_DATA("EXTREMUM","FZ","MAX",$D$24,$C40,21))</f>
        <v/>
      </c>
      <c r="K40" s="15"/>
    </row>
    <row r="41" spans="2:11" x14ac:dyDescent="0.3">
      <c r="B41" s="168">
        <v>8</v>
      </c>
      <c r="C41" s="49"/>
      <c r="D41" s="48" t="str">
        <f>IF(C41="","",_xll.RSA_CASE_DATA("NAME",C41))</f>
        <v/>
      </c>
      <c r="E41" s="48" t="str">
        <f>IF(C41="","",_xll.RSA_BAR_FORCE_DATA("EXTREMUM","MY","MAX",$D$24,$C41,21))</f>
        <v/>
      </c>
      <c r="F41" s="48" t="str">
        <f>IF(C41="","",_xll.RSA_BAR_FORCE_DATA("EXTREMUM","MY","MIN",$D$24,$C41,21))</f>
        <v/>
      </c>
      <c r="G41" s="48" t="str">
        <f>IF(C41="","",_xll.RSA_BAR_FORCE_DATA("EXTREMUM","FZ","MIN",$D$24,$C41,21))</f>
        <v/>
      </c>
      <c r="H41" s="48" t="str">
        <f>IF(C41="","",_xll.RSA_BAR_FORCE_DATA("EXTREMUM","FZ","MAX",$D$24,$C41,21))</f>
        <v/>
      </c>
      <c r="I41" s="48" t="str">
        <f>IF(D41="","",_xll.RSA_BAR_FORCE_DATA("EXTREMUM","FZ","MAX",$D$24,$C41,21))</f>
        <v/>
      </c>
      <c r="J41" s="48" t="str">
        <f>IF(E41="","",_xll.RSA_BAR_FORCE_DATA("EXTREMUM","FZ","MAX",$D$24,$C41,21))</f>
        <v/>
      </c>
      <c r="K41" s="15"/>
    </row>
    <row r="42" spans="2:11" x14ac:dyDescent="0.3">
      <c r="B42" s="168">
        <v>9</v>
      </c>
      <c r="C42" s="49"/>
      <c r="D42" s="48" t="str">
        <f>IF(C42="","",_xll.RSA_CASE_DATA("NAME",C42))</f>
        <v/>
      </c>
      <c r="E42" s="48" t="str">
        <f>IF(C42="","",_xll.RSA_BAR_FORCE_DATA("EXTREMUM","MY","MAX",$D$24,$C42,21))</f>
        <v/>
      </c>
      <c r="F42" s="48" t="str">
        <f>IF(C42="","",_xll.RSA_BAR_FORCE_DATA("EXTREMUM","MY","MIN",$D$24,$C42,21))</f>
        <v/>
      </c>
      <c r="G42" s="48" t="str">
        <f>IF(C42="","",_xll.RSA_BAR_FORCE_DATA("EXTREMUM","FZ","MIN",$D$24,$C42,21))</f>
        <v/>
      </c>
      <c r="H42" s="48" t="str">
        <f>IF(C42="","",_xll.RSA_BAR_FORCE_DATA("EXTREMUM","FZ","MAX",$D$24,$C42,21))</f>
        <v/>
      </c>
      <c r="I42" s="48" t="str">
        <f>IF(D42="","",_xll.RSA_BAR_FORCE_DATA("EXTREMUM","FZ","MAX",$D$24,$C42,21))</f>
        <v/>
      </c>
      <c r="J42" s="48" t="str">
        <f>IF(E42="","",_xll.RSA_BAR_FORCE_DATA("EXTREMUM","FZ","MAX",$D$24,$C42,21))</f>
        <v/>
      </c>
      <c r="K42" s="15"/>
    </row>
    <row r="43" spans="2:11" x14ac:dyDescent="0.3">
      <c r="B43" s="168">
        <v>10</v>
      </c>
      <c r="C43" s="49"/>
      <c r="D43" s="48" t="str">
        <f>IF(C43="","",_xll.RSA_CASE_DATA("NAME",C43))</f>
        <v/>
      </c>
      <c r="E43" s="48" t="str">
        <f>IF(C43="","",_xll.RSA_BAR_FORCE_DATA("EXTREMUM","MY","MAX",$D$24,$C43,21))</f>
        <v/>
      </c>
      <c r="F43" s="48" t="str">
        <f>IF(C43="","",_xll.RSA_BAR_FORCE_DATA("EXTREMUM","MY","MIN",$D$24,$C43,21))</f>
        <v/>
      </c>
      <c r="G43" s="48" t="str">
        <f>IF(C43="","",_xll.RSA_BAR_FORCE_DATA("EXTREMUM","FZ","MIN",$D$24,$C43,21))</f>
        <v/>
      </c>
      <c r="H43" s="48" t="str">
        <f>IF(C43="","",_xll.RSA_BAR_FORCE_DATA("EXTREMUM","FZ","MAX",$D$24,$C43,21))</f>
        <v/>
      </c>
      <c r="I43" s="48" t="str">
        <f>IF(D43="","",_xll.RSA_BAR_FORCE_DATA("EXTREMUM","FZ","MAX",$D$24,$C43,21))</f>
        <v/>
      </c>
      <c r="J43" s="48" t="str">
        <f>IF(E43="","",_xll.RSA_BAR_FORCE_DATA("EXTREMUM","FZ","MAX",$D$24,$C43,21))</f>
        <v/>
      </c>
      <c r="K43" s="15"/>
    </row>
    <row r="44" spans="2:11" x14ac:dyDescent="0.3">
      <c r="B44" s="16"/>
      <c r="C44" s="17"/>
      <c r="D44" s="17"/>
      <c r="E44" s="14"/>
      <c r="F44" s="14"/>
      <c r="G44" s="14"/>
      <c r="H44" s="14"/>
      <c r="I44" s="14"/>
      <c r="J44" s="14"/>
      <c r="K44" s="15"/>
    </row>
    <row r="45" spans="2:11" ht="15" thickBot="1" x14ac:dyDescent="0.35">
      <c r="B45" s="28"/>
      <c r="C45" s="29"/>
      <c r="D45" s="29"/>
      <c r="E45" s="30"/>
      <c r="F45" s="30"/>
      <c r="G45" s="30"/>
      <c r="H45" s="30"/>
      <c r="I45" s="30"/>
      <c r="J45" s="30"/>
      <c r="K45" s="31"/>
    </row>
    <row r="47" spans="2:11" ht="15" thickBot="1" x14ac:dyDescent="0.35"/>
    <row r="48" spans="2:11" x14ac:dyDescent="0.3">
      <c r="B48" s="32"/>
      <c r="C48" s="33"/>
      <c r="D48" s="33"/>
      <c r="E48" s="34"/>
      <c r="F48" s="34"/>
      <c r="G48" s="34"/>
      <c r="H48" s="34"/>
      <c r="I48" s="34"/>
      <c r="J48" s="34"/>
      <c r="K48" s="10"/>
    </row>
    <row r="49" spans="2:11" x14ac:dyDescent="0.3">
      <c r="B49" s="16"/>
      <c r="C49" s="17"/>
      <c r="D49" s="187" t="s">
        <v>260</v>
      </c>
      <c r="E49" s="14"/>
      <c r="F49" s="14"/>
      <c r="G49" s="14"/>
      <c r="H49" s="14"/>
      <c r="I49" s="14"/>
      <c r="J49" s="14"/>
      <c r="K49" s="15"/>
    </row>
    <row r="50" spans="2:11" x14ac:dyDescent="0.3">
      <c r="B50" s="169" t="s">
        <v>290</v>
      </c>
      <c r="C50" s="17"/>
      <c r="D50" s="17"/>
      <c r="E50" s="14"/>
      <c r="F50" s="14"/>
      <c r="G50" s="14"/>
      <c r="H50" s="14"/>
      <c r="I50" s="14"/>
      <c r="J50" s="14"/>
      <c r="K50" s="15"/>
    </row>
    <row r="51" spans="2:11" x14ac:dyDescent="0.3">
      <c r="B51" s="16" t="s">
        <v>42</v>
      </c>
      <c r="C51" s="17"/>
      <c r="D51" s="51">
        <f>MAX(E34:E43)</f>
        <v>38.561987263018551</v>
      </c>
      <c r="E51" s="14" t="s">
        <v>54</v>
      </c>
      <c r="F51" s="14"/>
      <c r="G51" s="14"/>
      <c r="H51" s="14"/>
      <c r="I51" s="14"/>
      <c r="J51" s="14"/>
      <c r="K51" s="15"/>
    </row>
    <row r="52" spans="2:11" x14ac:dyDescent="0.3">
      <c r="B52" s="16" t="s">
        <v>43</v>
      </c>
      <c r="C52" s="17"/>
      <c r="D52" s="51">
        <f>MIN(F34:F43)</f>
        <v>-74.710508101815108</v>
      </c>
      <c r="E52" s="14" t="s">
        <v>54</v>
      </c>
      <c r="F52" s="14"/>
      <c r="G52" s="14"/>
      <c r="H52" s="14"/>
      <c r="I52" s="14"/>
      <c r="J52" s="14"/>
      <c r="K52" s="15"/>
    </row>
    <row r="53" spans="2:11" x14ac:dyDescent="0.3">
      <c r="B53" s="16"/>
      <c r="C53" s="17"/>
      <c r="D53" s="17"/>
      <c r="E53" s="17"/>
      <c r="F53" s="14"/>
      <c r="G53" s="14"/>
      <c r="H53" s="14"/>
      <c r="I53" s="14"/>
      <c r="J53" s="14"/>
      <c r="K53" s="15"/>
    </row>
    <row r="54" spans="2:11" x14ac:dyDescent="0.3">
      <c r="B54" s="16"/>
      <c r="C54" s="17"/>
      <c r="D54" s="17"/>
      <c r="E54" s="17"/>
      <c r="F54" s="14"/>
      <c r="G54" s="14"/>
      <c r="H54" s="14"/>
      <c r="I54" s="14"/>
      <c r="J54" s="14"/>
      <c r="K54" s="15"/>
    </row>
    <row r="55" spans="2:11" x14ac:dyDescent="0.3">
      <c r="B55" s="16"/>
      <c r="C55" s="17"/>
      <c r="D55" s="17"/>
      <c r="E55" s="14"/>
      <c r="F55" s="14"/>
      <c r="G55" s="14"/>
      <c r="H55" s="14"/>
      <c r="I55" s="14"/>
      <c r="J55" s="14"/>
      <c r="K55" s="15"/>
    </row>
    <row r="56" spans="2:11" x14ac:dyDescent="0.3">
      <c r="B56" s="188" t="s">
        <v>58</v>
      </c>
      <c r="C56" s="17"/>
      <c r="D56" s="17"/>
      <c r="E56" s="14"/>
      <c r="F56" s="14"/>
      <c r="G56" s="189" t="s">
        <v>59</v>
      </c>
      <c r="H56" s="14"/>
      <c r="I56" s="14"/>
      <c r="J56" s="14"/>
      <c r="K56" s="15"/>
    </row>
    <row r="57" spans="2:11" x14ac:dyDescent="0.3">
      <c r="B57" s="16" t="s">
        <v>57</v>
      </c>
      <c r="C57" s="17"/>
      <c r="D57" s="14">
        <f>MAX(D51,0)/D19/D27/D30/D30*1000000</f>
        <v>0.12022068606752263</v>
      </c>
      <c r="E57" s="14"/>
      <c r="F57" s="14"/>
      <c r="G57" s="14" t="s">
        <v>66</v>
      </c>
      <c r="H57" s="14"/>
      <c r="I57" s="14">
        <f>-MIN(0,D52)/D19/D27/D30/D30*1000000</f>
        <v>0.23291715956420725</v>
      </c>
      <c r="J57" s="14"/>
      <c r="K57" s="15"/>
    </row>
    <row r="58" spans="2:11" x14ac:dyDescent="0.3">
      <c r="B58" s="16"/>
      <c r="C58" s="17"/>
      <c r="D58" s="17"/>
      <c r="E58" s="14"/>
      <c r="F58" s="14"/>
      <c r="G58" s="14"/>
      <c r="H58" s="14"/>
      <c r="I58" s="14"/>
      <c r="J58" s="14"/>
      <c r="K58" s="15"/>
    </row>
    <row r="59" spans="2:11" x14ac:dyDescent="0.3">
      <c r="B59" s="16"/>
      <c r="C59" s="17"/>
      <c r="D59" s="17" t="s">
        <v>62</v>
      </c>
      <c r="E59" s="14" t="s">
        <v>63</v>
      </c>
      <c r="F59" s="14"/>
      <c r="G59" s="14"/>
      <c r="H59" s="14"/>
      <c r="I59" s="14" t="s">
        <v>62</v>
      </c>
      <c r="J59" s="14" t="s">
        <v>63</v>
      </c>
      <c r="K59" s="15"/>
    </row>
    <row r="60" spans="2:11" x14ac:dyDescent="0.3">
      <c r="B60" s="16" t="s">
        <v>61</v>
      </c>
      <c r="C60" s="17"/>
      <c r="D60" s="14" cm="1">
        <f t="array" ref="D60:E60">[1]!PureBendingDesign(D57,H28*D6,D6)</f>
        <v>0.12847339233676405</v>
      </c>
      <c r="E60" s="14">
        <v>0</v>
      </c>
      <c r="F60" s="14"/>
      <c r="G60" s="14" t="s">
        <v>61</v>
      </c>
      <c r="H60" s="14"/>
      <c r="I60" s="14" cm="1">
        <f t="array" ref="I60:J60">[1]!PureBendingDesign(I57,H28*D6,D6)</f>
        <v>0.26913360913341322</v>
      </c>
      <c r="J60" s="14">
        <v>0</v>
      </c>
      <c r="K60" s="15"/>
    </row>
    <row r="61" spans="2:11" x14ac:dyDescent="0.3">
      <c r="B61" s="16" t="s">
        <v>64</v>
      </c>
      <c r="C61" s="17"/>
      <c r="D61" s="14">
        <f>D60*D19/D18</f>
        <v>5.4172947102002168E-3</v>
      </c>
      <c r="E61" s="14">
        <f>E60*D19/D18</f>
        <v>0</v>
      </c>
      <c r="F61" s="14"/>
      <c r="G61" s="14" t="s">
        <v>64</v>
      </c>
      <c r="H61" s="14"/>
      <c r="I61" s="14">
        <f>I60*D19/D18</f>
        <v>1.1348467185125588E-2</v>
      </c>
      <c r="J61" s="14">
        <f>J60*D19/D18</f>
        <v>0</v>
      </c>
      <c r="K61" s="15"/>
    </row>
    <row r="62" spans="2:11" x14ac:dyDescent="0.3">
      <c r="B62" s="16" t="s">
        <v>65</v>
      </c>
      <c r="C62" s="17"/>
      <c r="D62" s="14">
        <f>D61*D27*D30</f>
        <v>292.5339143508117</v>
      </c>
      <c r="E62" s="14">
        <f>E61*D27*D30</f>
        <v>0</v>
      </c>
      <c r="F62" s="14"/>
      <c r="G62" s="14" t="s">
        <v>65</v>
      </c>
      <c r="H62" s="14"/>
      <c r="I62" s="14">
        <f>I61*D27*D30</f>
        <v>612.81722799678175</v>
      </c>
      <c r="J62" s="14">
        <f>J61*D27*D30</f>
        <v>0</v>
      </c>
      <c r="K62" s="15"/>
    </row>
    <row r="63" spans="2:11" x14ac:dyDescent="0.3">
      <c r="B63" s="16"/>
      <c r="C63" s="17"/>
      <c r="D63" s="17"/>
      <c r="E63" s="14"/>
      <c r="F63" s="14"/>
      <c r="G63" s="14"/>
      <c r="H63" s="14"/>
      <c r="I63" s="14"/>
      <c r="J63" s="14"/>
      <c r="K63" s="15"/>
    </row>
    <row r="64" spans="2:11" x14ac:dyDescent="0.3">
      <c r="B64" s="169" t="s">
        <v>259</v>
      </c>
      <c r="C64" s="17"/>
      <c r="D64" s="17"/>
      <c r="E64" s="14"/>
      <c r="F64" s="14" t="s">
        <v>71</v>
      </c>
      <c r="G64" s="14" t="s">
        <v>73</v>
      </c>
      <c r="H64" s="14" t="s">
        <v>72</v>
      </c>
      <c r="I64" s="14"/>
      <c r="J64" s="14"/>
      <c r="K64" s="15"/>
    </row>
    <row r="65" spans="2:11" x14ac:dyDescent="0.3">
      <c r="B65" s="16" t="s">
        <v>68</v>
      </c>
      <c r="C65" s="17"/>
      <c r="D65" s="17"/>
      <c r="E65" s="14"/>
      <c r="F65" s="14"/>
      <c r="G65" s="14"/>
      <c r="H65" s="14"/>
      <c r="I65" s="14"/>
      <c r="J65" s="14"/>
      <c r="K65" s="15"/>
    </row>
    <row r="66" spans="2:11" x14ac:dyDescent="0.3">
      <c r="B66" s="16" t="s">
        <v>74</v>
      </c>
      <c r="C66" s="17"/>
      <c r="D66" s="113">
        <f>MAX(E62,I62,0.1*D62)</f>
        <v>612.81722799678175</v>
      </c>
      <c r="E66" s="14" t="s">
        <v>70</v>
      </c>
      <c r="F66" s="14"/>
      <c r="G66" s="14"/>
      <c r="H66" s="14"/>
      <c r="I66" s="14"/>
      <c r="J66" s="14"/>
      <c r="K66" s="15"/>
    </row>
    <row r="67" spans="2:11" x14ac:dyDescent="0.3">
      <c r="B67" s="16" t="s">
        <v>71</v>
      </c>
      <c r="C67" s="17"/>
      <c r="D67" s="14">
        <v>12</v>
      </c>
      <c r="E67" s="14" t="s">
        <v>38</v>
      </c>
      <c r="F67" s="14" t="s">
        <v>75</v>
      </c>
      <c r="G67" s="14"/>
      <c r="H67" s="14">
        <f>3.14*D67*D67/4</f>
        <v>113.03999999999999</v>
      </c>
      <c r="I67" s="14" t="s">
        <v>70</v>
      </c>
      <c r="J67" s="14"/>
      <c r="K67" s="15"/>
    </row>
    <row r="68" spans="2:11" x14ac:dyDescent="0.3">
      <c r="B68" s="16" t="s">
        <v>72</v>
      </c>
      <c r="C68" s="17"/>
      <c r="D68" s="14">
        <f>MAX(ROUNDUP(D66/H67,0),2)</f>
        <v>6</v>
      </c>
      <c r="E68" s="14"/>
      <c r="F68" s="14" t="s">
        <v>76</v>
      </c>
      <c r="G68" s="14"/>
      <c r="H68" s="14">
        <f>D68*H67</f>
        <v>678.24</v>
      </c>
      <c r="I68" s="14" t="s">
        <v>70</v>
      </c>
      <c r="J68" s="14"/>
      <c r="K68" s="15"/>
    </row>
    <row r="69" spans="2:11" x14ac:dyDescent="0.3">
      <c r="B69" s="16"/>
      <c r="C69" s="17"/>
      <c r="D69" s="17"/>
      <c r="E69" s="14"/>
      <c r="F69" s="14"/>
      <c r="G69" s="14"/>
      <c r="H69" s="14"/>
      <c r="I69" s="14"/>
      <c r="J69" s="14"/>
      <c r="K69" s="15"/>
    </row>
    <row r="70" spans="2:11" x14ac:dyDescent="0.3">
      <c r="B70" s="16" t="s">
        <v>69</v>
      </c>
      <c r="C70" s="17"/>
      <c r="D70" s="17"/>
      <c r="E70" s="14"/>
      <c r="F70" s="14"/>
      <c r="G70" s="14"/>
      <c r="H70" s="14"/>
      <c r="I70" s="14"/>
      <c r="J70" s="14"/>
      <c r="K70" s="15"/>
    </row>
    <row r="71" spans="2:11" x14ac:dyDescent="0.3">
      <c r="B71" s="16" t="s">
        <v>74</v>
      </c>
      <c r="C71" s="17"/>
      <c r="D71" s="113">
        <f>MAX(D62,J62,0.1*I62)</f>
        <v>292.5339143508117</v>
      </c>
      <c r="E71" s="14" t="s">
        <v>70</v>
      </c>
      <c r="F71" s="14"/>
      <c r="G71" s="14"/>
      <c r="H71" s="14"/>
      <c r="I71" s="14"/>
      <c r="J71" s="14"/>
      <c r="K71" s="15"/>
    </row>
    <row r="72" spans="2:11" x14ac:dyDescent="0.3">
      <c r="B72" s="16" t="s">
        <v>71</v>
      </c>
      <c r="C72" s="17"/>
      <c r="D72" s="14">
        <v>12</v>
      </c>
      <c r="E72" s="14" t="s">
        <v>38</v>
      </c>
      <c r="F72" s="14" t="s">
        <v>75</v>
      </c>
      <c r="G72" s="14"/>
      <c r="H72" s="14">
        <f>3.14*D72*D72/4</f>
        <v>113.03999999999999</v>
      </c>
      <c r="I72" s="14" t="s">
        <v>70</v>
      </c>
      <c r="J72" s="14"/>
      <c r="K72" s="15"/>
    </row>
    <row r="73" spans="2:11" x14ac:dyDescent="0.3">
      <c r="B73" s="16" t="s">
        <v>72</v>
      </c>
      <c r="C73" s="17"/>
      <c r="D73" s="14">
        <f>MAX(ROUNDUP(D71/H72,0),2)</f>
        <v>3</v>
      </c>
      <c r="E73" s="14"/>
      <c r="F73" s="14" t="s">
        <v>76</v>
      </c>
      <c r="G73" s="14"/>
      <c r="H73" s="14">
        <f>D73*H72</f>
        <v>339.12</v>
      </c>
      <c r="I73" s="14" t="s">
        <v>70</v>
      </c>
      <c r="J73" s="14"/>
      <c r="K73" s="15"/>
    </row>
    <row r="74" spans="2:11" x14ac:dyDescent="0.3">
      <c r="B74" s="16"/>
      <c r="C74" s="17"/>
      <c r="D74" s="17"/>
      <c r="E74" s="14"/>
      <c r="F74" s="14"/>
      <c r="G74" s="14"/>
      <c r="H74" s="14"/>
      <c r="I74" s="14"/>
      <c r="J74" s="14"/>
      <c r="K74" s="15"/>
    </row>
    <row r="75" spans="2:11" x14ac:dyDescent="0.3">
      <c r="B75" s="16" t="s">
        <v>77</v>
      </c>
      <c r="C75" s="17"/>
      <c r="D75" s="17" t="s">
        <v>72</v>
      </c>
      <c r="E75" s="173">
        <f>D68</f>
        <v>6</v>
      </c>
      <c r="F75" s="37" t="s">
        <v>71</v>
      </c>
      <c r="G75" s="173">
        <f>D67</f>
        <v>12</v>
      </c>
      <c r="H75" s="37" t="s">
        <v>38</v>
      </c>
      <c r="I75" s="14"/>
      <c r="J75" s="14"/>
      <c r="K75" s="15"/>
    </row>
    <row r="76" spans="2:11" x14ac:dyDescent="0.3">
      <c r="B76" s="16" t="s">
        <v>78</v>
      </c>
      <c r="C76" s="17"/>
      <c r="D76" s="17" t="s">
        <v>72</v>
      </c>
      <c r="E76" s="173">
        <f>D73</f>
        <v>3</v>
      </c>
      <c r="F76" s="37" t="s">
        <v>71</v>
      </c>
      <c r="G76" s="173">
        <f>D72</f>
        <v>12</v>
      </c>
      <c r="H76" s="37" t="s">
        <v>38</v>
      </c>
      <c r="I76" s="14"/>
      <c r="J76" s="14"/>
      <c r="K76" s="15"/>
    </row>
    <row r="77" spans="2:11" x14ac:dyDescent="0.3">
      <c r="B77" s="16"/>
      <c r="C77" s="17"/>
      <c r="D77" s="17"/>
      <c r="E77" s="14"/>
      <c r="F77" s="14"/>
      <c r="G77" s="14"/>
      <c r="H77" s="14"/>
      <c r="I77" s="14"/>
      <c r="J77" s="14"/>
      <c r="K77" s="15"/>
    </row>
    <row r="78" spans="2:11" x14ac:dyDescent="0.3">
      <c r="B78" s="16"/>
      <c r="C78" s="17"/>
      <c r="D78" s="17"/>
      <c r="E78" s="14"/>
      <c r="F78" s="14"/>
      <c r="G78" s="14"/>
      <c r="H78" s="14"/>
      <c r="I78" s="14"/>
      <c r="J78" s="14"/>
      <c r="K78" s="15"/>
    </row>
    <row r="79" spans="2:11" x14ac:dyDescent="0.3">
      <c r="B79" s="16"/>
      <c r="C79" s="17"/>
      <c r="D79" s="17"/>
      <c r="E79" s="14"/>
      <c r="F79" s="14"/>
      <c r="G79" s="14"/>
      <c r="H79" s="14"/>
      <c r="I79" s="14"/>
      <c r="J79" s="14"/>
      <c r="K79" s="15"/>
    </row>
    <row r="80" spans="2:11" x14ac:dyDescent="0.3">
      <c r="B80" s="16"/>
      <c r="C80" s="17"/>
      <c r="D80" s="17"/>
      <c r="E80" s="14"/>
      <c r="F80" s="14"/>
      <c r="G80" s="14"/>
      <c r="H80" s="14"/>
      <c r="I80" s="14"/>
      <c r="J80" s="14"/>
      <c r="K80" s="15"/>
    </row>
    <row r="81" spans="2:11" x14ac:dyDescent="0.3">
      <c r="B81" s="16"/>
      <c r="C81" s="17"/>
      <c r="D81" s="17"/>
      <c r="E81" s="14"/>
      <c r="F81" s="14"/>
      <c r="G81" s="14"/>
      <c r="H81" s="14"/>
      <c r="I81" s="14"/>
      <c r="J81" s="14"/>
      <c r="K81" s="15"/>
    </row>
    <row r="82" spans="2:11" x14ac:dyDescent="0.3">
      <c r="B82" s="16"/>
      <c r="C82" s="17"/>
      <c r="D82" s="17"/>
      <c r="E82" s="14"/>
      <c r="F82" s="14"/>
      <c r="G82" s="14"/>
      <c r="H82" s="14"/>
      <c r="I82" s="14"/>
      <c r="J82" s="14"/>
      <c r="K82" s="15"/>
    </row>
    <row r="83" spans="2:11" x14ac:dyDescent="0.3">
      <c r="B83" s="16"/>
      <c r="C83" s="17"/>
      <c r="D83" s="17"/>
      <c r="E83" s="14"/>
      <c r="F83" s="14"/>
      <c r="G83" s="14"/>
      <c r="H83" s="14"/>
      <c r="I83" s="14"/>
      <c r="J83" s="14"/>
      <c r="K83" s="15"/>
    </row>
    <row r="84" spans="2:11" x14ac:dyDescent="0.3">
      <c r="B84" s="16"/>
      <c r="C84" s="17"/>
      <c r="D84" s="17"/>
      <c r="E84" s="14"/>
      <c r="F84" s="14"/>
      <c r="G84" s="14"/>
      <c r="H84" s="14"/>
      <c r="I84" s="14"/>
      <c r="J84" s="14"/>
      <c r="K84" s="15"/>
    </row>
    <row r="85" spans="2:11" x14ac:dyDescent="0.3">
      <c r="B85" s="16"/>
      <c r="C85" s="17"/>
      <c r="D85" s="17"/>
      <c r="E85" s="14"/>
      <c r="F85" s="14"/>
      <c r="G85" s="14"/>
      <c r="H85" s="14"/>
      <c r="I85" s="14"/>
      <c r="J85" s="14"/>
      <c r="K85" s="15"/>
    </row>
    <row r="86" spans="2:11" x14ac:dyDescent="0.3">
      <c r="B86" s="16"/>
      <c r="C86" s="17"/>
      <c r="D86" s="17"/>
      <c r="E86" s="14"/>
      <c r="F86" s="14"/>
      <c r="G86" s="14"/>
      <c r="H86" s="14"/>
      <c r="I86" s="14"/>
      <c r="J86" s="14"/>
      <c r="K86" s="15"/>
    </row>
    <row r="87" spans="2:11" x14ac:dyDescent="0.3">
      <c r="B87" s="16"/>
      <c r="C87" s="17"/>
      <c r="D87" s="17"/>
      <c r="E87" s="14"/>
      <c r="F87" s="14"/>
      <c r="G87" s="14"/>
      <c r="H87" s="14"/>
      <c r="I87" s="14"/>
      <c r="J87" s="14"/>
      <c r="K87" s="15"/>
    </row>
    <row r="88" spans="2:11" x14ac:dyDescent="0.3">
      <c r="B88" s="16"/>
      <c r="C88" s="17"/>
      <c r="D88" s="17"/>
      <c r="E88" s="14"/>
      <c r="F88" s="14"/>
      <c r="G88" s="14"/>
      <c r="H88" s="14"/>
      <c r="I88" s="14"/>
      <c r="J88" s="14"/>
      <c r="K88" s="15"/>
    </row>
    <row r="89" spans="2:11" x14ac:dyDescent="0.3">
      <c r="B89" s="16"/>
      <c r="C89" s="17"/>
      <c r="D89" s="17"/>
      <c r="E89" s="14"/>
      <c r="F89" s="14"/>
      <c r="G89" s="14"/>
      <c r="H89" s="14"/>
      <c r="I89" s="14"/>
      <c r="J89" s="14"/>
      <c r="K89" s="15"/>
    </row>
    <row r="90" spans="2:11" x14ac:dyDescent="0.3">
      <c r="B90" s="16"/>
      <c r="C90" s="17"/>
      <c r="D90" s="17"/>
      <c r="E90" s="14"/>
      <c r="F90" s="14"/>
      <c r="G90" s="14"/>
      <c r="H90" s="14"/>
      <c r="I90" s="14"/>
      <c r="J90" s="14"/>
      <c r="K90" s="15"/>
    </row>
    <row r="91" spans="2:11" ht="15" thickBot="1" x14ac:dyDescent="0.35">
      <c r="B91" s="28"/>
      <c r="C91" s="29"/>
      <c r="D91" s="29"/>
      <c r="E91" s="30"/>
      <c r="F91" s="30"/>
      <c r="G91" s="30"/>
      <c r="H91" s="30"/>
      <c r="I91" s="30"/>
      <c r="J91" s="30"/>
      <c r="K91" s="31"/>
    </row>
    <row r="92" spans="2:11" ht="15" thickBot="1" x14ac:dyDescent="0.35"/>
    <row r="93" spans="2:11" x14ac:dyDescent="0.3">
      <c r="B93" s="171" t="s">
        <v>261</v>
      </c>
      <c r="C93" s="33"/>
      <c r="D93" s="33"/>
      <c r="E93" s="34"/>
      <c r="F93" s="34"/>
      <c r="G93" s="34"/>
      <c r="H93" s="34"/>
      <c r="I93" s="34"/>
      <c r="J93" s="34"/>
      <c r="K93" s="10"/>
    </row>
    <row r="94" spans="2:11" x14ac:dyDescent="0.3">
      <c r="B94" s="169" t="s">
        <v>290</v>
      </c>
      <c r="C94" s="14"/>
      <c r="D94" s="14"/>
      <c r="E94" s="14"/>
      <c r="F94" s="14"/>
      <c r="G94" s="176" t="s">
        <v>284</v>
      </c>
      <c r="H94" s="176"/>
      <c r="I94" s="41" t="b">
        <v>0</v>
      </c>
      <c r="J94" s="14"/>
      <c r="K94" s="15"/>
    </row>
    <row r="95" spans="2:11" x14ac:dyDescent="0.3">
      <c r="B95" s="16" t="s">
        <v>53</v>
      </c>
      <c r="C95" s="14"/>
      <c r="D95" s="51">
        <f>MAX(MAX(G34:H43),ABS(MIN(G34:H43)))</f>
        <v>117.5824807153157</v>
      </c>
      <c r="E95" s="14" t="s">
        <v>55</v>
      </c>
      <c r="F95" s="14"/>
      <c r="G95" s="74" t="s">
        <v>285</v>
      </c>
      <c r="H95" s="74"/>
      <c r="I95" s="74"/>
      <c r="J95" s="74"/>
      <c r="K95" s="15"/>
    </row>
    <row r="96" spans="2:11" x14ac:dyDescent="0.3">
      <c r="B96" s="16" t="s">
        <v>256</v>
      </c>
      <c r="C96" s="14"/>
      <c r="D96" s="51">
        <f>IF(I94=TRUE,MAX(MAX(I34:J43),ABS(MIN(I34:J43))),0)</f>
        <v>0</v>
      </c>
      <c r="E96" s="14" t="s">
        <v>54</v>
      </c>
      <c r="F96" s="14"/>
      <c r="G96" s="74" t="s">
        <v>286</v>
      </c>
      <c r="H96" s="74"/>
      <c r="I96" s="74"/>
      <c r="J96" s="74"/>
      <c r="K96" s="15"/>
    </row>
    <row r="97" spans="2:11" x14ac:dyDescent="0.3">
      <c r="B97" s="16"/>
      <c r="C97" s="14"/>
      <c r="D97" s="14"/>
      <c r="E97" s="14"/>
      <c r="F97" s="14"/>
      <c r="G97" s="74" t="s">
        <v>287</v>
      </c>
      <c r="H97" s="74"/>
      <c r="I97" s="74"/>
      <c r="J97" s="74"/>
      <c r="K97" s="15"/>
    </row>
    <row r="98" spans="2:11" x14ac:dyDescent="0.3">
      <c r="B98" s="16"/>
      <c r="C98" s="174" t="s">
        <v>268</v>
      </c>
      <c r="D98" s="170"/>
      <c r="E98" s="14"/>
      <c r="F98" s="14"/>
      <c r="G98" s="74" t="s">
        <v>288</v>
      </c>
      <c r="H98" s="74"/>
      <c r="I98" s="74"/>
      <c r="J98" s="74"/>
      <c r="K98" s="15"/>
    </row>
    <row r="99" spans="2:11" x14ac:dyDescent="0.3">
      <c r="B99" s="16" t="s">
        <v>264</v>
      </c>
      <c r="C99" s="14"/>
      <c r="D99" s="37">
        <f>D27</f>
        <v>120</v>
      </c>
      <c r="E99" s="175" t="s">
        <v>38</v>
      </c>
      <c r="F99" s="14"/>
      <c r="G99" s="74" t="s">
        <v>289</v>
      </c>
      <c r="H99" s="74"/>
      <c r="I99" s="74"/>
      <c r="J99" s="74"/>
      <c r="K99" s="15"/>
    </row>
    <row r="100" spans="2:11" x14ac:dyDescent="0.3">
      <c r="B100" s="16" t="s">
        <v>265</v>
      </c>
      <c r="C100" s="14"/>
      <c r="D100" s="37">
        <f>D30</f>
        <v>450</v>
      </c>
      <c r="E100" s="175" t="s">
        <v>38</v>
      </c>
      <c r="F100" s="14"/>
      <c r="G100" s="14"/>
      <c r="H100" s="14"/>
      <c r="I100" s="14"/>
      <c r="J100" s="14"/>
      <c r="K100" s="15"/>
    </row>
    <row r="101" spans="2:11" x14ac:dyDescent="0.3">
      <c r="B101" s="16" t="s">
        <v>37</v>
      </c>
      <c r="C101" s="14"/>
      <c r="D101" s="37">
        <v>25</v>
      </c>
      <c r="E101" s="37" t="s">
        <v>38</v>
      </c>
      <c r="F101" s="14"/>
      <c r="G101" s="14"/>
      <c r="H101" s="14"/>
      <c r="I101" s="14"/>
      <c r="J101" s="14"/>
      <c r="K101" s="15"/>
    </row>
    <row r="102" spans="2:11" x14ac:dyDescent="0.3">
      <c r="B102" s="16" t="s">
        <v>266</v>
      </c>
      <c r="C102" s="14"/>
      <c r="D102" s="14">
        <f>D99*D100</f>
        <v>54000</v>
      </c>
      <c r="E102" s="37" t="s">
        <v>70</v>
      </c>
      <c r="F102" s="14"/>
      <c r="G102" s="14"/>
      <c r="H102" s="14"/>
      <c r="I102" s="14"/>
      <c r="J102" s="14"/>
      <c r="K102" s="15"/>
    </row>
    <row r="103" spans="2:11" x14ac:dyDescent="0.3">
      <c r="B103" s="16" t="s">
        <v>267</v>
      </c>
      <c r="C103" s="14"/>
      <c r="D103" s="14">
        <f>2*(D99+D100)</f>
        <v>1140</v>
      </c>
      <c r="E103" s="37" t="s">
        <v>38</v>
      </c>
      <c r="F103" s="14"/>
      <c r="G103" s="14"/>
      <c r="H103" s="14"/>
      <c r="I103" s="14"/>
      <c r="J103" s="14"/>
      <c r="K103" s="15"/>
    </row>
    <row r="104" spans="2:11" x14ac:dyDescent="0.3">
      <c r="B104" s="16"/>
      <c r="C104" s="14"/>
      <c r="D104" s="14"/>
      <c r="E104" s="14"/>
      <c r="F104" s="14"/>
      <c r="G104" s="14"/>
      <c r="H104" s="14"/>
      <c r="I104" s="14"/>
      <c r="J104" s="14"/>
      <c r="K104" s="15"/>
    </row>
    <row r="105" spans="2:11" x14ac:dyDescent="0.3">
      <c r="B105" s="16" t="s">
        <v>262</v>
      </c>
      <c r="C105" s="14"/>
      <c r="D105" s="170">
        <f>D95/D27/D30*1000</f>
        <v>2.1774533465799202</v>
      </c>
      <c r="E105" s="14" t="s">
        <v>34</v>
      </c>
      <c r="F105" s="14"/>
      <c r="G105" s="14"/>
      <c r="H105" s="14"/>
      <c r="I105" s="14"/>
      <c r="J105" s="14"/>
      <c r="K105" s="15"/>
    </row>
    <row r="106" spans="2:11" ht="15" thickBot="1" x14ac:dyDescent="0.35">
      <c r="B106" s="16" t="s">
        <v>263</v>
      </c>
      <c r="C106" s="14"/>
      <c r="D106" s="14">
        <f>D96*1000000/1.7/D102/D102*D103</f>
        <v>0</v>
      </c>
      <c r="E106" s="14" t="s">
        <v>34</v>
      </c>
      <c r="F106" s="14"/>
      <c r="G106" s="14"/>
      <c r="H106" s="14"/>
      <c r="I106" s="14"/>
      <c r="J106" s="14"/>
      <c r="K106" s="15"/>
    </row>
    <row r="107" spans="2:11" ht="15" thickBot="1" x14ac:dyDescent="0.35">
      <c r="B107" s="16" t="s">
        <v>269</v>
      </c>
      <c r="C107" s="17"/>
      <c r="D107" s="170">
        <f>SQRT(D105*D105+D106*D106)</f>
        <v>2.1774533465799202</v>
      </c>
      <c r="E107" s="14" t="s">
        <v>34</v>
      </c>
      <c r="F107" s="14" t="s">
        <v>270</v>
      </c>
      <c r="G107" s="14"/>
      <c r="H107" s="177" t="str">
        <f>IF(D107&lt;D22,"Safe", "Dimminsion must increase")</f>
        <v>Safe</v>
      </c>
      <c r="I107" s="14"/>
      <c r="J107" s="14"/>
      <c r="K107" s="15"/>
    </row>
    <row r="108" spans="2:11" x14ac:dyDescent="0.3">
      <c r="B108" s="16"/>
      <c r="C108" s="17"/>
      <c r="D108" s="17"/>
      <c r="E108" s="14"/>
      <c r="F108" s="14"/>
      <c r="G108" s="14"/>
      <c r="H108" s="14"/>
      <c r="I108" s="14"/>
      <c r="J108" s="14"/>
      <c r="K108" s="15"/>
    </row>
    <row r="109" spans="2:11" x14ac:dyDescent="0.3">
      <c r="B109" s="16"/>
      <c r="C109" s="14"/>
      <c r="D109" s="14"/>
      <c r="E109" s="14"/>
      <c r="F109" s="14"/>
      <c r="G109" s="14"/>
      <c r="H109" s="14"/>
      <c r="I109" s="14"/>
      <c r="J109" s="14"/>
      <c r="K109" s="15"/>
    </row>
    <row r="110" spans="2:11" x14ac:dyDescent="0.3">
      <c r="B110" s="16"/>
      <c r="C110" s="176" t="s">
        <v>271</v>
      </c>
      <c r="D110" s="14"/>
      <c r="E110" s="14"/>
      <c r="F110" s="14"/>
      <c r="G110" s="14"/>
      <c r="H110" s="14"/>
      <c r="I110" s="14"/>
      <c r="J110" s="14"/>
      <c r="K110" s="15"/>
    </row>
    <row r="111" spans="2:11" x14ac:dyDescent="0.3">
      <c r="B111" s="16" t="s">
        <v>84</v>
      </c>
      <c r="C111" s="17"/>
      <c r="D111" s="170">
        <f>MAX(0,D105-D21)</f>
        <v>1.1041407173800211</v>
      </c>
      <c r="E111" s="14" t="s">
        <v>34</v>
      </c>
      <c r="F111" s="14"/>
      <c r="G111" s="14"/>
      <c r="H111" s="14"/>
      <c r="I111" s="14"/>
      <c r="J111" s="14"/>
      <c r="K111" s="15"/>
    </row>
    <row r="112" spans="2:11" x14ac:dyDescent="0.3">
      <c r="B112" s="16" t="s">
        <v>283</v>
      </c>
      <c r="C112" s="17"/>
      <c r="D112" s="185">
        <v>2</v>
      </c>
      <c r="E112" s="14"/>
      <c r="F112" s="14"/>
      <c r="G112" s="14"/>
      <c r="H112" s="14"/>
      <c r="I112" s="14"/>
      <c r="J112" s="14"/>
      <c r="K112" s="15"/>
    </row>
    <row r="113" spans="2:11" x14ac:dyDescent="0.3">
      <c r="B113" s="16" t="s">
        <v>85</v>
      </c>
      <c r="C113" s="17"/>
      <c r="D113" s="17">
        <f>D111*D27/D20/D112</f>
        <v>0.31744045624675604</v>
      </c>
      <c r="E113" s="14"/>
      <c r="F113" s="14"/>
      <c r="G113" s="14"/>
      <c r="H113" s="14"/>
      <c r="I113" s="14"/>
      <c r="J113" s="14"/>
      <c r="K113" s="15"/>
    </row>
    <row r="114" spans="2:11" x14ac:dyDescent="0.3">
      <c r="B114" s="16" t="s">
        <v>89</v>
      </c>
      <c r="C114" s="17"/>
      <c r="D114" s="17">
        <f>H131</f>
        <v>8</v>
      </c>
      <c r="E114" s="14" t="s">
        <v>38</v>
      </c>
      <c r="F114" s="14" t="s">
        <v>90</v>
      </c>
      <c r="G114" s="14">
        <f>3.14*D114*D114/4</f>
        <v>50.24</v>
      </c>
      <c r="H114" s="14" t="s">
        <v>70</v>
      </c>
      <c r="I114" s="14"/>
      <c r="J114" s="14"/>
      <c r="K114" s="15"/>
    </row>
    <row r="115" spans="2:11" x14ac:dyDescent="0.3">
      <c r="B115" s="16" t="s">
        <v>91</v>
      </c>
      <c r="C115" s="17"/>
      <c r="D115" s="17">
        <f>IFERROR(G114/D113,200)</f>
        <v>158.26590156154177</v>
      </c>
      <c r="E115" s="14"/>
      <c r="F115" s="14"/>
      <c r="G115" s="14"/>
      <c r="H115" s="14"/>
      <c r="I115" s="14"/>
      <c r="J115" s="14"/>
      <c r="K115" s="15"/>
    </row>
    <row r="116" spans="2:11" x14ac:dyDescent="0.3">
      <c r="B116" s="16"/>
      <c r="C116" s="17"/>
      <c r="D116" s="14"/>
      <c r="E116" s="14"/>
      <c r="F116" s="14"/>
      <c r="G116" s="14"/>
      <c r="H116" s="14"/>
      <c r="I116" s="14"/>
      <c r="J116" s="14"/>
      <c r="K116" s="15"/>
    </row>
    <row r="117" spans="2:11" x14ac:dyDescent="0.3">
      <c r="B117" s="16"/>
      <c r="C117" s="176" t="s">
        <v>272</v>
      </c>
      <c r="D117" s="14"/>
      <c r="E117" s="14"/>
      <c r="F117" s="14"/>
      <c r="G117" s="14"/>
      <c r="H117" s="14"/>
      <c r="I117" s="14"/>
      <c r="J117" s="14"/>
      <c r="K117" s="15"/>
    </row>
    <row r="118" spans="2:11" x14ac:dyDescent="0.3">
      <c r="B118" s="16" t="s">
        <v>273</v>
      </c>
      <c r="C118" s="14"/>
      <c r="D118" s="14" t="b">
        <f>IF(D106&lt;D23,TRUE,FALSE)</f>
        <v>1</v>
      </c>
      <c r="E118" s="14"/>
      <c r="F118" s="14"/>
      <c r="G118" s="14"/>
      <c r="H118" s="14"/>
      <c r="I118" s="14"/>
      <c r="J118" s="14"/>
      <c r="K118" s="15"/>
    </row>
    <row r="119" spans="2:11" x14ac:dyDescent="0.3">
      <c r="B119" s="16" t="s">
        <v>85</v>
      </c>
      <c r="C119" s="14"/>
      <c r="D119" s="14">
        <f>D96*1000000/1.7/D99/D100/D20</f>
        <v>0</v>
      </c>
      <c r="E119" s="14"/>
      <c r="F119" s="14"/>
      <c r="G119" s="14"/>
      <c r="H119" s="14"/>
      <c r="I119" s="14"/>
      <c r="J119" s="14"/>
      <c r="K119" s="15"/>
    </row>
    <row r="120" spans="2:11" x14ac:dyDescent="0.3">
      <c r="B120" s="16" t="s">
        <v>89</v>
      </c>
      <c r="C120" s="17"/>
      <c r="D120" s="17">
        <f>H132</f>
        <v>8</v>
      </c>
      <c r="E120" s="14" t="s">
        <v>38</v>
      </c>
      <c r="F120" s="14" t="s">
        <v>90</v>
      </c>
      <c r="G120" s="14">
        <f>3.14*D120*D120/4</f>
        <v>50.24</v>
      </c>
      <c r="H120" s="14" t="s">
        <v>70</v>
      </c>
      <c r="I120" s="14"/>
      <c r="J120" s="14"/>
      <c r="K120" s="15"/>
    </row>
    <row r="121" spans="2:11" x14ac:dyDescent="0.3">
      <c r="B121" s="16" t="s">
        <v>91</v>
      </c>
      <c r="C121" s="17"/>
      <c r="D121" s="170">
        <f>IFERROR(MIN(200,G120/D119),200)</f>
        <v>200</v>
      </c>
      <c r="E121" s="14" t="s">
        <v>38</v>
      </c>
      <c r="F121" s="14"/>
      <c r="G121" s="14"/>
      <c r="H121" s="14"/>
      <c r="I121" s="14"/>
      <c r="J121" s="14"/>
      <c r="K121" s="15"/>
    </row>
    <row r="122" spans="2:11" x14ac:dyDescent="0.3">
      <c r="B122" s="16" t="s">
        <v>275</v>
      </c>
      <c r="C122" s="14"/>
      <c r="D122" s="178">
        <f>G120/D121*D103*D20/D18</f>
        <v>190.91200000000006</v>
      </c>
      <c r="E122" s="14" t="s">
        <v>70</v>
      </c>
      <c r="F122" s="14"/>
      <c r="G122" s="14"/>
      <c r="H122" s="14"/>
      <c r="I122" s="14"/>
      <c r="J122" s="14"/>
      <c r="K122" s="15"/>
    </row>
    <row r="123" spans="2:11" x14ac:dyDescent="0.3">
      <c r="B123" s="165" t="s">
        <v>282</v>
      </c>
      <c r="C123" s="183"/>
      <c r="D123" s="65" t="s">
        <v>92</v>
      </c>
      <c r="E123" s="17" t="s">
        <v>72</v>
      </c>
      <c r="F123" s="200">
        <f>IF(D118,0,CEILING(MAX(5,D122/H123/H123/3.14*4),4))</f>
        <v>0</v>
      </c>
      <c r="G123" s="14" t="s">
        <v>71</v>
      </c>
      <c r="H123" s="172">
        <v>8</v>
      </c>
      <c r="I123" s="281" t="s">
        <v>279</v>
      </c>
      <c r="J123" s="282"/>
      <c r="K123" s="15"/>
    </row>
    <row r="124" spans="2:11" x14ac:dyDescent="0.3">
      <c r="B124" s="16"/>
      <c r="C124" s="14"/>
      <c r="D124" s="14"/>
      <c r="E124" s="14"/>
      <c r="F124" s="14"/>
      <c r="G124" s="14"/>
      <c r="H124" s="14"/>
      <c r="I124" s="14"/>
      <c r="J124" s="14"/>
      <c r="K124" s="15"/>
    </row>
    <row r="125" spans="2:11" x14ac:dyDescent="0.3">
      <c r="B125" s="16"/>
      <c r="C125" s="14"/>
      <c r="D125" s="14"/>
      <c r="E125" s="14"/>
      <c r="F125" s="14"/>
      <c r="G125" s="14"/>
      <c r="H125" s="14"/>
      <c r="I125" s="14"/>
      <c r="J125" s="14"/>
      <c r="K125" s="15"/>
    </row>
    <row r="126" spans="2:11" x14ac:dyDescent="0.3">
      <c r="B126" s="16"/>
      <c r="C126" s="176" t="s">
        <v>67</v>
      </c>
      <c r="D126" s="14"/>
      <c r="E126" s="14"/>
      <c r="F126" s="14"/>
      <c r="G126" s="14"/>
      <c r="H126" s="14"/>
      <c r="I126" s="14"/>
      <c r="J126" s="14"/>
      <c r="K126" s="15"/>
    </row>
    <row r="127" spans="2:11" ht="15" thickBot="1" x14ac:dyDescent="0.35">
      <c r="B127" s="169" t="s">
        <v>276</v>
      </c>
      <c r="C127" s="14"/>
      <c r="D127" s="14"/>
      <c r="E127" s="14"/>
      <c r="F127" s="14"/>
      <c r="G127" s="14"/>
      <c r="H127" s="14"/>
      <c r="I127" s="14"/>
      <c r="J127" s="14"/>
      <c r="K127" s="15"/>
    </row>
    <row r="128" spans="2:11" ht="15" thickBot="1" x14ac:dyDescent="0.35">
      <c r="B128" s="16" t="s">
        <v>91</v>
      </c>
      <c r="C128" s="14"/>
      <c r="D128" s="186">
        <f>MIN(D115,D121)</f>
        <v>158.26590156154177</v>
      </c>
      <c r="E128" s="14" t="s">
        <v>38</v>
      </c>
      <c r="F128" s="14"/>
      <c r="G128" s="70" t="s">
        <v>72</v>
      </c>
      <c r="H128" s="181">
        <f>ROUNDDOWN(1000/D128,0)</f>
        <v>6</v>
      </c>
      <c r="I128" s="14"/>
      <c r="J128" s="14"/>
      <c r="K128" s="15"/>
    </row>
    <row r="129" spans="2:11" x14ac:dyDescent="0.3">
      <c r="B129" s="16"/>
      <c r="C129" s="14"/>
      <c r="D129" s="178"/>
      <c r="E129" s="14"/>
      <c r="F129" s="14"/>
      <c r="G129" s="70"/>
      <c r="H129" s="14"/>
      <c r="I129" s="14"/>
      <c r="J129" s="14"/>
      <c r="K129" s="15"/>
    </row>
    <row r="130" spans="2:11" x14ac:dyDescent="0.3">
      <c r="B130" s="16" t="s">
        <v>281</v>
      </c>
      <c r="C130" s="14"/>
      <c r="D130" s="186">
        <f>D128*D113</f>
        <v>50.239999999999995</v>
      </c>
      <c r="E130" s="14"/>
      <c r="F130" s="14"/>
      <c r="G130" s="70"/>
      <c r="H130" s="14"/>
      <c r="I130" s="14"/>
      <c r="J130" s="14"/>
      <c r="K130" s="15"/>
    </row>
    <row r="131" spans="2:11" x14ac:dyDescent="0.3">
      <c r="B131" s="165" t="s">
        <v>278</v>
      </c>
      <c r="C131" s="184"/>
      <c r="D131" s="186">
        <f>J131/D112*D130</f>
        <v>50.239999999999995</v>
      </c>
      <c r="E131" s="14" t="s">
        <v>70</v>
      </c>
      <c r="F131" s="65" t="s">
        <v>92</v>
      </c>
      <c r="G131" s="70" t="s">
        <v>71</v>
      </c>
      <c r="H131" s="41">
        <v>8</v>
      </c>
      <c r="I131" s="14" t="s">
        <v>280</v>
      </c>
      <c r="J131" s="180">
        <f>IF(D118,D112,D112-2)</f>
        <v>2</v>
      </c>
      <c r="K131" s="15"/>
    </row>
    <row r="132" spans="2:11" x14ac:dyDescent="0.3">
      <c r="B132" s="165" t="s">
        <v>277</v>
      </c>
      <c r="C132" s="184"/>
      <c r="D132" s="186">
        <f>D121*D119+2*D130/D112</f>
        <v>50.239999999999995</v>
      </c>
      <c r="E132" s="14" t="s">
        <v>70</v>
      </c>
      <c r="F132" s="164" t="str">
        <f>IF(D118, "NO USE","use")</f>
        <v>NO USE</v>
      </c>
      <c r="G132" s="70" t="s">
        <v>71</v>
      </c>
      <c r="H132" s="41">
        <v>8</v>
      </c>
      <c r="I132" s="283"/>
      <c r="J132" s="282"/>
      <c r="K132" s="15"/>
    </row>
    <row r="133" spans="2:11" x14ac:dyDescent="0.3">
      <c r="B133" s="16"/>
      <c r="C133" s="17"/>
      <c r="D133" s="17"/>
      <c r="E133" s="14"/>
      <c r="F133" s="14"/>
      <c r="G133" s="182"/>
      <c r="H133" s="14"/>
      <c r="I133" s="14"/>
      <c r="J133" s="14"/>
      <c r="K133" s="15"/>
    </row>
    <row r="134" spans="2:11" x14ac:dyDescent="0.3">
      <c r="B134" s="16"/>
      <c r="C134" s="17"/>
      <c r="D134" s="17"/>
      <c r="E134" s="14"/>
      <c r="F134" s="14"/>
      <c r="G134" s="14"/>
      <c r="H134" s="14"/>
      <c r="I134" s="14"/>
      <c r="J134" s="14"/>
      <c r="K134" s="15"/>
    </row>
    <row r="135" spans="2:11" x14ac:dyDescent="0.3">
      <c r="B135" s="16"/>
      <c r="C135" s="17"/>
      <c r="D135" s="17"/>
      <c r="E135" s="14"/>
      <c r="F135" s="14"/>
      <c r="G135" s="14"/>
      <c r="H135" s="14"/>
      <c r="I135" s="14"/>
      <c r="J135" s="14"/>
      <c r="K135" s="15"/>
    </row>
    <row r="136" spans="2:11" ht="15" thickBot="1" x14ac:dyDescent="0.35">
      <c r="B136" s="28"/>
      <c r="C136" s="29"/>
      <c r="D136" s="29"/>
      <c r="E136" s="30"/>
      <c r="F136" s="30"/>
      <c r="G136" s="30"/>
      <c r="H136" s="30"/>
      <c r="I136" s="30"/>
      <c r="J136" s="30"/>
      <c r="K136" s="31"/>
    </row>
  </sheetData>
  <mergeCells count="3">
    <mergeCell ref="B2:K2"/>
    <mergeCell ref="I123:J123"/>
    <mergeCell ref="I132:J132"/>
  </mergeCells>
  <phoneticPr fontId="11" type="noConversion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48FE5-A89C-4D14-9E69-6FFC502C31D1}">
  <sheetPr codeName="Sheet2"/>
  <dimension ref="B1:L136"/>
  <sheetViews>
    <sheetView topLeftCell="A84" zoomScale="85" zoomScaleNormal="85" workbookViewId="0">
      <selection activeCell="I17" sqref="I17"/>
    </sheetView>
  </sheetViews>
  <sheetFormatPr defaultRowHeight="14.4" x14ac:dyDescent="0.3"/>
  <cols>
    <col min="1" max="3" width="8.88671875" style="1"/>
    <col min="4" max="4" width="11.5546875" style="3" customWidth="1"/>
    <col min="5" max="5" width="9.77734375" style="1" bestFit="1" customWidth="1"/>
    <col min="6" max="7" width="8.88671875" style="1"/>
    <col min="8" max="8" width="11.109375" style="100" bestFit="1" customWidth="1"/>
    <col min="9" max="9" width="10.33203125" style="1" bestFit="1" customWidth="1"/>
    <col min="10" max="10" width="12.109375" style="1" bestFit="1" customWidth="1"/>
    <col min="11" max="16384" width="8.88671875" style="1"/>
  </cols>
  <sheetData>
    <row r="1" spans="2:12" ht="15" thickBot="1" x14ac:dyDescent="0.35">
      <c r="B1" s="9"/>
      <c r="C1" s="9"/>
    </row>
    <row r="2" spans="2:12" ht="15" thickBot="1" x14ac:dyDescent="0.35">
      <c r="B2" s="284" t="s">
        <v>94</v>
      </c>
      <c r="C2" s="285"/>
      <c r="D2" s="285"/>
      <c r="E2" s="285"/>
      <c r="F2" s="285"/>
      <c r="G2" s="285"/>
      <c r="H2" s="285"/>
      <c r="I2" s="285"/>
      <c r="J2" s="285"/>
      <c r="K2" s="286"/>
    </row>
    <row r="3" spans="2:12" x14ac:dyDescent="0.3">
      <c r="B3" s="11" t="s">
        <v>0</v>
      </c>
      <c r="C3" s="12"/>
      <c r="D3" s="201"/>
      <c r="E3" s="13"/>
      <c r="F3" s="14"/>
      <c r="G3" s="14"/>
      <c r="H3" s="101"/>
      <c r="I3" s="14"/>
      <c r="J3" s="14"/>
      <c r="K3" s="15"/>
    </row>
    <row r="4" spans="2:12" x14ac:dyDescent="0.3">
      <c r="B4" s="16" t="s">
        <v>240</v>
      </c>
      <c r="C4" s="196"/>
      <c r="D4" s="137">
        <v>0.8</v>
      </c>
      <c r="E4" s="14" t="s">
        <v>1</v>
      </c>
      <c r="F4" s="14"/>
      <c r="G4" s="14"/>
      <c r="H4" s="14"/>
      <c r="I4" s="14"/>
      <c r="J4" s="14"/>
      <c r="K4" s="15"/>
    </row>
    <row r="5" spans="2:12" x14ac:dyDescent="0.3">
      <c r="B5" s="16" t="s">
        <v>241</v>
      </c>
      <c r="C5" s="196"/>
      <c r="D5" s="137">
        <v>0.82499999999999996</v>
      </c>
      <c r="E5" s="14" t="s">
        <v>2</v>
      </c>
      <c r="F5" s="14"/>
      <c r="G5" s="14"/>
      <c r="H5" s="14"/>
      <c r="I5" s="14"/>
      <c r="J5" s="14"/>
      <c r="K5" s="15"/>
    </row>
    <row r="6" spans="2:12" x14ac:dyDescent="0.3">
      <c r="B6" s="16" t="s">
        <v>242</v>
      </c>
      <c r="C6" s="196"/>
      <c r="D6" s="137">
        <v>0.8</v>
      </c>
      <c r="E6" s="14" t="s">
        <v>3</v>
      </c>
      <c r="F6" s="14"/>
      <c r="G6" s="14"/>
      <c r="H6" s="14"/>
      <c r="I6" s="14"/>
      <c r="J6" s="14"/>
      <c r="K6" s="15"/>
    </row>
    <row r="7" spans="2:12" x14ac:dyDescent="0.3">
      <c r="B7" s="16" t="s">
        <v>243</v>
      </c>
      <c r="C7" s="196"/>
      <c r="D7" s="138">
        <v>0.66666666666666663</v>
      </c>
      <c r="E7" s="14" t="s">
        <v>4</v>
      </c>
      <c r="F7" s="14"/>
      <c r="G7" s="14"/>
      <c r="H7" s="14"/>
      <c r="I7" s="14"/>
      <c r="J7" s="14"/>
      <c r="K7" s="15"/>
    </row>
    <row r="8" spans="2:12" x14ac:dyDescent="0.3">
      <c r="B8" s="11" t="s">
        <v>5</v>
      </c>
      <c r="C8" s="17"/>
      <c r="D8" s="37"/>
      <c r="E8" s="14"/>
      <c r="F8" s="14"/>
      <c r="G8" s="14"/>
      <c r="H8" s="101"/>
      <c r="I8" s="14"/>
      <c r="J8" s="14"/>
      <c r="K8" s="15"/>
    </row>
    <row r="9" spans="2:12" x14ac:dyDescent="0.3">
      <c r="B9" s="16" t="s">
        <v>6</v>
      </c>
      <c r="C9" s="17"/>
      <c r="D9" s="75">
        <v>30</v>
      </c>
      <c r="E9" s="14" t="s">
        <v>34</v>
      </c>
      <c r="F9" s="14"/>
      <c r="G9" s="14"/>
      <c r="H9" s="101"/>
      <c r="I9" s="14"/>
      <c r="J9" s="14"/>
      <c r="K9" s="15"/>
    </row>
    <row r="10" spans="2:12" x14ac:dyDescent="0.3">
      <c r="B10" s="16" t="s">
        <v>7</v>
      </c>
      <c r="C10" s="17"/>
      <c r="D10" s="202">
        <v>3.0000000000000001E-3</v>
      </c>
      <c r="E10" s="14"/>
      <c r="F10" s="14"/>
      <c r="G10" s="14"/>
      <c r="H10" s="101"/>
      <c r="I10" s="14"/>
      <c r="J10" s="14"/>
      <c r="K10" s="15"/>
    </row>
    <row r="11" spans="2:12" x14ac:dyDescent="0.3">
      <c r="B11" s="16" t="s">
        <v>8</v>
      </c>
      <c r="C11" s="17"/>
      <c r="D11" s="202">
        <v>1.5</v>
      </c>
      <c r="E11" s="14"/>
      <c r="F11" s="14"/>
      <c r="G11" s="14"/>
      <c r="H11" s="101"/>
      <c r="I11" s="14"/>
      <c r="J11" s="14"/>
      <c r="K11" s="15"/>
      <c r="L11" s="7"/>
    </row>
    <row r="12" spans="2:12" x14ac:dyDescent="0.3">
      <c r="B12" s="11" t="s">
        <v>87</v>
      </c>
      <c r="C12" s="12"/>
      <c r="D12" s="37"/>
      <c r="E12" s="14"/>
      <c r="F12" s="14"/>
      <c r="G12" s="14"/>
      <c r="H12" s="101"/>
      <c r="I12" s="14"/>
      <c r="J12" s="14"/>
      <c r="K12" s="15"/>
    </row>
    <row r="13" spans="2:12" x14ac:dyDescent="0.3">
      <c r="B13" s="16" t="s">
        <v>10</v>
      </c>
      <c r="C13" s="17"/>
      <c r="D13" s="75">
        <v>360</v>
      </c>
      <c r="E13" s="14" t="s">
        <v>34</v>
      </c>
      <c r="F13" s="14"/>
      <c r="G13" s="199" t="s">
        <v>33</v>
      </c>
      <c r="H13" s="139">
        <f>D7*D10/(D10+D13/D15)</f>
        <v>0.41666666666666663</v>
      </c>
      <c r="I13" s="193"/>
      <c r="J13" s="14"/>
      <c r="K13" s="15"/>
    </row>
    <row r="14" spans="2:12" x14ac:dyDescent="0.3">
      <c r="B14" s="16" t="s">
        <v>86</v>
      </c>
      <c r="C14" s="17"/>
      <c r="D14" s="75">
        <v>240</v>
      </c>
      <c r="E14" s="14" t="s">
        <v>34</v>
      </c>
      <c r="F14" s="14"/>
      <c r="G14" s="14"/>
      <c r="H14" s="101"/>
      <c r="I14" s="14"/>
      <c r="J14" s="14"/>
      <c r="K14" s="15"/>
    </row>
    <row r="15" spans="2:12" x14ac:dyDescent="0.3">
      <c r="B15" s="16" t="s">
        <v>11</v>
      </c>
      <c r="C15" s="17"/>
      <c r="D15" s="203">
        <v>200000</v>
      </c>
      <c r="E15" s="14" t="s">
        <v>35</v>
      </c>
      <c r="F15" s="14"/>
      <c r="G15" s="14"/>
      <c r="H15" s="101"/>
      <c r="I15" s="14"/>
      <c r="J15" s="14"/>
      <c r="K15" s="15"/>
    </row>
    <row r="16" spans="2:12" x14ac:dyDescent="0.3">
      <c r="B16" s="16" t="s">
        <v>12</v>
      </c>
      <c r="C16" s="17"/>
      <c r="D16" s="202">
        <v>1.1499999999999999</v>
      </c>
      <c r="E16" s="14"/>
      <c r="F16" s="14"/>
      <c r="G16" s="14"/>
      <c r="H16" s="101"/>
      <c r="I16" s="14"/>
      <c r="J16" s="14"/>
      <c r="K16" s="15"/>
    </row>
    <row r="17" spans="2:11" x14ac:dyDescent="0.3">
      <c r="B17" s="16" t="s">
        <v>168</v>
      </c>
      <c r="C17" s="17"/>
      <c r="D17" s="204">
        <v>3.0999999999999999E-3</v>
      </c>
      <c r="E17" s="14"/>
      <c r="F17" s="14"/>
      <c r="G17" s="14"/>
      <c r="H17" s="101"/>
      <c r="I17" s="14"/>
      <c r="J17" s="14"/>
      <c r="K17" s="15"/>
    </row>
    <row r="18" spans="2:11" x14ac:dyDescent="0.3">
      <c r="B18" s="16" t="s">
        <v>13</v>
      </c>
      <c r="C18" s="17"/>
      <c r="D18" s="195">
        <f>D13/D16</f>
        <v>313.04347826086956</v>
      </c>
      <c r="E18" s="14" t="s">
        <v>34</v>
      </c>
      <c r="F18" s="14"/>
      <c r="G18" s="14"/>
      <c r="H18" s="101"/>
      <c r="I18" s="14"/>
      <c r="J18" s="14"/>
      <c r="K18" s="15"/>
    </row>
    <row r="19" spans="2:11" x14ac:dyDescent="0.3">
      <c r="B19" s="16" t="s">
        <v>9</v>
      </c>
      <c r="C19" s="17"/>
      <c r="D19" s="195">
        <f>D9*D4*D5/D11</f>
        <v>13.199999999999998</v>
      </c>
      <c r="E19" s="14" t="s">
        <v>34</v>
      </c>
      <c r="F19" s="14"/>
      <c r="G19" s="14"/>
      <c r="H19" s="101"/>
      <c r="I19" s="14"/>
      <c r="J19" s="14"/>
      <c r="K19" s="15"/>
    </row>
    <row r="20" spans="2:11" x14ac:dyDescent="0.3">
      <c r="B20" s="16" t="s">
        <v>88</v>
      </c>
      <c r="C20" s="17"/>
      <c r="D20" s="195">
        <f>D14/D16</f>
        <v>208.69565217391306</v>
      </c>
      <c r="E20" s="14"/>
      <c r="F20" s="14"/>
      <c r="G20" s="14"/>
      <c r="H20" s="101"/>
      <c r="I20" s="14"/>
      <c r="J20" s="14"/>
      <c r="K20" s="15"/>
    </row>
    <row r="21" spans="2:11" x14ac:dyDescent="0.3">
      <c r="B21" s="16" t="s">
        <v>82</v>
      </c>
      <c r="C21" s="17"/>
      <c r="D21" s="195">
        <f>0.24*SQRT(D9/D11)</f>
        <v>1.0733126291998991</v>
      </c>
      <c r="E21" s="14" t="s">
        <v>34</v>
      </c>
      <c r="F21" s="14"/>
      <c r="G21" s="14"/>
      <c r="H21" s="101"/>
      <c r="I21" s="14"/>
      <c r="J21" s="14"/>
      <c r="K21" s="15"/>
    </row>
    <row r="22" spans="2:11" x14ac:dyDescent="0.3">
      <c r="B22" s="16" t="s">
        <v>83</v>
      </c>
      <c r="C22" s="17"/>
      <c r="D22" s="195">
        <f>0.7*SQRT(D9/D11)</f>
        <v>3.1304951684997055</v>
      </c>
      <c r="E22" s="14" t="s">
        <v>34</v>
      </c>
      <c r="F22" s="14"/>
      <c r="G22" s="14"/>
      <c r="H22" s="101"/>
      <c r="I22" s="14"/>
      <c r="J22" s="14"/>
      <c r="K22" s="15"/>
    </row>
    <row r="23" spans="2:11" x14ac:dyDescent="0.3">
      <c r="B23" s="16" t="s">
        <v>274</v>
      </c>
      <c r="C23" s="17"/>
      <c r="D23" s="37">
        <f>0.06*SQRT(D9/D11)</f>
        <v>0.26832815729997478</v>
      </c>
      <c r="E23" s="14"/>
      <c r="F23" s="14"/>
      <c r="G23" s="87"/>
      <c r="H23" s="102" t="s">
        <v>154</v>
      </c>
      <c r="I23" s="190"/>
      <c r="J23" s="14"/>
      <c r="K23" s="15"/>
    </row>
    <row r="24" spans="2:11" x14ac:dyDescent="0.3">
      <c r="B24" s="23" t="s">
        <v>41</v>
      </c>
      <c r="C24" s="24"/>
      <c r="D24" s="75">
        <v>21</v>
      </c>
      <c r="E24" s="14"/>
      <c r="F24" s="14"/>
      <c r="G24" s="87" t="s">
        <v>296</v>
      </c>
      <c r="H24" s="103"/>
      <c r="I24" s="191">
        <v>300</v>
      </c>
      <c r="J24" s="14" t="s">
        <v>38</v>
      </c>
      <c r="K24" s="15"/>
    </row>
    <row r="25" spans="2:11" x14ac:dyDescent="0.3">
      <c r="B25" s="11" t="s">
        <v>49</v>
      </c>
      <c r="C25" s="17"/>
      <c r="D25" s="37"/>
      <c r="E25" s="14"/>
      <c r="F25" s="14"/>
      <c r="G25" s="87" t="s">
        <v>295</v>
      </c>
      <c r="H25" s="103"/>
      <c r="I25" s="191">
        <v>120</v>
      </c>
      <c r="J25" s="14" t="s">
        <v>38</v>
      </c>
      <c r="K25" s="15"/>
    </row>
    <row r="26" spans="2:11" x14ac:dyDescent="0.3">
      <c r="B26" s="16" t="s">
        <v>50</v>
      </c>
      <c r="C26" s="17"/>
      <c r="D26" s="205" t="str">
        <f>_xll.RSA_BAR_DATA("SECTION",D24)</f>
        <v>B R 25x60</v>
      </c>
      <c r="E26" s="14"/>
      <c r="F26" s="14"/>
      <c r="G26" s="25"/>
      <c r="H26" s="194"/>
      <c r="I26" s="25"/>
      <c r="J26" s="25"/>
      <c r="K26" s="15"/>
    </row>
    <row r="27" spans="2:11" x14ac:dyDescent="0.3">
      <c r="B27" s="16" t="s">
        <v>46</v>
      </c>
      <c r="C27" s="17"/>
      <c r="D27" s="37">
        <f>_xll.RSA_SECTION_DATA("BF",D26)</f>
        <v>250</v>
      </c>
      <c r="E27" s="14" t="s">
        <v>38</v>
      </c>
      <c r="F27" s="14"/>
      <c r="G27" s="91" t="s">
        <v>156</v>
      </c>
      <c r="H27" s="92"/>
      <c r="I27" s="192">
        <f>D27+2*I24</f>
        <v>850</v>
      </c>
      <c r="J27" s="25"/>
      <c r="K27" s="15"/>
    </row>
    <row r="28" spans="2:11" x14ac:dyDescent="0.3">
      <c r="B28" s="16" t="s">
        <v>47</v>
      </c>
      <c r="C28" s="17"/>
      <c r="D28" s="37">
        <f>_xll.RSA_SECTION_DATA("D",D26)</f>
        <v>600</v>
      </c>
      <c r="E28" s="14" t="s">
        <v>38</v>
      </c>
      <c r="F28" s="14"/>
      <c r="G28" s="14"/>
      <c r="H28" s="101"/>
      <c r="I28" s="14"/>
      <c r="J28" s="14"/>
      <c r="K28" s="15"/>
    </row>
    <row r="29" spans="2:11" x14ac:dyDescent="0.3">
      <c r="B29" s="16" t="s">
        <v>37</v>
      </c>
      <c r="C29" s="17"/>
      <c r="D29" s="37">
        <v>50</v>
      </c>
      <c r="E29" s="14" t="s">
        <v>38</v>
      </c>
      <c r="F29" s="14"/>
      <c r="G29" s="14"/>
      <c r="H29" s="101"/>
      <c r="I29" s="14"/>
      <c r="J29" s="14"/>
      <c r="K29" s="15"/>
    </row>
    <row r="30" spans="2:11" x14ac:dyDescent="0.3">
      <c r="B30" s="16" t="s">
        <v>60</v>
      </c>
      <c r="C30" s="17"/>
      <c r="D30" s="37">
        <f>D28-D29</f>
        <v>550</v>
      </c>
      <c r="E30" s="14" t="s">
        <v>38</v>
      </c>
      <c r="F30" s="14"/>
      <c r="G30" s="14"/>
      <c r="H30" s="101"/>
      <c r="I30" s="14"/>
      <c r="J30" s="14"/>
      <c r="K30" s="15"/>
    </row>
    <row r="31" spans="2:11" x14ac:dyDescent="0.3">
      <c r="B31" s="16" t="s">
        <v>155</v>
      </c>
      <c r="C31" s="103"/>
      <c r="D31" s="206">
        <f>_xll.RSA_BAR_DATA("LENGTH",D24)</f>
        <v>4365</v>
      </c>
      <c r="E31" s="14" t="s">
        <v>38</v>
      </c>
      <c r="F31" s="14"/>
      <c r="G31" s="14"/>
      <c r="H31" s="101"/>
      <c r="I31" s="14"/>
      <c r="J31" s="14"/>
      <c r="K31" s="15"/>
    </row>
    <row r="32" spans="2:11" x14ac:dyDescent="0.3">
      <c r="B32" s="16"/>
      <c r="C32" s="17"/>
      <c r="D32" s="37"/>
      <c r="E32" s="14"/>
      <c r="F32" s="14"/>
      <c r="G32" s="14"/>
      <c r="H32" s="101"/>
      <c r="I32" s="14"/>
      <c r="J32" s="14"/>
      <c r="K32" s="15"/>
    </row>
    <row r="33" spans="2:11" x14ac:dyDescent="0.3">
      <c r="B33" s="167" t="s">
        <v>51</v>
      </c>
      <c r="C33" s="47" t="s">
        <v>39</v>
      </c>
      <c r="D33" s="47" t="s">
        <v>40</v>
      </c>
      <c r="E33" s="47" t="s">
        <v>42</v>
      </c>
      <c r="F33" s="47" t="s">
        <v>43</v>
      </c>
      <c r="G33" s="104" t="s">
        <v>44</v>
      </c>
      <c r="H33" s="47" t="s">
        <v>45</v>
      </c>
      <c r="I33" s="47" t="s">
        <v>257</v>
      </c>
      <c r="J33" s="47" t="s">
        <v>258</v>
      </c>
      <c r="K33" s="15"/>
    </row>
    <row r="34" spans="2:11" x14ac:dyDescent="0.3">
      <c r="B34" s="168">
        <v>1</v>
      </c>
      <c r="C34" s="49">
        <v>105</v>
      </c>
      <c r="D34" s="207" t="str">
        <f>IF(C34="","",_xll.RSA_CASE_DATA("NAME",C34))</f>
        <v>COMB1</v>
      </c>
      <c r="E34" s="48">
        <f>IF(C34="","",_xll.RSA_BAR_FORCE_DATA("EXTREMUM","MY","MAX",$D$24,$C34,21))</f>
        <v>41.215146957476477</v>
      </c>
      <c r="F34" s="48">
        <f>IF(C34="","",_xll.RSA_BAR_FORCE_DATA("EXTREMUM","MY","MIN",$D$24,$C34,21))</f>
        <v>-67.141323900649994</v>
      </c>
      <c r="G34" s="105">
        <f>IF(C34="","",_xll.RSA_BAR_FORCE_DATA("EXTREMUM","FZ","MIN",$D$24,$C34,21))</f>
        <v>-72.067857042891589</v>
      </c>
      <c r="H34" s="48">
        <f>IF(C34="","",_xll.RSA_BAR_FORCE_DATA("EXTREMUM","FZ","MAX",$D$24,$C34,21))</f>
        <v>45.387441328073876</v>
      </c>
      <c r="I34" s="48">
        <f>IF($C34="","",_xll.RSA_BAR_FORCE_DATA("EXTREMUM","MX","MAX",$D$24,$C34,21))</f>
        <v>11.717396348361881</v>
      </c>
      <c r="J34" s="48">
        <f>IF($C34="","",_xll.RSA_BAR_FORCE_DATA("EXTREMUM","MX","MIN",$D$24,$C34,21))</f>
        <v>-5.3842066202242105</v>
      </c>
      <c r="K34" s="15"/>
    </row>
    <row r="35" spans="2:11" x14ac:dyDescent="0.3">
      <c r="B35" s="168">
        <v>2</v>
      </c>
      <c r="C35" s="49"/>
      <c r="D35" s="207"/>
      <c r="E35" s="48" t="str">
        <f>IF(C35="","",_xll.RSA_BAR_FORCE_DATA("EXTREMUM","MY","MAX",$D$24,$C35,21))</f>
        <v/>
      </c>
      <c r="F35" s="48" t="str">
        <f>IF(C35="","",_xll.RSA_BAR_FORCE_DATA("EXTREMUM","MY","MIN",$D$24,$C35,21))</f>
        <v/>
      </c>
      <c r="G35" s="105" t="str">
        <f>IF(C35="","",_xll.RSA_BAR_FORCE_DATA("EXTREMUM","FZ","MIN",$D$24,$C35,21))</f>
        <v/>
      </c>
      <c r="H35" s="48" t="str">
        <f>IF(C35="","",_xll.RSA_BAR_FORCE_DATA("EXTREMUM","FZ","MAX",$D$24,$C35,21))</f>
        <v/>
      </c>
      <c r="I35" s="48" t="str">
        <f>IF(D35="","",_xll.RSA_BAR_FORCE_DATA("EXTREMUM","FZ","MAX",$D$24,$C35,21))</f>
        <v/>
      </c>
      <c r="J35" s="48" t="str">
        <f>IF(E35="","",_xll.RSA_BAR_FORCE_DATA("EXTREMUM","FZ","MAX",$D$24,$C35,21))</f>
        <v/>
      </c>
      <c r="K35" s="15"/>
    </row>
    <row r="36" spans="2:11" x14ac:dyDescent="0.3">
      <c r="B36" s="168">
        <v>3</v>
      </c>
      <c r="C36" s="49"/>
      <c r="D36" s="207"/>
      <c r="E36" s="48" t="str">
        <f>IF(C36="","",_xll.RSA_BAR_FORCE_DATA("EXTREMUM","MY","MAX",$D$24,$C36,21))</f>
        <v/>
      </c>
      <c r="F36" s="48" t="str">
        <f>IF(C36="","",_xll.RSA_BAR_FORCE_DATA("EXTREMUM","MY","MIN",$D$24,$C36,21))</f>
        <v/>
      </c>
      <c r="G36" s="105" t="str">
        <f>IF(C36="","",_xll.RSA_BAR_FORCE_DATA("EXTREMUM","FZ","MIN",$D$24,$C36,21))</f>
        <v/>
      </c>
      <c r="H36" s="48" t="str">
        <f>IF(C36="","",_xll.RSA_BAR_FORCE_DATA("EXTREMUM","FZ","MAX",$D$24,$C36,21))</f>
        <v/>
      </c>
      <c r="I36" s="48" t="str">
        <f>IF(D36="","",_xll.RSA_BAR_FORCE_DATA("EXTREMUM","FZ","MAX",$D$24,$C36,21))</f>
        <v/>
      </c>
      <c r="J36" s="48" t="str">
        <f>IF(E36="","",_xll.RSA_BAR_FORCE_DATA("EXTREMUM","FZ","MAX",$D$24,$C36,21))</f>
        <v/>
      </c>
      <c r="K36" s="15"/>
    </row>
    <row r="37" spans="2:11" x14ac:dyDescent="0.3">
      <c r="B37" s="168">
        <v>4</v>
      </c>
      <c r="C37" s="49"/>
      <c r="D37" s="207"/>
      <c r="E37" s="48" t="str">
        <f>IF(C37="","",_xll.RSA_BAR_FORCE_DATA("EXTREMUM","MY","MAX",$D$24,$C37,21))</f>
        <v/>
      </c>
      <c r="F37" s="48" t="str">
        <f>IF(C37="","",_xll.RSA_BAR_FORCE_DATA("EXTREMUM","MY","MIN",$D$24,$C37,21))</f>
        <v/>
      </c>
      <c r="G37" s="105" t="str">
        <f>IF(C37="","",_xll.RSA_BAR_FORCE_DATA("EXTREMUM","FZ","MIN",$D$24,$C37,21))</f>
        <v/>
      </c>
      <c r="H37" s="48" t="str">
        <f>IF(C37="","",_xll.RSA_BAR_FORCE_DATA("EXTREMUM","FZ","MAX",$D$24,$C37,21))</f>
        <v/>
      </c>
      <c r="I37" s="48" t="str">
        <f>IF(D37="","",_xll.RSA_BAR_FORCE_DATA("EXTREMUM","FZ","MAX",$D$24,$C37,21))</f>
        <v/>
      </c>
      <c r="J37" s="48" t="str">
        <f>IF(E37="","",_xll.RSA_BAR_FORCE_DATA("EXTREMUM","FZ","MAX",$D$24,$C37,21))</f>
        <v/>
      </c>
      <c r="K37" s="15"/>
    </row>
    <row r="38" spans="2:11" x14ac:dyDescent="0.3">
      <c r="B38" s="168">
        <v>5</v>
      </c>
      <c r="C38" s="49"/>
      <c r="D38" s="207"/>
      <c r="E38" s="48" t="str">
        <f>IF(C38="","",_xll.RSA_BAR_FORCE_DATA("EXTREMUM","MY","MAX",$D$24,$C38,21))</f>
        <v/>
      </c>
      <c r="F38" s="48" t="str">
        <f>IF(C38="","",_xll.RSA_BAR_FORCE_DATA("EXTREMUM","MY","MIN",$D$24,$C38,21))</f>
        <v/>
      </c>
      <c r="G38" s="105" t="str">
        <f>IF(C38="","",_xll.RSA_BAR_FORCE_DATA("EXTREMUM","FZ","MIN",$D$24,$C38,21))</f>
        <v/>
      </c>
      <c r="H38" s="48" t="str">
        <f>IF(C38="","",_xll.RSA_BAR_FORCE_DATA("EXTREMUM","FZ","MAX",$D$24,$C38,21))</f>
        <v/>
      </c>
      <c r="I38" s="48" t="str">
        <f>IF(D38="","",_xll.RSA_BAR_FORCE_DATA("EXTREMUM","FZ","MAX",$D$24,$C38,21))</f>
        <v/>
      </c>
      <c r="J38" s="48" t="str">
        <f>IF(E38="","",_xll.RSA_BAR_FORCE_DATA("EXTREMUM","FZ","MAX",$D$24,$C38,21))</f>
        <v/>
      </c>
      <c r="K38" s="15"/>
    </row>
    <row r="39" spans="2:11" x14ac:dyDescent="0.3">
      <c r="B39" s="168">
        <v>6</v>
      </c>
      <c r="C39" s="49"/>
      <c r="D39" s="207" t="str">
        <f>IF(C39="","",_xll.RSA_CASE_DATA("NAME",C39))</f>
        <v/>
      </c>
      <c r="E39" s="48" t="str">
        <f>IF(C39="","",_xll.RSA_BAR_FORCE_DATA("EXTREMUM","MY","MAX",$D$24,$C39,21))</f>
        <v/>
      </c>
      <c r="F39" s="48" t="str">
        <f>IF(C39="","",_xll.RSA_BAR_FORCE_DATA("EXTREMUM","MY","MIN",$D$24,$C39,21))</f>
        <v/>
      </c>
      <c r="G39" s="105" t="str">
        <f>IF(C39="","",_xll.RSA_BAR_FORCE_DATA("EXTREMUM","FZ","MIN",$D$24,$C39,21))</f>
        <v/>
      </c>
      <c r="H39" s="48" t="str">
        <f>IF(C39="","",_xll.RSA_BAR_FORCE_DATA("EXTREMUM","FZ","MAX",$D$24,$C39,21))</f>
        <v/>
      </c>
      <c r="I39" s="48" t="str">
        <f>IF(D39="","",_xll.RSA_BAR_FORCE_DATA("EXTREMUM","FZ","MAX",$D$24,$C39,21))</f>
        <v/>
      </c>
      <c r="J39" s="48" t="str">
        <f>IF(E39="","",_xll.RSA_BAR_FORCE_DATA("EXTREMUM","FZ","MAX",$D$24,$C39,21))</f>
        <v/>
      </c>
      <c r="K39" s="15"/>
    </row>
    <row r="40" spans="2:11" x14ac:dyDescent="0.3">
      <c r="B40" s="168">
        <v>7</v>
      </c>
      <c r="C40" s="49"/>
      <c r="D40" s="207" t="str">
        <f>IF(C40="","",_xll.RSA_CASE_DATA("NAME",C40))</f>
        <v/>
      </c>
      <c r="E40" s="48" t="str">
        <f>IF(C40="","",_xll.RSA_BAR_FORCE_DATA("EXTREMUM","MY","MAX",$D$24,$C40,21))</f>
        <v/>
      </c>
      <c r="F40" s="48" t="str">
        <f>IF(C40="","",_xll.RSA_BAR_FORCE_DATA("EXTREMUM","MY","MIN",$D$24,$C40,21))</f>
        <v/>
      </c>
      <c r="G40" s="105" t="str">
        <f>IF(C40="","",_xll.RSA_BAR_FORCE_DATA("EXTREMUM","FZ","MIN",$D$24,$C40,21))</f>
        <v/>
      </c>
      <c r="H40" s="48" t="str">
        <f>IF(C40="","",_xll.RSA_BAR_FORCE_DATA("EXTREMUM","FZ","MAX",$D$24,$C40,21))</f>
        <v/>
      </c>
      <c r="I40" s="48" t="str">
        <f>IF(D40="","",_xll.RSA_BAR_FORCE_DATA("EXTREMUM","FZ","MAX",$D$24,$C40,21))</f>
        <v/>
      </c>
      <c r="J40" s="48" t="str">
        <f>IF(E40="","",_xll.RSA_BAR_FORCE_DATA("EXTREMUM","FZ","MAX",$D$24,$C40,21))</f>
        <v/>
      </c>
      <c r="K40" s="15"/>
    </row>
    <row r="41" spans="2:11" x14ac:dyDescent="0.3">
      <c r="B41" s="168">
        <v>8</v>
      </c>
      <c r="C41" s="49"/>
      <c r="D41" s="207" t="str">
        <f>IF(C41="","",_xll.RSA_CASE_DATA("NAME",C41))</f>
        <v/>
      </c>
      <c r="E41" s="48" t="str">
        <f>IF(C41="","",_xll.RSA_BAR_FORCE_DATA("EXTREMUM","MY","MAX",$D$24,$C41,21))</f>
        <v/>
      </c>
      <c r="F41" s="48" t="str">
        <f>IF(C41="","",_xll.RSA_BAR_FORCE_DATA("EXTREMUM","MY","MIN",$D$24,$C41,21))</f>
        <v/>
      </c>
      <c r="G41" s="105" t="str">
        <f>IF(C41="","",_xll.RSA_BAR_FORCE_DATA("EXTREMUM","FZ","MIN",$D$24,$C41,21))</f>
        <v/>
      </c>
      <c r="H41" s="48" t="str">
        <f>IF(C41="","",_xll.RSA_BAR_FORCE_DATA("EXTREMUM","FZ","MAX",$D$24,$C41,21))</f>
        <v/>
      </c>
      <c r="I41" s="48" t="str">
        <f>IF(D41="","",_xll.RSA_BAR_FORCE_DATA("EXTREMUM","FZ","MAX",$D$24,$C41,21))</f>
        <v/>
      </c>
      <c r="J41" s="48" t="str">
        <f>IF(E41="","",_xll.RSA_BAR_FORCE_DATA("EXTREMUM","FZ","MAX",$D$24,$C41,21))</f>
        <v/>
      </c>
      <c r="K41" s="15"/>
    </row>
    <row r="42" spans="2:11" x14ac:dyDescent="0.3">
      <c r="B42" s="168">
        <v>9</v>
      </c>
      <c r="C42" s="49"/>
      <c r="D42" s="207" t="str">
        <f>IF(C42="","",_xll.RSA_CASE_DATA("NAME",C42))</f>
        <v/>
      </c>
      <c r="E42" s="48" t="str">
        <f>IF(C42="","",_xll.RSA_BAR_FORCE_DATA("EXTREMUM","MY","MAX",$D$24,$C42,21))</f>
        <v/>
      </c>
      <c r="F42" s="48" t="str">
        <f>IF(C42="","",_xll.RSA_BAR_FORCE_DATA("EXTREMUM","MY","MIN",$D$24,$C42,21))</f>
        <v/>
      </c>
      <c r="G42" s="105" t="str">
        <f>IF(C42="","",_xll.RSA_BAR_FORCE_DATA("EXTREMUM","FZ","MIN",$D$24,$C42,21))</f>
        <v/>
      </c>
      <c r="H42" s="48" t="str">
        <f>IF(C42="","",_xll.RSA_BAR_FORCE_DATA("EXTREMUM","FZ","MAX",$D$24,$C42,21))</f>
        <v/>
      </c>
      <c r="I42" s="48" t="str">
        <f>IF(D42="","",_xll.RSA_BAR_FORCE_DATA("EXTREMUM","FZ","MAX",$D$24,$C42,21))</f>
        <v/>
      </c>
      <c r="J42" s="48" t="str">
        <f>IF(E42="","",_xll.RSA_BAR_FORCE_DATA("EXTREMUM","FZ","MAX",$D$24,$C42,21))</f>
        <v/>
      </c>
      <c r="K42" s="15"/>
    </row>
    <row r="43" spans="2:11" x14ac:dyDescent="0.3">
      <c r="B43" s="168">
        <v>10</v>
      </c>
      <c r="C43" s="49"/>
      <c r="D43" s="207" t="str">
        <f>IF(C43="","",_xll.RSA_CASE_DATA("NAME",C43))</f>
        <v/>
      </c>
      <c r="E43" s="48" t="str">
        <f>IF(C43="","",_xll.RSA_BAR_FORCE_DATA("EXTREMUM","MY","MAX",$D$24,$C43,21))</f>
        <v/>
      </c>
      <c r="F43" s="48" t="str">
        <f>IF(C43="","",_xll.RSA_BAR_FORCE_DATA("EXTREMUM","MY","MIN",$D$24,$C43,21))</f>
        <v/>
      </c>
      <c r="G43" s="105" t="str">
        <f>IF(C43="","",_xll.RSA_BAR_FORCE_DATA("EXTREMUM","FZ","MIN",$D$24,$C43,21))</f>
        <v/>
      </c>
      <c r="H43" s="48" t="str">
        <f>IF(C43="","",_xll.RSA_BAR_FORCE_DATA("EXTREMUM","FZ","MAX",$D$24,$C43,21))</f>
        <v/>
      </c>
      <c r="I43" s="48" t="str">
        <f>IF(D43="","",_xll.RSA_BAR_FORCE_DATA("EXTREMUM","FZ","MAX",$D$24,$C43,21))</f>
        <v/>
      </c>
      <c r="J43" s="48" t="str">
        <f>IF(E43="","",_xll.RSA_BAR_FORCE_DATA("EXTREMUM","FZ","MAX",$D$24,$C43,21))</f>
        <v/>
      </c>
      <c r="K43" s="15"/>
    </row>
    <row r="44" spans="2:11" x14ac:dyDescent="0.3">
      <c r="B44" s="16"/>
      <c r="C44" s="17"/>
      <c r="D44" s="37"/>
      <c r="E44" s="14"/>
      <c r="F44" s="14"/>
      <c r="G44" s="14"/>
      <c r="H44" s="101"/>
      <c r="I44" s="14"/>
      <c r="J44" s="14"/>
      <c r="K44" s="15"/>
    </row>
    <row r="45" spans="2:11" ht="15" thickBot="1" x14ac:dyDescent="0.35">
      <c r="B45" s="28"/>
      <c r="C45" s="29"/>
      <c r="D45" s="208"/>
      <c r="E45" s="30"/>
      <c r="F45" s="30"/>
      <c r="G45" s="30"/>
      <c r="H45" s="106"/>
      <c r="I45" s="30"/>
      <c r="J45" s="30"/>
      <c r="K45" s="31"/>
    </row>
    <row r="46" spans="2:11" x14ac:dyDescent="0.3">
      <c r="B46" s="9"/>
      <c r="C46" s="9"/>
    </row>
    <row r="47" spans="2:11" ht="15" thickBot="1" x14ac:dyDescent="0.35">
      <c r="B47" s="9"/>
      <c r="C47" s="9"/>
    </row>
    <row r="48" spans="2:11" x14ac:dyDescent="0.3">
      <c r="B48" s="32"/>
      <c r="C48" s="33"/>
      <c r="D48" s="209"/>
      <c r="E48" s="34"/>
      <c r="F48" s="34"/>
      <c r="G48" s="34"/>
      <c r="H48" s="107"/>
      <c r="I48" s="34"/>
      <c r="J48" s="34"/>
      <c r="K48" s="10"/>
    </row>
    <row r="49" spans="2:11" x14ac:dyDescent="0.3">
      <c r="B49" s="16"/>
      <c r="C49" s="17"/>
      <c r="D49" s="37"/>
      <c r="E49" s="14"/>
      <c r="F49" s="14"/>
      <c r="G49" s="14"/>
      <c r="H49" s="101"/>
      <c r="I49" s="14"/>
      <c r="J49" s="14"/>
      <c r="K49" s="15"/>
    </row>
    <row r="50" spans="2:11" x14ac:dyDescent="0.3">
      <c r="B50" s="16" t="s">
        <v>52</v>
      </c>
      <c r="C50" s="17"/>
      <c r="D50" s="37"/>
      <c r="E50" s="14"/>
      <c r="F50" s="14"/>
      <c r="G50" s="14"/>
      <c r="H50" s="101"/>
      <c r="I50" s="14"/>
      <c r="J50" s="14"/>
      <c r="K50" s="15"/>
    </row>
    <row r="51" spans="2:11" x14ac:dyDescent="0.3">
      <c r="B51" s="16" t="s">
        <v>42</v>
      </c>
      <c r="C51" s="17"/>
      <c r="D51" s="210">
        <f>MAX(E34:E43)</f>
        <v>41.215146957476477</v>
      </c>
      <c r="E51" s="14" t="s">
        <v>54</v>
      </c>
      <c r="F51" s="14"/>
      <c r="G51" s="14"/>
      <c r="H51" s="101"/>
      <c r="I51" s="14"/>
      <c r="J51" s="14"/>
      <c r="K51" s="15"/>
    </row>
    <row r="52" spans="2:11" x14ac:dyDescent="0.3">
      <c r="B52" s="16" t="s">
        <v>43</v>
      </c>
      <c r="C52" s="17"/>
      <c r="D52" s="210">
        <f>MIN(F34:F43)</f>
        <v>-67.141323900649994</v>
      </c>
      <c r="E52" s="14" t="s">
        <v>54</v>
      </c>
      <c r="F52" s="14"/>
      <c r="G52" s="14"/>
      <c r="H52" s="101"/>
      <c r="I52" s="14"/>
      <c r="J52" s="14"/>
      <c r="K52" s="15"/>
    </row>
    <row r="53" spans="2:11" x14ac:dyDescent="0.3">
      <c r="B53" s="16"/>
      <c r="C53" s="17"/>
      <c r="D53" s="37"/>
      <c r="E53" s="14"/>
      <c r="F53" s="14"/>
      <c r="G53" s="14"/>
      <c r="H53" s="101"/>
      <c r="I53" s="14"/>
      <c r="J53" s="14"/>
      <c r="K53" s="15"/>
    </row>
    <row r="54" spans="2:11" x14ac:dyDescent="0.3">
      <c r="B54" s="16"/>
      <c r="C54" s="17"/>
      <c r="D54" s="37"/>
      <c r="E54" s="14"/>
      <c r="F54" s="14"/>
      <c r="G54" s="14"/>
      <c r="H54" s="101"/>
      <c r="I54" s="14"/>
      <c r="J54" s="14"/>
      <c r="K54" s="15"/>
    </row>
    <row r="55" spans="2:11" x14ac:dyDescent="0.3">
      <c r="B55" s="16"/>
      <c r="C55" s="17"/>
      <c r="D55" s="37"/>
      <c r="E55" s="14"/>
      <c r="F55" s="65" t="s">
        <v>56</v>
      </c>
      <c r="G55" s="14"/>
      <c r="H55" s="101"/>
      <c r="I55" s="14"/>
      <c r="J55" s="14"/>
      <c r="K55" s="15"/>
    </row>
    <row r="56" spans="2:11" x14ac:dyDescent="0.3">
      <c r="B56" s="95" t="s">
        <v>58</v>
      </c>
      <c r="C56" s="96"/>
      <c r="D56" s="164"/>
      <c r="E56" s="14"/>
      <c r="F56" s="97" t="s">
        <v>59</v>
      </c>
      <c r="G56" s="98"/>
      <c r="H56" s="101"/>
      <c r="I56" s="14"/>
      <c r="J56" s="14"/>
      <c r="K56" s="15"/>
    </row>
    <row r="57" spans="2:11" x14ac:dyDescent="0.3">
      <c r="B57" s="89" t="s">
        <v>157</v>
      </c>
      <c r="C57" s="93"/>
      <c r="D57" s="211"/>
      <c r="E57" s="14"/>
      <c r="F57" s="14"/>
      <c r="G57" s="14"/>
      <c r="H57" s="108"/>
      <c r="I57" s="14"/>
      <c r="J57" s="14"/>
      <c r="K57" s="15"/>
    </row>
    <row r="58" spans="2:11" x14ac:dyDescent="0.3">
      <c r="B58" s="88" t="s">
        <v>158</v>
      </c>
      <c r="C58" s="94"/>
      <c r="D58" s="212">
        <f>MAX(D51,0)/D19/I27/D30/D30*1000000</f>
        <v>1.2143352913915965E-2</v>
      </c>
      <c r="E58" s="14"/>
      <c r="F58" s="91" t="s">
        <v>158</v>
      </c>
      <c r="G58" s="94"/>
      <c r="H58" s="197">
        <f>-MIN(D52,0)/D19/D27/D30/D30*1000000</f>
        <v>6.7259027198246932E-2</v>
      </c>
      <c r="I58" s="14"/>
      <c r="J58" s="14"/>
      <c r="K58" s="15"/>
    </row>
    <row r="59" spans="2:11" x14ac:dyDescent="0.3">
      <c r="B59" s="86" t="s">
        <v>116</v>
      </c>
      <c r="C59" s="90" t="s">
        <v>159</v>
      </c>
      <c r="D59" s="213" cm="1">
        <f t="array" ref="D59:D60">TRANSPOSE([1]!PureBendingDesign(D58,D18/D15,D6))</f>
        <v>1.4789417985495145E-2</v>
      </c>
      <c r="E59" s="14"/>
      <c r="F59" s="90" t="s">
        <v>116</v>
      </c>
      <c r="G59" s="90" t="s">
        <v>159</v>
      </c>
      <c r="H59" s="92" cm="1">
        <f t="array" ref="H59:H60">TRANSPOSE([1]!PureBendingDesign(H58,D18/D15,D6))</f>
        <v>8.3684010840908846E-2</v>
      </c>
      <c r="I59" s="14"/>
      <c r="J59" s="14"/>
      <c r="K59" s="15"/>
    </row>
    <row r="60" spans="2:11" x14ac:dyDescent="0.3">
      <c r="B60" s="86"/>
      <c r="C60" s="90" t="s">
        <v>160</v>
      </c>
      <c r="D60" s="213">
        <v>1.3224200594190797E-2</v>
      </c>
      <c r="E60" s="14"/>
      <c r="F60" s="90"/>
      <c r="G60" s="90" t="s">
        <v>160</v>
      </c>
      <c r="H60" s="92">
        <v>8.2118793449604502E-2</v>
      </c>
      <c r="I60" s="14"/>
      <c r="J60" s="14"/>
      <c r="K60" s="15"/>
    </row>
    <row r="61" spans="2:11" x14ac:dyDescent="0.3">
      <c r="B61" s="86" t="s">
        <v>161</v>
      </c>
      <c r="C61" s="14"/>
      <c r="D61" s="214" t="b">
        <f>IF(AND(D51&gt;0,D51&gt;D66),FALSE, TRUE)</f>
        <v>1</v>
      </c>
      <c r="E61" s="14"/>
      <c r="F61" s="90"/>
      <c r="G61" s="14"/>
      <c r="H61" s="92"/>
      <c r="I61" s="14"/>
      <c r="J61" s="14"/>
      <c r="K61" s="15"/>
    </row>
    <row r="62" spans="2:11" x14ac:dyDescent="0.3">
      <c r="B62" s="86" t="s">
        <v>73</v>
      </c>
      <c r="C62" s="90" t="s">
        <v>159</v>
      </c>
      <c r="D62" s="213">
        <f>MAX(D59*I27*D30*D19/D18,D17*D27*D28)</f>
        <v>465</v>
      </c>
      <c r="E62" s="14" t="s">
        <v>70</v>
      </c>
      <c r="F62" s="90" t="s">
        <v>73</v>
      </c>
      <c r="G62" s="90" t="s">
        <v>159</v>
      </c>
      <c r="H62" s="92">
        <f>MAX(H59*D27*D30*D19/D18,D17*D27*D30)</f>
        <v>485.19292118801934</v>
      </c>
      <c r="I62" s="14" t="s">
        <v>70</v>
      </c>
      <c r="J62" s="14"/>
      <c r="K62" s="15"/>
    </row>
    <row r="63" spans="2:11" x14ac:dyDescent="0.3">
      <c r="B63" s="86"/>
      <c r="C63" s="90" t="s">
        <v>160</v>
      </c>
      <c r="D63" s="213">
        <f>MAX(D60*I27*D30*D19/D18,0.1*D62)</f>
        <v>260.68756429656696</v>
      </c>
      <c r="E63" s="14" t="s">
        <v>70</v>
      </c>
      <c r="F63" s="90"/>
      <c r="G63" s="90" t="s">
        <v>160</v>
      </c>
      <c r="H63" s="92">
        <f>MAX(H60*D27*D30*D19/D18,0.1*H62)</f>
        <v>476.11792118801935</v>
      </c>
      <c r="I63" s="14" t="s">
        <v>70</v>
      </c>
      <c r="J63" s="14"/>
      <c r="K63" s="15"/>
    </row>
    <row r="64" spans="2:11" x14ac:dyDescent="0.3">
      <c r="B64" s="85"/>
      <c r="C64" s="93"/>
      <c r="D64" s="211"/>
      <c r="E64" s="14"/>
      <c r="F64" s="14"/>
      <c r="G64" s="14"/>
      <c r="H64" s="101"/>
      <c r="I64" s="14"/>
      <c r="J64" s="14"/>
      <c r="K64" s="15"/>
    </row>
    <row r="65" spans="2:11" x14ac:dyDescent="0.3">
      <c r="B65" s="85" t="s">
        <v>162</v>
      </c>
      <c r="C65" s="93"/>
      <c r="D65" s="211"/>
      <c r="E65" s="14"/>
      <c r="F65" s="14"/>
      <c r="G65" s="14"/>
      <c r="H65" s="101"/>
      <c r="I65" s="14"/>
      <c r="J65" s="14"/>
      <c r="K65" s="15"/>
    </row>
    <row r="66" spans="2:11" x14ac:dyDescent="0.3">
      <c r="B66" s="86" t="s">
        <v>163</v>
      </c>
      <c r="C66" s="90"/>
      <c r="D66" s="215">
        <f>(D30-I25/2)*(I27-D27)*D19</f>
        <v>3880799.9999999991</v>
      </c>
      <c r="E66" s="14"/>
      <c r="F66" s="65" t="s">
        <v>67</v>
      </c>
      <c r="G66" s="14"/>
      <c r="H66" s="101"/>
      <c r="I66" s="14"/>
      <c r="J66" s="14"/>
      <c r="K66" s="15"/>
    </row>
    <row r="67" spans="2:11" x14ac:dyDescent="0.3">
      <c r="B67" s="86" t="s">
        <v>164</v>
      </c>
      <c r="C67" s="90"/>
      <c r="D67" s="213">
        <f>MAX(0,D51-D66)</f>
        <v>0</v>
      </c>
      <c r="E67" s="14"/>
      <c r="F67" s="14" t="s">
        <v>171</v>
      </c>
      <c r="G67" s="14"/>
      <c r="H67" s="101">
        <f>MAX(H62,D76)</f>
        <v>485.19292118801934</v>
      </c>
      <c r="I67" s="14" t="s">
        <v>70</v>
      </c>
      <c r="J67" s="14"/>
      <c r="K67" s="15"/>
    </row>
    <row r="68" spans="2:11" x14ac:dyDescent="0.3">
      <c r="B68" s="86" t="s">
        <v>165</v>
      </c>
      <c r="C68" s="90"/>
      <c r="D68" s="213">
        <f>(I27-D27)*I25*D19/D18</f>
        <v>3035.9999999999991</v>
      </c>
      <c r="E68" s="14"/>
      <c r="F68" s="14"/>
      <c r="G68" s="14" t="s">
        <v>71</v>
      </c>
      <c r="H68" s="224">
        <v>16</v>
      </c>
      <c r="I68" s="14" t="s">
        <v>38</v>
      </c>
      <c r="J68" s="14"/>
      <c r="K68" s="15"/>
    </row>
    <row r="69" spans="2:11" x14ac:dyDescent="0.3">
      <c r="B69" s="88" t="s">
        <v>158</v>
      </c>
      <c r="C69" s="94"/>
      <c r="D69" s="213">
        <f>D67/D19/D27/D30/D30</f>
        <v>0</v>
      </c>
      <c r="E69" s="14"/>
      <c r="F69" s="14"/>
      <c r="G69" s="14" t="s">
        <v>90</v>
      </c>
      <c r="H69" s="101">
        <f>3.14*H68*H68/4</f>
        <v>200.96</v>
      </c>
      <c r="I69" s="14" t="s">
        <v>70</v>
      </c>
      <c r="J69" s="14"/>
      <c r="K69" s="15"/>
    </row>
    <row r="70" spans="2:11" x14ac:dyDescent="0.3">
      <c r="B70" s="86" t="s">
        <v>116</v>
      </c>
      <c r="C70" s="90" t="s">
        <v>159</v>
      </c>
      <c r="D70" s="216" cm="1">
        <f t="array" ref="D70:D71">TRANSPOSE([1]!PureBendingDesign(D69,D18/D15,D6))</f>
        <v>0</v>
      </c>
      <c r="E70" s="14"/>
      <c r="F70" s="14"/>
      <c r="G70" s="14" t="s">
        <v>72</v>
      </c>
      <c r="H70" s="110">
        <f>ROUNDUP(H67/H69,0)</f>
        <v>3</v>
      </c>
      <c r="I70" s="14"/>
      <c r="J70" s="14"/>
      <c r="K70" s="15"/>
    </row>
    <row r="71" spans="2:11" x14ac:dyDescent="0.3">
      <c r="B71" s="86"/>
      <c r="C71" s="90" t="s">
        <v>160</v>
      </c>
      <c r="D71" s="217">
        <v>0</v>
      </c>
      <c r="E71" s="14"/>
      <c r="F71" s="14"/>
      <c r="G71" s="14"/>
      <c r="H71" s="101"/>
      <c r="I71" s="14"/>
      <c r="J71" s="14"/>
      <c r="K71" s="15"/>
    </row>
    <row r="72" spans="2:11" x14ac:dyDescent="0.3">
      <c r="B72" s="86" t="s">
        <v>166</v>
      </c>
      <c r="C72" s="90"/>
      <c r="D72" s="218">
        <f>D70*D27*D30*D19/D18</f>
        <v>0</v>
      </c>
      <c r="E72" s="14"/>
      <c r="F72" s="14" t="s">
        <v>169</v>
      </c>
      <c r="G72" s="14"/>
      <c r="H72" s="101">
        <f>MAX(H63,D76)</f>
        <v>476.11792118801935</v>
      </c>
      <c r="I72" s="14" t="s">
        <v>70</v>
      </c>
      <c r="J72" s="14"/>
      <c r="K72" s="15"/>
    </row>
    <row r="73" spans="2:11" x14ac:dyDescent="0.3">
      <c r="B73" s="86" t="s">
        <v>167</v>
      </c>
      <c r="C73" s="90"/>
      <c r="D73" s="218">
        <f>D72+D68</f>
        <v>3035.9999999999991</v>
      </c>
      <c r="E73" s="14"/>
      <c r="F73" s="14"/>
      <c r="G73" s="14" t="s">
        <v>71</v>
      </c>
      <c r="H73" s="224">
        <v>12</v>
      </c>
      <c r="I73" s="14" t="s">
        <v>38</v>
      </c>
      <c r="J73" s="14"/>
      <c r="K73" s="15"/>
    </row>
    <row r="74" spans="2:11" x14ac:dyDescent="0.3">
      <c r="B74" s="85"/>
      <c r="C74" s="65" t="s">
        <v>170</v>
      </c>
      <c r="D74" s="164"/>
      <c r="E74" s="65"/>
      <c r="F74" s="14"/>
      <c r="G74" s="14" t="s">
        <v>90</v>
      </c>
      <c r="H74" s="101">
        <f>3.14*H73*H73/4</f>
        <v>113.03999999999999</v>
      </c>
      <c r="I74" s="14" t="s">
        <v>70</v>
      </c>
      <c r="J74" s="14"/>
      <c r="K74" s="15"/>
    </row>
    <row r="75" spans="2:11" x14ac:dyDescent="0.3">
      <c r="B75" s="86"/>
      <c r="C75" s="90" t="s">
        <v>159</v>
      </c>
      <c r="D75" s="213">
        <f>IF(D61=TRUE,D62,D73)</f>
        <v>465</v>
      </c>
      <c r="E75" s="14" t="s">
        <v>70</v>
      </c>
      <c r="F75" s="14"/>
      <c r="G75" s="14" t="s">
        <v>72</v>
      </c>
      <c r="H75" s="110">
        <f>ROUNDUP(H72/H74,0)</f>
        <v>5</v>
      </c>
      <c r="I75" s="14"/>
      <c r="J75" s="14"/>
      <c r="K75" s="15"/>
    </row>
    <row r="76" spans="2:11" x14ac:dyDescent="0.3">
      <c r="B76" s="52"/>
      <c r="C76" s="90" t="s">
        <v>160</v>
      </c>
      <c r="D76" s="213">
        <f>IF(D61=TRUE,D63,D73*0.1)</f>
        <v>260.68756429656696</v>
      </c>
      <c r="E76" s="14" t="s">
        <v>70</v>
      </c>
      <c r="F76" s="14"/>
      <c r="G76" s="14"/>
      <c r="H76" s="101"/>
      <c r="I76" s="14"/>
      <c r="J76" s="14"/>
      <c r="K76" s="15"/>
    </row>
    <row r="77" spans="2:11" x14ac:dyDescent="0.3">
      <c r="B77" s="52"/>
      <c r="C77" s="14"/>
      <c r="D77" s="37"/>
      <c r="E77" s="14"/>
      <c r="F77" s="14"/>
      <c r="G77" s="14"/>
      <c r="H77" s="101"/>
      <c r="I77" s="14"/>
      <c r="J77" s="14"/>
      <c r="K77" s="15"/>
    </row>
    <row r="78" spans="2:11" x14ac:dyDescent="0.3">
      <c r="B78" s="99"/>
      <c r="C78" s="96"/>
      <c r="D78" s="164"/>
      <c r="E78" s="96"/>
      <c r="F78" s="14"/>
      <c r="G78" s="14"/>
      <c r="H78" s="101"/>
      <c r="I78" s="14"/>
      <c r="J78" s="14"/>
      <c r="K78" s="15"/>
    </row>
    <row r="79" spans="2:11" x14ac:dyDescent="0.3">
      <c r="B79" s="16"/>
      <c r="C79" s="17"/>
      <c r="D79" s="175"/>
      <c r="E79" s="14"/>
      <c r="F79" s="14"/>
      <c r="G79" s="14"/>
      <c r="H79" s="101"/>
      <c r="I79" s="14"/>
      <c r="J79" s="14"/>
      <c r="K79" s="15"/>
    </row>
    <row r="80" spans="2:11" x14ac:dyDescent="0.3">
      <c r="B80" s="16"/>
      <c r="C80" s="17"/>
      <c r="D80" s="175"/>
      <c r="E80" s="14"/>
      <c r="F80" s="14"/>
      <c r="G80" s="14"/>
      <c r="H80" s="101"/>
      <c r="I80" s="14"/>
      <c r="J80" s="14"/>
      <c r="K80" s="15"/>
    </row>
    <row r="81" spans="2:11" x14ac:dyDescent="0.3">
      <c r="B81" s="16"/>
      <c r="C81" s="17"/>
      <c r="D81" s="37"/>
      <c r="E81" s="14"/>
      <c r="F81" s="14"/>
      <c r="G81" s="14"/>
      <c r="H81" s="101"/>
      <c r="I81" s="14"/>
      <c r="J81" s="14"/>
      <c r="K81" s="15"/>
    </row>
    <row r="82" spans="2:11" x14ac:dyDescent="0.3">
      <c r="B82" s="16"/>
      <c r="C82" s="17"/>
      <c r="D82" s="37"/>
      <c r="E82" s="14"/>
      <c r="F82" s="14"/>
      <c r="G82" s="14"/>
      <c r="H82" s="101"/>
      <c r="I82" s="14"/>
      <c r="J82" s="14"/>
      <c r="K82" s="15"/>
    </row>
    <row r="83" spans="2:11" x14ac:dyDescent="0.3">
      <c r="B83" s="16"/>
      <c r="C83" s="17"/>
      <c r="D83" s="37"/>
      <c r="E83" s="14"/>
      <c r="F83" s="14"/>
      <c r="G83" s="14"/>
      <c r="H83" s="101"/>
      <c r="I83" s="14"/>
      <c r="J83" s="14"/>
      <c r="K83" s="15"/>
    </row>
    <row r="84" spans="2:11" x14ac:dyDescent="0.3">
      <c r="B84" s="52"/>
      <c r="C84" s="14"/>
      <c r="D84" s="175"/>
      <c r="E84" s="14"/>
      <c r="F84" s="14"/>
      <c r="G84" s="14"/>
      <c r="H84" s="101"/>
      <c r="I84" s="14"/>
      <c r="J84" s="14"/>
      <c r="K84" s="15"/>
    </row>
    <row r="85" spans="2:11" x14ac:dyDescent="0.3">
      <c r="B85" s="52"/>
      <c r="C85" s="14"/>
      <c r="D85" s="37"/>
      <c r="E85" s="14"/>
      <c r="F85" s="14"/>
      <c r="G85" s="14"/>
      <c r="H85" s="101"/>
      <c r="I85" s="14"/>
      <c r="J85" s="14"/>
      <c r="K85" s="15"/>
    </row>
    <row r="86" spans="2:11" x14ac:dyDescent="0.3">
      <c r="B86" s="16"/>
      <c r="C86" s="17"/>
      <c r="D86" s="37"/>
      <c r="E86" s="14"/>
      <c r="F86" s="14"/>
      <c r="G86" s="14"/>
      <c r="H86" s="101"/>
      <c r="I86" s="14"/>
      <c r="J86" s="14"/>
      <c r="K86" s="15"/>
    </row>
    <row r="87" spans="2:11" x14ac:dyDescent="0.3">
      <c r="B87" s="16"/>
      <c r="C87" s="17"/>
      <c r="D87" s="37"/>
      <c r="E87" s="14"/>
      <c r="F87" s="14"/>
      <c r="G87" s="101"/>
      <c r="H87" s="101"/>
      <c r="I87" s="14"/>
      <c r="J87" s="14"/>
      <c r="K87" s="15"/>
    </row>
    <row r="88" spans="2:11" x14ac:dyDescent="0.3">
      <c r="B88" s="16"/>
      <c r="C88" s="17"/>
      <c r="D88" s="37"/>
      <c r="E88" s="14"/>
      <c r="F88" s="14"/>
      <c r="G88" s="14"/>
      <c r="H88" s="101"/>
      <c r="I88" s="14"/>
      <c r="J88" s="14"/>
      <c r="K88" s="15"/>
    </row>
    <row r="89" spans="2:11" x14ac:dyDescent="0.3">
      <c r="B89" s="16"/>
      <c r="C89" s="17"/>
      <c r="D89" s="37"/>
      <c r="E89" s="14"/>
      <c r="F89" s="14"/>
      <c r="G89" s="14"/>
      <c r="H89" s="101"/>
      <c r="I89" s="14"/>
      <c r="J89" s="14"/>
      <c r="K89" s="15"/>
    </row>
    <row r="90" spans="2:11" x14ac:dyDescent="0.3">
      <c r="B90" s="16"/>
      <c r="C90" s="17"/>
      <c r="D90" s="37"/>
      <c r="E90" s="14"/>
      <c r="F90" s="14"/>
      <c r="G90" s="14"/>
      <c r="H90" s="101"/>
      <c r="I90" s="14"/>
      <c r="J90" s="14"/>
      <c r="K90" s="15"/>
    </row>
    <row r="91" spans="2:11" ht="15" thickBot="1" x14ac:dyDescent="0.35">
      <c r="B91" s="28"/>
      <c r="C91" s="29"/>
      <c r="D91" s="208"/>
      <c r="E91" s="30"/>
      <c r="F91" s="30"/>
      <c r="G91" s="30"/>
      <c r="H91" s="106"/>
      <c r="I91" s="30"/>
      <c r="J91" s="30"/>
      <c r="K91" s="31"/>
    </row>
    <row r="92" spans="2:11" ht="15" thickBot="1" x14ac:dyDescent="0.35">
      <c r="B92" s="9"/>
      <c r="C92" s="9"/>
    </row>
    <row r="93" spans="2:11" x14ac:dyDescent="0.3">
      <c r="B93" s="171" t="s">
        <v>261</v>
      </c>
      <c r="C93" s="33"/>
      <c r="D93" s="209"/>
      <c r="E93" s="34"/>
      <c r="F93" s="34"/>
      <c r="G93" s="34"/>
      <c r="H93" s="34"/>
      <c r="I93" s="34"/>
      <c r="J93" s="34"/>
      <c r="K93" s="10"/>
    </row>
    <row r="94" spans="2:11" x14ac:dyDescent="0.3">
      <c r="B94" s="169" t="s">
        <v>290</v>
      </c>
      <c r="C94" s="14"/>
      <c r="D94" s="37"/>
      <c r="E94" s="14"/>
      <c r="F94" s="14"/>
      <c r="G94" s="176" t="s">
        <v>284</v>
      </c>
      <c r="H94" s="176"/>
      <c r="I94" s="41" t="b">
        <v>1</v>
      </c>
      <c r="J94" s="14"/>
      <c r="K94" s="15"/>
    </row>
    <row r="95" spans="2:11" ht="14.4" customHeight="1" x14ac:dyDescent="0.3">
      <c r="B95" s="16" t="s">
        <v>53</v>
      </c>
      <c r="C95" s="14"/>
      <c r="D95" s="219">
        <f>MAX(MAX(G34:H43),ABS(MIN(G34:H43)))</f>
        <v>72.067857042891589</v>
      </c>
      <c r="E95" s="14" t="s">
        <v>55</v>
      </c>
      <c r="F95" s="287" t="s">
        <v>291</v>
      </c>
      <c r="G95" s="287"/>
      <c r="H95" s="287"/>
      <c r="I95" s="287"/>
      <c r="J95" s="287"/>
      <c r="K95" s="288"/>
    </row>
    <row r="96" spans="2:11" x14ac:dyDescent="0.3">
      <c r="B96" s="16" t="s">
        <v>256</v>
      </c>
      <c r="C96" s="14"/>
      <c r="D96" s="219">
        <f>IF(I94=TRUE,MAX(MAX(I34:J43),ABS(MIN(I34:J43))),0)</f>
        <v>11.717396348361881</v>
      </c>
      <c r="E96" s="14" t="s">
        <v>54</v>
      </c>
      <c r="F96" s="287"/>
      <c r="G96" s="287"/>
      <c r="H96" s="287"/>
      <c r="I96" s="287"/>
      <c r="J96" s="287"/>
      <c r="K96" s="288"/>
    </row>
    <row r="97" spans="2:11" x14ac:dyDescent="0.3">
      <c r="B97" s="16"/>
      <c r="C97" s="14"/>
      <c r="D97" s="37"/>
      <c r="E97" s="14"/>
      <c r="F97" s="287"/>
      <c r="G97" s="287"/>
      <c r="H97" s="287"/>
      <c r="I97" s="287"/>
      <c r="J97" s="287"/>
      <c r="K97" s="288"/>
    </row>
    <row r="98" spans="2:11" x14ac:dyDescent="0.3">
      <c r="B98" s="16"/>
      <c r="C98" s="14"/>
      <c r="D98" s="37"/>
      <c r="E98" s="14"/>
      <c r="F98" s="287"/>
      <c r="G98" s="287"/>
      <c r="H98" s="287"/>
      <c r="I98" s="287"/>
      <c r="J98" s="287"/>
      <c r="K98" s="288"/>
    </row>
    <row r="99" spans="2:11" x14ac:dyDescent="0.3">
      <c r="B99" s="16"/>
      <c r="C99" s="174" t="s">
        <v>268</v>
      </c>
      <c r="D99" s="175"/>
      <c r="E99" s="14"/>
      <c r="F99" s="14"/>
      <c r="G99" s="17"/>
      <c r="H99" s="174" t="s">
        <v>292</v>
      </c>
      <c r="I99" s="170"/>
      <c r="J99" s="14"/>
      <c r="K99" s="15"/>
    </row>
    <row r="100" spans="2:11" x14ac:dyDescent="0.3">
      <c r="B100" s="16" t="s">
        <v>264</v>
      </c>
      <c r="C100" s="14"/>
      <c r="D100" s="37">
        <f>D27-2*D102</f>
        <v>200</v>
      </c>
      <c r="E100" s="175" t="s">
        <v>38</v>
      </c>
      <c r="F100" s="14"/>
      <c r="G100" s="17" t="s">
        <v>293</v>
      </c>
      <c r="H100" s="14"/>
      <c r="I100" s="37">
        <f>I24-D102</f>
        <v>275</v>
      </c>
      <c r="J100" s="175" t="s">
        <v>38</v>
      </c>
      <c r="K100" s="15"/>
    </row>
    <row r="101" spans="2:11" x14ac:dyDescent="0.3">
      <c r="B101" s="16" t="s">
        <v>265</v>
      </c>
      <c r="C101" s="14"/>
      <c r="D101" s="37">
        <f>D28-2*D102</f>
        <v>550</v>
      </c>
      <c r="E101" s="175" t="s">
        <v>38</v>
      </c>
      <c r="F101" s="14"/>
      <c r="G101" s="17" t="s">
        <v>294</v>
      </c>
      <c r="H101" s="14"/>
      <c r="I101" s="37">
        <f>I25-2*D102</f>
        <v>70</v>
      </c>
      <c r="J101" s="175" t="s">
        <v>38</v>
      </c>
      <c r="K101" s="15"/>
    </row>
    <row r="102" spans="2:11" x14ac:dyDescent="0.3">
      <c r="B102" s="16" t="s">
        <v>37</v>
      </c>
      <c r="C102" s="14"/>
      <c r="D102" s="37">
        <v>25</v>
      </c>
      <c r="E102" s="37" t="s">
        <v>38</v>
      </c>
      <c r="F102" s="14"/>
      <c r="G102" s="17" t="s">
        <v>37</v>
      </c>
      <c r="H102" s="14"/>
      <c r="I102" s="37">
        <v>25</v>
      </c>
      <c r="J102" s="37" t="s">
        <v>38</v>
      </c>
      <c r="K102" s="15"/>
    </row>
    <row r="103" spans="2:11" x14ac:dyDescent="0.3">
      <c r="B103" s="16" t="s">
        <v>266</v>
      </c>
      <c r="C103" s="14"/>
      <c r="D103" s="37">
        <f>D100*D101</f>
        <v>110000</v>
      </c>
      <c r="E103" s="37" t="s">
        <v>70</v>
      </c>
      <c r="F103" s="14"/>
      <c r="G103" s="17" t="s">
        <v>266</v>
      </c>
      <c r="H103" s="14"/>
      <c r="I103" s="37">
        <f>I100*I101</f>
        <v>19250</v>
      </c>
      <c r="J103" s="37" t="s">
        <v>70</v>
      </c>
      <c r="K103" s="15"/>
    </row>
    <row r="104" spans="2:11" x14ac:dyDescent="0.3">
      <c r="B104" s="16" t="s">
        <v>267</v>
      </c>
      <c r="C104" s="14"/>
      <c r="D104" s="37">
        <f>2*(D100+D101)</f>
        <v>1500</v>
      </c>
      <c r="E104" s="37" t="s">
        <v>38</v>
      </c>
      <c r="F104" s="14"/>
      <c r="G104" s="17" t="s">
        <v>267</v>
      </c>
      <c r="H104" s="14"/>
      <c r="I104" s="37">
        <f>2*(I100+I101)</f>
        <v>690</v>
      </c>
      <c r="J104" s="37" t="s">
        <v>38</v>
      </c>
      <c r="K104" s="15"/>
    </row>
    <row r="105" spans="2:11" x14ac:dyDescent="0.3">
      <c r="B105" s="16" t="s">
        <v>297</v>
      </c>
      <c r="C105" s="14"/>
      <c r="D105" s="198">
        <f>D103*D103/D104</f>
        <v>8066666.666666667</v>
      </c>
      <c r="E105" s="14"/>
      <c r="F105" s="14"/>
      <c r="G105" s="17" t="s">
        <v>297</v>
      </c>
      <c r="H105" s="14"/>
      <c r="I105" s="198">
        <f>I103*I103/I104</f>
        <v>537047.10144927539</v>
      </c>
      <c r="J105" s="14"/>
      <c r="K105" s="15"/>
    </row>
    <row r="106" spans="2:11" x14ac:dyDescent="0.3">
      <c r="B106" s="16"/>
      <c r="C106" s="14"/>
      <c r="D106" s="175"/>
      <c r="E106" s="14"/>
      <c r="F106" s="14"/>
      <c r="G106" s="14"/>
      <c r="H106" s="14"/>
      <c r="I106" s="14"/>
      <c r="J106" s="14"/>
      <c r="K106" s="15"/>
    </row>
    <row r="107" spans="2:11" x14ac:dyDescent="0.3">
      <c r="B107" s="16" t="s">
        <v>262</v>
      </c>
      <c r="C107" s="14"/>
      <c r="D107" s="175">
        <f>D95/D27/D30*1000</f>
        <v>0.52412986940284789</v>
      </c>
      <c r="E107" s="14" t="s">
        <v>34</v>
      </c>
      <c r="F107" s="14"/>
      <c r="G107" s="14"/>
      <c r="H107" s="14"/>
      <c r="I107" s="14"/>
      <c r="J107" s="14"/>
      <c r="K107" s="15"/>
    </row>
    <row r="108" spans="2:11" ht="15" thickBot="1" x14ac:dyDescent="0.35">
      <c r="B108" s="16" t="s">
        <v>263</v>
      </c>
      <c r="C108" s="14"/>
      <c r="D108" s="175">
        <f>D96*1000000/1.7/(D105+2*I105)</f>
        <v>0.75404949168083224</v>
      </c>
      <c r="E108" s="14" t="s">
        <v>34</v>
      </c>
      <c r="F108" s="14"/>
      <c r="G108" s="14"/>
      <c r="H108" s="14"/>
      <c r="I108" s="14"/>
      <c r="J108" s="14"/>
      <c r="K108" s="15"/>
    </row>
    <row r="109" spans="2:11" ht="15" thickBot="1" x14ac:dyDescent="0.35">
      <c r="B109" s="16" t="s">
        <v>269</v>
      </c>
      <c r="C109" s="17"/>
      <c r="D109" s="175">
        <f>SQRT(D107*D107+D108*D108)</f>
        <v>0.91831517242413452</v>
      </c>
      <c r="E109" s="14" t="s">
        <v>34</v>
      </c>
      <c r="F109" s="14" t="s">
        <v>270</v>
      </c>
      <c r="G109" s="14"/>
      <c r="H109" s="177" t="str">
        <f>IF(D109&lt;D22,"Safe", "Dimminsion must increase")</f>
        <v>Safe</v>
      </c>
      <c r="I109" s="14"/>
      <c r="J109" s="14"/>
      <c r="K109" s="15"/>
    </row>
    <row r="110" spans="2:11" x14ac:dyDescent="0.3">
      <c r="B110" s="16"/>
      <c r="C110" s="176" t="s">
        <v>271</v>
      </c>
      <c r="D110" s="37"/>
      <c r="E110" s="14"/>
      <c r="F110" s="14"/>
      <c r="G110" s="14"/>
      <c r="H110" s="14"/>
      <c r="I110" s="14"/>
      <c r="J110" s="14"/>
      <c r="K110" s="15"/>
    </row>
    <row r="111" spans="2:11" x14ac:dyDescent="0.3">
      <c r="B111" s="16" t="s">
        <v>84</v>
      </c>
      <c r="C111" s="17"/>
      <c r="D111" s="175">
        <f>MAX(0,D107-D21)</f>
        <v>0</v>
      </c>
      <c r="E111" s="14" t="s">
        <v>34</v>
      </c>
      <c r="F111" s="14"/>
      <c r="G111" s="14"/>
      <c r="H111" s="14"/>
      <c r="I111" s="14"/>
      <c r="J111" s="14"/>
      <c r="K111" s="15"/>
    </row>
    <row r="112" spans="2:11" x14ac:dyDescent="0.3">
      <c r="B112" s="16" t="s">
        <v>283</v>
      </c>
      <c r="C112" s="17"/>
      <c r="D112" s="75">
        <v>2</v>
      </c>
      <c r="E112" s="14"/>
      <c r="F112" s="14"/>
      <c r="G112" s="14"/>
      <c r="H112" s="14"/>
      <c r="I112" s="14"/>
      <c r="J112" s="14"/>
      <c r="K112" s="15"/>
    </row>
    <row r="113" spans="2:11" x14ac:dyDescent="0.3">
      <c r="B113" s="16" t="s">
        <v>85</v>
      </c>
      <c r="C113" s="17"/>
      <c r="D113" s="37">
        <f>D111*D27/D20/D112</f>
        <v>0</v>
      </c>
      <c r="E113" s="14"/>
      <c r="F113" s="14"/>
      <c r="G113" s="14"/>
      <c r="H113" s="14"/>
      <c r="I113" s="14"/>
      <c r="J113" s="14"/>
      <c r="K113" s="15"/>
    </row>
    <row r="114" spans="2:11" x14ac:dyDescent="0.3">
      <c r="B114" s="16" t="s">
        <v>89</v>
      </c>
      <c r="C114" s="17"/>
      <c r="D114" s="37">
        <f>H131</f>
        <v>8</v>
      </c>
      <c r="E114" s="14" t="s">
        <v>38</v>
      </c>
      <c r="F114" s="14" t="s">
        <v>90</v>
      </c>
      <c r="G114" s="14">
        <f>3.14*D114*D114/4</f>
        <v>50.24</v>
      </c>
      <c r="H114" s="14" t="s">
        <v>70</v>
      </c>
      <c r="I114" s="14"/>
      <c r="J114" s="14"/>
      <c r="K114" s="15"/>
    </row>
    <row r="115" spans="2:11" x14ac:dyDescent="0.3">
      <c r="B115" s="16" t="s">
        <v>91</v>
      </c>
      <c r="C115" s="17"/>
      <c r="D115" s="37">
        <f>IFERROR(G114/D113,200)</f>
        <v>200</v>
      </c>
      <c r="E115" s="14"/>
      <c r="F115" s="14"/>
      <c r="G115" s="14"/>
      <c r="H115" s="14"/>
      <c r="I115" s="14"/>
      <c r="J115" s="14"/>
      <c r="K115" s="15"/>
    </row>
    <row r="116" spans="2:11" x14ac:dyDescent="0.3">
      <c r="B116" s="16"/>
      <c r="C116" s="17"/>
      <c r="D116" s="37"/>
      <c r="E116" s="14"/>
      <c r="F116" s="14"/>
      <c r="G116" s="14"/>
      <c r="H116" s="14"/>
      <c r="I116" s="14"/>
      <c r="J116" s="14"/>
      <c r="K116" s="15"/>
    </row>
    <row r="117" spans="2:11" x14ac:dyDescent="0.3">
      <c r="B117" s="16"/>
      <c r="C117" s="176" t="s">
        <v>272</v>
      </c>
      <c r="D117" s="37"/>
      <c r="E117" s="14"/>
      <c r="F117" s="14"/>
      <c r="G117" s="14"/>
      <c r="H117" s="14"/>
      <c r="I117" s="14"/>
      <c r="J117" s="14"/>
      <c r="K117" s="15"/>
    </row>
    <row r="118" spans="2:11" x14ac:dyDescent="0.3">
      <c r="B118" s="16" t="s">
        <v>273</v>
      </c>
      <c r="C118" s="14"/>
      <c r="D118" s="37" t="b">
        <f>IF(D108&lt;D23,TRUE,FALSE)</f>
        <v>0</v>
      </c>
      <c r="E118" s="14"/>
      <c r="F118" s="14"/>
      <c r="G118" s="14"/>
      <c r="H118" s="14"/>
      <c r="I118" s="14"/>
      <c r="J118" s="14"/>
      <c r="K118" s="15"/>
    </row>
    <row r="119" spans="2:11" x14ac:dyDescent="0.3">
      <c r="B119" s="16" t="s">
        <v>85</v>
      </c>
      <c r="C119" s="14"/>
      <c r="D119" s="37">
        <f>D96*1000000/1.7/D100/D101/D20</f>
        <v>0.30024522728645636</v>
      </c>
      <c r="E119" s="14"/>
      <c r="F119" s="14"/>
      <c r="G119" s="14"/>
      <c r="H119" s="14"/>
      <c r="I119" s="14"/>
      <c r="J119" s="14"/>
      <c r="K119" s="15"/>
    </row>
    <row r="120" spans="2:11" x14ac:dyDescent="0.3">
      <c r="B120" s="16" t="s">
        <v>89</v>
      </c>
      <c r="C120" s="17"/>
      <c r="D120" s="37">
        <f>H132</f>
        <v>8</v>
      </c>
      <c r="E120" s="14" t="s">
        <v>38</v>
      </c>
      <c r="F120" s="14" t="s">
        <v>90</v>
      </c>
      <c r="G120" s="14">
        <f>3.14*D120*D120/4</f>
        <v>50.24</v>
      </c>
      <c r="H120" s="14" t="s">
        <v>70</v>
      </c>
      <c r="I120" s="14"/>
      <c r="J120" s="14"/>
      <c r="K120" s="15"/>
    </row>
    <row r="121" spans="2:11" x14ac:dyDescent="0.3">
      <c r="B121" s="16" t="s">
        <v>91</v>
      </c>
      <c r="C121" s="17"/>
      <c r="D121" s="175">
        <f>IFERROR(MIN(200,G120/D119),200)</f>
        <v>167.32988715276826</v>
      </c>
      <c r="E121" s="14" t="s">
        <v>38</v>
      </c>
      <c r="F121" s="14"/>
      <c r="G121" s="14"/>
      <c r="H121" s="14"/>
      <c r="I121" s="14"/>
      <c r="J121" s="14"/>
      <c r="K121" s="15"/>
    </row>
    <row r="122" spans="2:11" x14ac:dyDescent="0.3">
      <c r="B122" s="16" t="s">
        <v>275</v>
      </c>
      <c r="C122" s="14"/>
      <c r="D122" s="186">
        <f>G120/D121*D104*D20/D18</f>
        <v>300.24522728645638</v>
      </c>
      <c r="E122" s="14" t="s">
        <v>70</v>
      </c>
      <c r="F122" s="14"/>
      <c r="G122" s="14"/>
      <c r="H122" s="14"/>
      <c r="I122" s="14"/>
      <c r="J122" s="14"/>
      <c r="K122" s="15"/>
    </row>
    <row r="123" spans="2:11" x14ac:dyDescent="0.3">
      <c r="B123" s="165" t="s">
        <v>282</v>
      </c>
      <c r="C123" s="183"/>
      <c r="D123" s="164" t="str">
        <f>IF(D118, "NO USE","USE")</f>
        <v>USE</v>
      </c>
      <c r="E123" s="17" t="s">
        <v>72</v>
      </c>
      <c r="F123" s="179">
        <f>CEILING(MAX(5,D122/H123/H123/3.14*4),4)</f>
        <v>8</v>
      </c>
      <c r="G123" s="14" t="s">
        <v>71</v>
      </c>
      <c r="H123" s="172">
        <v>8</v>
      </c>
      <c r="I123" s="281" t="s">
        <v>279</v>
      </c>
      <c r="J123" s="282"/>
      <c r="K123" s="15"/>
    </row>
    <row r="124" spans="2:11" x14ac:dyDescent="0.3">
      <c r="B124" s="16"/>
      <c r="C124" s="14"/>
      <c r="D124" s="37"/>
      <c r="E124" s="14"/>
      <c r="F124" s="14"/>
      <c r="G124" s="14"/>
      <c r="H124" s="14"/>
      <c r="I124" s="14"/>
      <c r="J124" s="14"/>
      <c r="K124" s="15"/>
    </row>
    <row r="125" spans="2:11" x14ac:dyDescent="0.3">
      <c r="B125" s="16"/>
      <c r="C125" s="14"/>
      <c r="D125" s="37"/>
      <c r="E125" s="14"/>
      <c r="F125" s="14"/>
      <c r="G125" s="14"/>
      <c r="H125" s="14"/>
      <c r="I125" s="14"/>
      <c r="J125" s="14"/>
      <c r="K125" s="15"/>
    </row>
    <row r="126" spans="2:11" x14ac:dyDescent="0.3">
      <c r="B126" s="16"/>
      <c r="C126" s="176" t="s">
        <v>67</v>
      </c>
      <c r="D126" s="37"/>
      <c r="E126" s="14"/>
      <c r="F126" s="14"/>
      <c r="G126" s="14"/>
      <c r="H126" s="14"/>
      <c r="I126" s="14"/>
      <c r="J126" s="14"/>
      <c r="K126" s="15"/>
    </row>
    <row r="127" spans="2:11" ht="15" thickBot="1" x14ac:dyDescent="0.35">
      <c r="B127" s="169" t="s">
        <v>276</v>
      </c>
      <c r="C127" s="14"/>
      <c r="D127" s="37"/>
      <c r="E127" s="14"/>
      <c r="F127" s="14"/>
      <c r="G127" s="14"/>
      <c r="H127" s="14"/>
      <c r="I127" s="14"/>
      <c r="J127" s="14"/>
      <c r="K127" s="15"/>
    </row>
    <row r="128" spans="2:11" ht="15" thickBot="1" x14ac:dyDescent="0.35">
      <c r="B128" s="16" t="s">
        <v>91</v>
      </c>
      <c r="C128" s="14"/>
      <c r="D128" s="186">
        <f>MIN(D115,D121)</f>
        <v>167.32988715276826</v>
      </c>
      <c r="E128" s="14" t="s">
        <v>38</v>
      </c>
      <c r="F128" s="14"/>
      <c r="G128" s="70" t="s">
        <v>72</v>
      </c>
      <c r="H128" s="181">
        <f>ROUNDDOWN(1000/D128,0)</f>
        <v>5</v>
      </c>
      <c r="I128" s="14"/>
      <c r="J128" s="14"/>
      <c r="K128" s="15"/>
    </row>
    <row r="129" spans="2:11" x14ac:dyDescent="0.3">
      <c r="B129" s="16"/>
      <c r="C129" s="14"/>
      <c r="D129" s="186"/>
      <c r="E129" s="14"/>
      <c r="F129" s="14"/>
      <c r="G129" s="70"/>
      <c r="H129" s="14"/>
      <c r="I129" s="14"/>
      <c r="J129" s="14"/>
      <c r="K129" s="15"/>
    </row>
    <row r="130" spans="2:11" x14ac:dyDescent="0.3">
      <c r="B130" s="16" t="s">
        <v>281</v>
      </c>
      <c r="C130" s="14"/>
      <c r="D130" s="186">
        <f>D128*D113</f>
        <v>0</v>
      </c>
      <c r="E130" s="14"/>
      <c r="F130" s="14"/>
      <c r="G130" s="70"/>
      <c r="H130" s="14"/>
      <c r="I130" s="14"/>
      <c r="J130" s="14"/>
      <c r="K130" s="15"/>
    </row>
    <row r="131" spans="2:11" x14ac:dyDescent="0.3">
      <c r="B131" s="165" t="s">
        <v>278</v>
      </c>
      <c r="C131" s="184"/>
      <c r="D131" s="186">
        <f>J131/D112*D130</f>
        <v>0</v>
      </c>
      <c r="E131" s="14" t="s">
        <v>70</v>
      </c>
      <c r="F131" s="164" t="str">
        <f>IF(J131=0, "NO USE","use")</f>
        <v>NO USE</v>
      </c>
      <c r="G131" s="70" t="s">
        <v>71</v>
      </c>
      <c r="H131" s="41">
        <v>8</v>
      </c>
      <c r="I131" s="14" t="s">
        <v>280</v>
      </c>
      <c r="J131" s="180">
        <f>D112-2</f>
        <v>0</v>
      </c>
      <c r="K131" s="15"/>
    </row>
    <row r="132" spans="2:11" x14ac:dyDescent="0.3">
      <c r="B132" s="165" t="s">
        <v>277</v>
      </c>
      <c r="C132" s="184"/>
      <c r="D132" s="186">
        <f>D121*D119+2*D130/D112</f>
        <v>50.24</v>
      </c>
      <c r="E132" s="14" t="s">
        <v>70</v>
      </c>
      <c r="F132" s="164" t="str">
        <f>IF(D118, "NO USE","USE")</f>
        <v>USE</v>
      </c>
      <c r="G132" s="70" t="s">
        <v>71</v>
      </c>
      <c r="H132" s="41">
        <v>8</v>
      </c>
      <c r="I132" s="14"/>
      <c r="J132" s="14"/>
      <c r="K132" s="15"/>
    </row>
    <row r="133" spans="2:11" x14ac:dyDescent="0.3">
      <c r="B133" s="16"/>
      <c r="C133" s="17"/>
      <c r="D133" s="37"/>
      <c r="E133" s="14"/>
      <c r="F133" s="14"/>
      <c r="G133" s="182"/>
      <c r="H133" s="14"/>
      <c r="I133" s="14"/>
      <c r="J133" s="14"/>
      <c r="K133" s="15"/>
    </row>
    <row r="134" spans="2:11" x14ac:dyDescent="0.3">
      <c r="B134" s="16"/>
      <c r="C134" s="17"/>
      <c r="D134" s="37"/>
      <c r="E134" s="14"/>
      <c r="F134" s="14"/>
      <c r="G134" s="14"/>
      <c r="H134" s="14"/>
      <c r="I134" s="14"/>
      <c r="J134" s="14"/>
      <c r="K134" s="15"/>
    </row>
    <row r="135" spans="2:11" x14ac:dyDescent="0.3">
      <c r="B135" s="16"/>
      <c r="C135" s="17"/>
      <c r="D135" s="37"/>
      <c r="E135" s="14"/>
      <c r="F135" s="14"/>
      <c r="G135" s="14"/>
      <c r="H135" s="14"/>
      <c r="I135" s="14"/>
      <c r="J135" s="14"/>
      <c r="K135" s="15"/>
    </row>
    <row r="136" spans="2:11" ht="15" thickBot="1" x14ac:dyDescent="0.35">
      <c r="B136" s="28"/>
      <c r="C136" s="29"/>
      <c r="D136" s="208"/>
      <c r="E136" s="30"/>
      <c r="F136" s="30"/>
      <c r="G136" s="30"/>
      <c r="H136" s="30"/>
      <c r="I136" s="30"/>
      <c r="J136" s="30"/>
      <c r="K136" s="31"/>
    </row>
  </sheetData>
  <mergeCells count="3">
    <mergeCell ref="B2:K2"/>
    <mergeCell ref="I123:J123"/>
    <mergeCell ref="F95:K98"/>
  </mergeCells>
  <phoneticPr fontId="1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F0072-B9DD-4DA0-899D-79DF408A31CD}">
  <sheetPr codeName="Sheet3"/>
  <dimension ref="B1:L136"/>
  <sheetViews>
    <sheetView topLeftCell="A15" workbookViewId="0">
      <selection activeCell="D24" sqref="D24"/>
    </sheetView>
  </sheetViews>
  <sheetFormatPr defaultRowHeight="14.4" x14ac:dyDescent="0.3"/>
  <cols>
    <col min="1" max="3" width="8.88671875" style="1"/>
    <col min="4" max="4" width="11.5546875" style="3" customWidth="1"/>
    <col min="5" max="5" width="9.77734375" style="1" bestFit="1" customWidth="1"/>
    <col min="6" max="7" width="8.88671875" style="1"/>
    <col min="8" max="8" width="11.109375" style="100" bestFit="1" customWidth="1"/>
    <col min="9" max="9" width="10.33203125" style="1" bestFit="1" customWidth="1"/>
    <col min="10" max="10" width="12.109375" style="1" bestFit="1" customWidth="1"/>
    <col min="11" max="16384" width="8.88671875" style="1"/>
  </cols>
  <sheetData>
    <row r="1" spans="2:12" ht="15" thickBot="1" x14ac:dyDescent="0.35">
      <c r="B1" s="9"/>
      <c r="C1" s="9"/>
    </row>
    <row r="2" spans="2:12" ht="15" thickBot="1" x14ac:dyDescent="0.35">
      <c r="B2" s="284" t="s">
        <v>172</v>
      </c>
      <c r="C2" s="285"/>
      <c r="D2" s="285"/>
      <c r="E2" s="285"/>
      <c r="F2" s="285"/>
      <c r="G2" s="285"/>
      <c r="H2" s="285"/>
      <c r="I2" s="285"/>
      <c r="J2" s="285"/>
      <c r="K2" s="286"/>
    </row>
    <row r="3" spans="2:12" x14ac:dyDescent="0.3">
      <c r="B3" s="11" t="s">
        <v>0</v>
      </c>
      <c r="C3" s="12"/>
      <c r="D3" s="201"/>
      <c r="E3" s="13"/>
      <c r="F3" s="14"/>
      <c r="G3" s="14"/>
      <c r="H3" s="101"/>
      <c r="I3" s="14"/>
      <c r="J3" s="14"/>
      <c r="K3" s="15"/>
    </row>
    <row r="4" spans="2:12" x14ac:dyDescent="0.3">
      <c r="B4" s="16" t="s">
        <v>240</v>
      </c>
      <c r="C4" s="196"/>
      <c r="D4" s="137">
        <v>0.8</v>
      </c>
      <c r="E4" s="14" t="s">
        <v>1</v>
      </c>
      <c r="F4" s="14"/>
      <c r="G4" s="14"/>
      <c r="H4" s="14"/>
      <c r="I4" s="14"/>
      <c r="J4" s="14"/>
      <c r="K4" s="15"/>
    </row>
    <row r="5" spans="2:12" x14ac:dyDescent="0.3">
      <c r="B5" s="16" t="s">
        <v>241</v>
      </c>
      <c r="C5" s="196"/>
      <c r="D5" s="137">
        <v>0.82499999999999996</v>
      </c>
      <c r="E5" s="14" t="s">
        <v>2</v>
      </c>
      <c r="F5" s="14"/>
      <c r="G5" s="14"/>
      <c r="H5" s="14"/>
      <c r="I5" s="14"/>
      <c r="J5" s="14"/>
      <c r="K5" s="15"/>
    </row>
    <row r="6" spans="2:12" x14ac:dyDescent="0.3">
      <c r="B6" s="16" t="s">
        <v>242</v>
      </c>
      <c r="C6" s="196"/>
      <c r="D6" s="137">
        <v>0.8</v>
      </c>
      <c r="E6" s="14" t="s">
        <v>3</v>
      </c>
      <c r="F6" s="14"/>
      <c r="G6" s="14"/>
      <c r="H6" s="14"/>
      <c r="I6" s="14"/>
      <c r="J6" s="14"/>
      <c r="K6" s="15"/>
    </row>
    <row r="7" spans="2:12" x14ac:dyDescent="0.3">
      <c r="B7" s="16" t="s">
        <v>243</v>
      </c>
      <c r="C7" s="196"/>
      <c r="D7" s="138">
        <v>0.66666666666666663</v>
      </c>
      <c r="E7" s="14" t="s">
        <v>4</v>
      </c>
      <c r="F7" s="14"/>
      <c r="G7" s="14"/>
      <c r="H7" s="14"/>
      <c r="I7" s="14"/>
      <c r="J7" s="14"/>
      <c r="K7" s="15"/>
    </row>
    <row r="8" spans="2:12" x14ac:dyDescent="0.3">
      <c r="B8" s="11" t="s">
        <v>5</v>
      </c>
      <c r="C8" s="17"/>
      <c r="D8" s="37"/>
      <c r="E8" s="14"/>
      <c r="F8" s="14"/>
      <c r="G8" s="14"/>
      <c r="H8" s="101"/>
      <c r="I8" s="14"/>
      <c r="J8" s="14"/>
      <c r="K8" s="15"/>
    </row>
    <row r="9" spans="2:12" x14ac:dyDescent="0.3">
      <c r="B9" s="16" t="s">
        <v>6</v>
      </c>
      <c r="C9" s="17"/>
      <c r="D9" s="75">
        <v>30</v>
      </c>
      <c r="E9" s="14" t="s">
        <v>34</v>
      </c>
      <c r="F9" s="14"/>
      <c r="G9" s="14"/>
      <c r="H9" s="101"/>
      <c r="I9" s="14"/>
      <c r="J9" s="14"/>
      <c r="K9" s="15"/>
    </row>
    <row r="10" spans="2:12" x14ac:dyDescent="0.3">
      <c r="B10" s="16" t="s">
        <v>7</v>
      </c>
      <c r="C10" s="17"/>
      <c r="D10" s="202">
        <v>3.0000000000000001E-3</v>
      </c>
      <c r="E10" s="14"/>
      <c r="F10" s="14"/>
      <c r="G10" s="14"/>
      <c r="H10" s="101"/>
      <c r="I10" s="14"/>
      <c r="J10" s="14"/>
      <c r="K10" s="15"/>
    </row>
    <row r="11" spans="2:12" x14ac:dyDescent="0.3">
      <c r="B11" s="16" t="s">
        <v>8</v>
      </c>
      <c r="C11" s="17"/>
      <c r="D11" s="202">
        <v>1.5</v>
      </c>
      <c r="E11" s="14"/>
      <c r="F11" s="14"/>
      <c r="G11" s="14"/>
      <c r="H11" s="101"/>
      <c r="I11" s="14"/>
      <c r="J11" s="14"/>
      <c r="K11" s="15"/>
      <c r="L11" s="7"/>
    </row>
    <row r="12" spans="2:12" x14ac:dyDescent="0.3">
      <c r="B12" s="11" t="s">
        <v>87</v>
      </c>
      <c r="C12" s="12"/>
      <c r="D12" s="37"/>
      <c r="E12" s="14"/>
      <c r="F12" s="14"/>
      <c r="G12" s="14"/>
      <c r="H12" s="101"/>
      <c r="I12" s="14"/>
      <c r="J12" s="14"/>
      <c r="K12" s="15"/>
    </row>
    <row r="13" spans="2:12" x14ac:dyDescent="0.3">
      <c r="B13" s="16" t="s">
        <v>10</v>
      </c>
      <c r="C13" s="17"/>
      <c r="D13" s="75">
        <v>360</v>
      </c>
      <c r="E13" s="14" t="s">
        <v>34</v>
      </c>
      <c r="F13" s="14"/>
      <c r="G13" s="199" t="s">
        <v>33</v>
      </c>
      <c r="H13" s="139">
        <f>D7*D10/(D10+D13/D15)</f>
        <v>0.41666666666666663</v>
      </c>
      <c r="I13" s="193"/>
      <c r="J13" s="14"/>
      <c r="K13" s="15"/>
    </row>
    <row r="14" spans="2:12" x14ac:dyDescent="0.3">
      <c r="B14" s="16" t="s">
        <v>86</v>
      </c>
      <c r="C14" s="17"/>
      <c r="D14" s="75">
        <v>240</v>
      </c>
      <c r="E14" s="14" t="s">
        <v>34</v>
      </c>
      <c r="F14" s="14"/>
      <c r="G14" s="14"/>
      <c r="H14" s="101"/>
      <c r="I14" s="14"/>
      <c r="J14" s="14"/>
      <c r="K14" s="15"/>
    </row>
    <row r="15" spans="2:12" x14ac:dyDescent="0.3">
      <c r="B15" s="16" t="s">
        <v>11</v>
      </c>
      <c r="C15" s="17"/>
      <c r="D15" s="203">
        <v>200000</v>
      </c>
      <c r="E15" s="14" t="s">
        <v>35</v>
      </c>
      <c r="F15" s="14"/>
      <c r="G15" s="14"/>
      <c r="H15" s="101"/>
      <c r="I15" s="14"/>
      <c r="J15" s="14"/>
      <c r="K15" s="15"/>
    </row>
    <row r="16" spans="2:12" x14ac:dyDescent="0.3">
      <c r="B16" s="16" t="s">
        <v>12</v>
      </c>
      <c r="C16" s="17"/>
      <c r="D16" s="202">
        <v>1.1499999999999999</v>
      </c>
      <c r="E16" s="14"/>
      <c r="F16" s="14"/>
      <c r="G16" s="14"/>
      <c r="H16" s="101"/>
      <c r="I16" s="14"/>
      <c r="J16" s="14"/>
      <c r="K16" s="15"/>
    </row>
    <row r="17" spans="2:11" x14ac:dyDescent="0.3">
      <c r="B17" s="16" t="s">
        <v>168</v>
      </c>
      <c r="C17" s="17"/>
      <c r="D17" s="204">
        <v>3.0999999999999999E-3</v>
      </c>
      <c r="E17" s="14"/>
      <c r="F17" s="14"/>
      <c r="G17" s="14"/>
      <c r="H17" s="101"/>
      <c r="I17" s="14"/>
      <c r="J17" s="14"/>
      <c r="K17" s="15"/>
    </row>
    <row r="18" spans="2:11" x14ac:dyDescent="0.3">
      <c r="B18" s="16" t="s">
        <v>13</v>
      </c>
      <c r="C18" s="17"/>
      <c r="D18" s="195">
        <f>D13/D16</f>
        <v>313.04347826086956</v>
      </c>
      <c r="E18" s="14" t="s">
        <v>34</v>
      </c>
      <c r="F18" s="14"/>
      <c r="G18" s="14"/>
      <c r="H18" s="101"/>
      <c r="I18" s="14"/>
      <c r="J18" s="14"/>
      <c r="K18" s="15"/>
    </row>
    <row r="19" spans="2:11" x14ac:dyDescent="0.3">
      <c r="B19" s="16" t="s">
        <v>9</v>
      </c>
      <c r="C19" s="17"/>
      <c r="D19" s="195">
        <f>D9*D4*D5/D11</f>
        <v>13.199999999999998</v>
      </c>
      <c r="E19" s="14" t="s">
        <v>34</v>
      </c>
      <c r="F19" s="14"/>
      <c r="G19" s="14"/>
      <c r="H19" s="101"/>
      <c r="I19" s="14"/>
      <c r="J19" s="14"/>
      <c r="K19" s="15"/>
    </row>
    <row r="20" spans="2:11" x14ac:dyDescent="0.3">
      <c r="B20" s="16" t="s">
        <v>88</v>
      </c>
      <c r="C20" s="17"/>
      <c r="D20" s="195">
        <f>D14/D16</f>
        <v>208.69565217391306</v>
      </c>
      <c r="E20" s="14"/>
      <c r="F20" s="14"/>
      <c r="G20" s="14"/>
      <c r="H20" s="101"/>
      <c r="I20" s="14"/>
      <c r="J20" s="14"/>
      <c r="K20" s="15"/>
    </row>
    <row r="21" spans="2:11" x14ac:dyDescent="0.3">
      <c r="B21" s="16" t="s">
        <v>82</v>
      </c>
      <c r="C21" s="17"/>
      <c r="D21" s="195">
        <f>0.24*SQRT(D9/D11)</f>
        <v>1.0733126291998991</v>
      </c>
      <c r="E21" s="14" t="s">
        <v>34</v>
      </c>
      <c r="F21" s="14"/>
      <c r="G21" s="14"/>
      <c r="H21" s="101"/>
      <c r="I21" s="14"/>
      <c r="J21" s="14"/>
      <c r="K21" s="15"/>
    </row>
    <row r="22" spans="2:11" x14ac:dyDescent="0.3">
      <c r="B22" s="16" t="s">
        <v>83</v>
      </c>
      <c r="C22" s="17"/>
      <c r="D22" s="195">
        <f>0.7*SQRT(D9/D11)</f>
        <v>3.1304951684997055</v>
      </c>
      <c r="E22" s="14" t="s">
        <v>34</v>
      </c>
      <c r="F22" s="14"/>
      <c r="G22" s="14"/>
      <c r="H22" s="101"/>
      <c r="I22" s="14"/>
      <c r="J22" s="14"/>
      <c r="K22" s="15"/>
    </row>
    <row r="23" spans="2:11" x14ac:dyDescent="0.3">
      <c r="B23" s="16" t="s">
        <v>274</v>
      </c>
      <c r="C23" s="17"/>
      <c r="D23" s="37">
        <f>0.06*SQRT(D9/D11)</f>
        <v>0.26832815729997478</v>
      </c>
      <c r="E23" s="14"/>
      <c r="F23" s="14"/>
      <c r="G23" s="87"/>
      <c r="H23" s="102" t="s">
        <v>154</v>
      </c>
      <c r="I23" s="190"/>
      <c r="J23" s="14"/>
      <c r="K23" s="15"/>
    </row>
    <row r="24" spans="2:11" x14ac:dyDescent="0.3">
      <c r="B24" s="23" t="s">
        <v>41</v>
      </c>
      <c r="C24" s="24"/>
      <c r="D24" s="75">
        <v>59</v>
      </c>
      <c r="E24" s="14"/>
      <c r="F24" s="14"/>
      <c r="G24" s="87" t="s">
        <v>296</v>
      </c>
      <c r="H24" s="103"/>
      <c r="I24" s="191">
        <v>300</v>
      </c>
      <c r="J24" s="14" t="s">
        <v>38</v>
      </c>
      <c r="K24" s="15"/>
    </row>
    <row r="25" spans="2:11" x14ac:dyDescent="0.3">
      <c r="B25" s="11" t="s">
        <v>49</v>
      </c>
      <c r="C25" s="17"/>
      <c r="D25" s="37"/>
      <c r="E25" s="14"/>
      <c r="F25" s="14"/>
      <c r="G25" s="87" t="s">
        <v>295</v>
      </c>
      <c r="H25" s="103"/>
      <c r="I25" s="191">
        <v>120</v>
      </c>
      <c r="J25" s="14" t="s">
        <v>38</v>
      </c>
      <c r="K25" s="15"/>
    </row>
    <row r="26" spans="2:11" x14ac:dyDescent="0.3">
      <c r="B26" s="16" t="s">
        <v>50</v>
      </c>
      <c r="C26" s="17"/>
      <c r="D26" s="205" t="str">
        <f>_xll.RSA_BAR_DATA("SECTION",D24)</f>
        <v>B R25x70</v>
      </c>
      <c r="E26" s="14"/>
      <c r="F26" s="14"/>
      <c r="G26" s="25"/>
      <c r="H26" s="194"/>
      <c r="I26" s="25"/>
      <c r="J26" s="25"/>
      <c r="K26" s="15"/>
    </row>
    <row r="27" spans="2:11" x14ac:dyDescent="0.3">
      <c r="B27" s="16" t="s">
        <v>46</v>
      </c>
      <c r="C27" s="17"/>
      <c r="D27" s="37">
        <f>_xll.RSA_SECTION_DATA("BF",D26)</f>
        <v>250</v>
      </c>
      <c r="E27" s="14" t="s">
        <v>38</v>
      </c>
      <c r="F27" s="14"/>
      <c r="G27" s="91" t="s">
        <v>156</v>
      </c>
      <c r="H27" s="92"/>
      <c r="I27" s="192">
        <f>D27+I24</f>
        <v>550</v>
      </c>
      <c r="J27" s="25"/>
      <c r="K27" s="15"/>
    </row>
    <row r="28" spans="2:11" x14ac:dyDescent="0.3">
      <c r="B28" s="16" t="s">
        <v>47</v>
      </c>
      <c r="C28" s="17"/>
      <c r="D28" s="37">
        <f>_xll.RSA_SECTION_DATA("D",D26)</f>
        <v>700</v>
      </c>
      <c r="E28" s="14" t="s">
        <v>38</v>
      </c>
      <c r="F28" s="14"/>
      <c r="G28" s="14"/>
      <c r="H28" s="101"/>
      <c r="I28" s="14"/>
      <c r="J28" s="14"/>
      <c r="K28" s="15"/>
    </row>
    <row r="29" spans="2:11" x14ac:dyDescent="0.3">
      <c r="B29" s="16" t="s">
        <v>37</v>
      </c>
      <c r="C29" s="17"/>
      <c r="D29" s="37">
        <v>50</v>
      </c>
      <c r="E29" s="14" t="s">
        <v>38</v>
      </c>
      <c r="F29" s="14"/>
      <c r="G29" s="14"/>
      <c r="H29" s="101"/>
      <c r="I29" s="14"/>
      <c r="J29" s="14"/>
      <c r="K29" s="15"/>
    </row>
    <row r="30" spans="2:11" x14ac:dyDescent="0.3">
      <c r="B30" s="16" t="s">
        <v>60</v>
      </c>
      <c r="C30" s="17"/>
      <c r="D30" s="37">
        <f>D28-D29</f>
        <v>650</v>
      </c>
      <c r="E30" s="14" t="s">
        <v>38</v>
      </c>
      <c r="F30" s="14"/>
      <c r="G30" s="14"/>
      <c r="H30" s="101"/>
      <c r="I30" s="14"/>
      <c r="J30" s="14"/>
      <c r="K30" s="15"/>
    </row>
    <row r="31" spans="2:11" x14ac:dyDescent="0.3">
      <c r="B31" s="16" t="s">
        <v>155</v>
      </c>
      <c r="C31" s="103"/>
      <c r="D31" s="206">
        <f>_xll.RSA_BAR_DATA("LENGTH",D24)</f>
        <v>5102.51</v>
      </c>
      <c r="E31" s="14" t="s">
        <v>38</v>
      </c>
      <c r="F31" s="14"/>
      <c r="G31" s="14"/>
      <c r="H31" s="101"/>
      <c r="I31" s="14"/>
      <c r="J31" s="14"/>
      <c r="K31" s="15"/>
    </row>
    <row r="32" spans="2:11" x14ac:dyDescent="0.3">
      <c r="B32" s="16"/>
      <c r="C32" s="17"/>
      <c r="D32" s="37"/>
      <c r="E32" s="14"/>
      <c r="F32" s="14"/>
      <c r="G32" s="14"/>
      <c r="H32" s="101"/>
      <c r="I32" s="14"/>
      <c r="J32" s="14"/>
      <c r="K32" s="15"/>
    </row>
    <row r="33" spans="2:11" x14ac:dyDescent="0.3">
      <c r="B33" s="167" t="s">
        <v>51</v>
      </c>
      <c r="C33" s="47" t="s">
        <v>39</v>
      </c>
      <c r="D33" s="47" t="s">
        <v>40</v>
      </c>
      <c r="E33" s="47" t="s">
        <v>42</v>
      </c>
      <c r="F33" s="47" t="s">
        <v>43</v>
      </c>
      <c r="G33" s="104" t="s">
        <v>44</v>
      </c>
      <c r="H33" s="47" t="s">
        <v>45</v>
      </c>
      <c r="I33" s="47" t="s">
        <v>257</v>
      </c>
      <c r="J33" s="47" t="s">
        <v>258</v>
      </c>
      <c r="K33" s="15"/>
    </row>
    <row r="34" spans="2:11" x14ac:dyDescent="0.3">
      <c r="B34" s="168">
        <v>1</v>
      </c>
      <c r="C34" s="49">
        <v>105</v>
      </c>
      <c r="D34" s="207" t="str">
        <f>IF(C34="","",_xll.RSA_CASE_DATA("NAME",C34))</f>
        <v>COMB1</v>
      </c>
      <c r="E34" s="48">
        <f>IF(C34="","",_xll.RSA_BAR_FORCE_DATA("EXTREMUM","MY","MAX",$D$24,$C34,21))</f>
        <v>41.050467829762113</v>
      </c>
      <c r="F34" s="48">
        <f>IF(C34="","",_xll.RSA_BAR_FORCE_DATA("EXTREMUM","MY","MIN",$D$24,$C34,21))</f>
        <v>-57.80962169373398</v>
      </c>
      <c r="G34" s="105">
        <f>IF(C34="","",_xll.RSA_BAR_FORCE_DATA("EXTREMUM","FZ","MIN",$D$24,$C34,21))</f>
        <v>-69.313490508775644</v>
      </c>
      <c r="H34" s="48">
        <f>IF(C34="","",_xll.RSA_BAR_FORCE_DATA("EXTREMUM","FZ","MAX",$D$24,$C34,21))</f>
        <v>66.662303964634759</v>
      </c>
      <c r="I34" s="48">
        <f>IF($C34="","",_xll.RSA_BAR_FORCE_DATA("EXTREMUM","MX","MAX",$D$24,$C34,21))</f>
        <v>6.2609991271708427</v>
      </c>
      <c r="J34" s="48">
        <f>IF($C34="","",_xll.RSA_BAR_FORCE_DATA("EXTREMUM","MX","MIN",$D$24,$C34,21))</f>
        <v>-6.2445044067418216</v>
      </c>
      <c r="K34" s="15"/>
    </row>
    <row r="35" spans="2:11" x14ac:dyDescent="0.3">
      <c r="B35" s="168">
        <v>2</v>
      </c>
      <c r="C35" s="49"/>
      <c r="D35" s="207"/>
      <c r="E35" s="48" t="str">
        <f>IF(C35="","",_xll.RSA_BAR_FORCE_DATA("EXTREMUM","MY","MAX",$D$24,$C35,21))</f>
        <v/>
      </c>
      <c r="F35" s="48" t="str">
        <f>IF(C35="","",_xll.RSA_BAR_FORCE_DATA("EXTREMUM","MY","MIN",$D$24,$C35,21))</f>
        <v/>
      </c>
      <c r="G35" s="105" t="str">
        <f>IF(C35="","",_xll.RSA_BAR_FORCE_DATA("EXTREMUM","FZ","MIN",$D$24,$C35,21))</f>
        <v/>
      </c>
      <c r="H35" s="48" t="str">
        <f>IF(C35="","",_xll.RSA_BAR_FORCE_DATA("EXTREMUM","FZ","MAX",$D$24,$C35,21))</f>
        <v/>
      </c>
      <c r="I35" s="48" t="str">
        <f>IF(D35="","",_xll.RSA_BAR_FORCE_DATA("EXTREMUM","FZ","MAX",$D$24,$C35,21))</f>
        <v/>
      </c>
      <c r="J35" s="48" t="str">
        <f>IF(E35="","",_xll.RSA_BAR_FORCE_DATA("EXTREMUM","FZ","MAX",$D$24,$C35,21))</f>
        <v/>
      </c>
      <c r="K35" s="15"/>
    </row>
    <row r="36" spans="2:11" x14ac:dyDescent="0.3">
      <c r="B36" s="168">
        <v>3</v>
      </c>
      <c r="C36" s="49"/>
      <c r="D36" s="207"/>
      <c r="E36" s="48" t="str">
        <f>IF(C36="","",_xll.RSA_BAR_FORCE_DATA("EXTREMUM","MY","MAX",$D$24,$C36,21))</f>
        <v/>
      </c>
      <c r="F36" s="48" t="str">
        <f>IF(C36="","",_xll.RSA_BAR_FORCE_DATA("EXTREMUM","MY","MIN",$D$24,$C36,21))</f>
        <v/>
      </c>
      <c r="G36" s="105" t="str">
        <f>IF(C36="","",_xll.RSA_BAR_FORCE_DATA("EXTREMUM","FZ","MIN",$D$24,$C36,21))</f>
        <v/>
      </c>
      <c r="H36" s="48" t="str">
        <f>IF(C36="","",_xll.RSA_BAR_FORCE_DATA("EXTREMUM","FZ","MAX",$D$24,$C36,21))</f>
        <v/>
      </c>
      <c r="I36" s="48" t="str">
        <f>IF(D36="","",_xll.RSA_BAR_FORCE_DATA("EXTREMUM","FZ","MAX",$D$24,$C36,21))</f>
        <v/>
      </c>
      <c r="J36" s="48" t="str">
        <f>IF(E36="","",_xll.RSA_BAR_FORCE_DATA("EXTREMUM","FZ","MAX",$D$24,$C36,21))</f>
        <v/>
      </c>
      <c r="K36" s="15"/>
    </row>
    <row r="37" spans="2:11" x14ac:dyDescent="0.3">
      <c r="B37" s="168">
        <v>4</v>
      </c>
      <c r="C37" s="49"/>
      <c r="D37" s="207"/>
      <c r="E37" s="48" t="str">
        <f>IF(C37="","",_xll.RSA_BAR_FORCE_DATA("EXTREMUM","MY","MAX",$D$24,$C37,21))</f>
        <v/>
      </c>
      <c r="F37" s="48" t="str">
        <f>IF(C37="","",_xll.RSA_BAR_FORCE_DATA("EXTREMUM","MY","MIN",$D$24,$C37,21))</f>
        <v/>
      </c>
      <c r="G37" s="105" t="str">
        <f>IF(C37="","",_xll.RSA_BAR_FORCE_DATA("EXTREMUM","FZ","MIN",$D$24,$C37,21))</f>
        <v/>
      </c>
      <c r="H37" s="48" t="str">
        <f>IF(C37="","",_xll.RSA_BAR_FORCE_DATA("EXTREMUM","FZ","MAX",$D$24,$C37,21))</f>
        <v/>
      </c>
      <c r="I37" s="48" t="str">
        <f>IF(D37="","",_xll.RSA_BAR_FORCE_DATA("EXTREMUM","FZ","MAX",$D$24,$C37,21))</f>
        <v/>
      </c>
      <c r="J37" s="48" t="str">
        <f>IF(E37="","",_xll.RSA_BAR_FORCE_DATA("EXTREMUM","FZ","MAX",$D$24,$C37,21))</f>
        <v/>
      </c>
      <c r="K37" s="15"/>
    </row>
    <row r="38" spans="2:11" x14ac:dyDescent="0.3">
      <c r="B38" s="168">
        <v>5</v>
      </c>
      <c r="C38" s="49"/>
      <c r="D38" s="207"/>
      <c r="E38" s="48" t="str">
        <f>IF(C38="","",_xll.RSA_BAR_FORCE_DATA("EXTREMUM","MY","MAX",$D$24,$C38,21))</f>
        <v/>
      </c>
      <c r="F38" s="48" t="str">
        <f>IF(C38="","",_xll.RSA_BAR_FORCE_DATA("EXTREMUM","MY","MIN",$D$24,$C38,21))</f>
        <v/>
      </c>
      <c r="G38" s="105" t="str">
        <f>IF(C38="","",_xll.RSA_BAR_FORCE_DATA("EXTREMUM","FZ","MIN",$D$24,$C38,21))</f>
        <v/>
      </c>
      <c r="H38" s="48" t="str">
        <f>IF(C38="","",_xll.RSA_BAR_FORCE_DATA("EXTREMUM","FZ","MAX",$D$24,$C38,21))</f>
        <v/>
      </c>
      <c r="I38" s="48" t="str">
        <f>IF(D38="","",_xll.RSA_BAR_FORCE_DATA("EXTREMUM","FZ","MAX",$D$24,$C38,21))</f>
        <v/>
      </c>
      <c r="J38" s="48" t="str">
        <f>IF(E38="","",_xll.RSA_BAR_FORCE_DATA("EXTREMUM","FZ","MAX",$D$24,$C38,21))</f>
        <v/>
      </c>
      <c r="K38" s="15"/>
    </row>
    <row r="39" spans="2:11" x14ac:dyDescent="0.3">
      <c r="B39" s="168">
        <v>6</v>
      </c>
      <c r="C39" s="49"/>
      <c r="D39" s="207" t="str">
        <f>IF(C39="","",_xll.RSA_CASE_DATA("NAME",C39))</f>
        <v/>
      </c>
      <c r="E39" s="48" t="str">
        <f>IF(C39="","",_xll.RSA_BAR_FORCE_DATA("EXTREMUM","MY","MAX",$D$24,$C39,21))</f>
        <v/>
      </c>
      <c r="F39" s="48" t="str">
        <f>IF(C39="","",_xll.RSA_BAR_FORCE_DATA("EXTREMUM","MY","MIN",$D$24,$C39,21))</f>
        <v/>
      </c>
      <c r="G39" s="105" t="str">
        <f>IF(C39="","",_xll.RSA_BAR_FORCE_DATA("EXTREMUM","FZ","MIN",$D$24,$C39,21))</f>
        <v/>
      </c>
      <c r="H39" s="48" t="str">
        <f>IF(C39="","",_xll.RSA_BAR_FORCE_DATA("EXTREMUM","FZ","MAX",$D$24,$C39,21))</f>
        <v/>
      </c>
      <c r="I39" s="48" t="str">
        <f>IF(D39="","",_xll.RSA_BAR_FORCE_DATA("EXTREMUM","FZ","MAX",$D$24,$C39,21))</f>
        <v/>
      </c>
      <c r="J39" s="48" t="str">
        <f>IF(E39="","",_xll.RSA_BAR_FORCE_DATA("EXTREMUM","FZ","MAX",$D$24,$C39,21))</f>
        <v/>
      </c>
      <c r="K39" s="15"/>
    </row>
    <row r="40" spans="2:11" x14ac:dyDescent="0.3">
      <c r="B40" s="168">
        <v>7</v>
      </c>
      <c r="C40" s="49"/>
      <c r="D40" s="207" t="str">
        <f>IF(C40="","",_xll.RSA_CASE_DATA("NAME",C40))</f>
        <v/>
      </c>
      <c r="E40" s="48" t="str">
        <f>IF(C40="","",_xll.RSA_BAR_FORCE_DATA("EXTREMUM","MY","MAX",$D$24,$C40,21))</f>
        <v/>
      </c>
      <c r="F40" s="48" t="str">
        <f>IF(C40="","",_xll.RSA_BAR_FORCE_DATA("EXTREMUM","MY","MIN",$D$24,$C40,21))</f>
        <v/>
      </c>
      <c r="G40" s="105" t="str">
        <f>IF(C40="","",_xll.RSA_BAR_FORCE_DATA("EXTREMUM","FZ","MIN",$D$24,$C40,21))</f>
        <v/>
      </c>
      <c r="H40" s="48" t="str">
        <f>IF(C40="","",_xll.RSA_BAR_FORCE_DATA("EXTREMUM","FZ","MAX",$D$24,$C40,21))</f>
        <v/>
      </c>
      <c r="I40" s="48" t="str">
        <f>IF(D40="","",_xll.RSA_BAR_FORCE_DATA("EXTREMUM","FZ","MAX",$D$24,$C40,21))</f>
        <v/>
      </c>
      <c r="J40" s="48" t="str">
        <f>IF(E40="","",_xll.RSA_BAR_FORCE_DATA("EXTREMUM","FZ","MAX",$D$24,$C40,21))</f>
        <v/>
      </c>
      <c r="K40" s="15"/>
    </row>
    <row r="41" spans="2:11" x14ac:dyDescent="0.3">
      <c r="B41" s="168">
        <v>8</v>
      </c>
      <c r="C41" s="49"/>
      <c r="D41" s="207" t="str">
        <f>IF(C41="","",_xll.RSA_CASE_DATA("NAME",C41))</f>
        <v/>
      </c>
      <c r="E41" s="48" t="str">
        <f>IF(C41="","",_xll.RSA_BAR_FORCE_DATA("EXTREMUM","MY","MAX",$D$24,$C41,21))</f>
        <v/>
      </c>
      <c r="F41" s="48" t="str">
        <f>IF(C41="","",_xll.RSA_BAR_FORCE_DATA("EXTREMUM","MY","MIN",$D$24,$C41,21))</f>
        <v/>
      </c>
      <c r="G41" s="105" t="str">
        <f>IF(C41="","",_xll.RSA_BAR_FORCE_DATA("EXTREMUM","FZ","MIN",$D$24,$C41,21))</f>
        <v/>
      </c>
      <c r="H41" s="48" t="str">
        <f>IF(C41="","",_xll.RSA_BAR_FORCE_DATA("EXTREMUM","FZ","MAX",$D$24,$C41,21))</f>
        <v/>
      </c>
      <c r="I41" s="48" t="str">
        <f>IF(D41="","",_xll.RSA_BAR_FORCE_DATA("EXTREMUM","FZ","MAX",$D$24,$C41,21))</f>
        <v/>
      </c>
      <c r="J41" s="48" t="str">
        <f>IF(E41="","",_xll.RSA_BAR_FORCE_DATA("EXTREMUM","FZ","MAX",$D$24,$C41,21))</f>
        <v/>
      </c>
      <c r="K41" s="15"/>
    </row>
    <row r="42" spans="2:11" x14ac:dyDescent="0.3">
      <c r="B42" s="168">
        <v>9</v>
      </c>
      <c r="C42" s="49"/>
      <c r="D42" s="207" t="str">
        <f>IF(C42="","",_xll.RSA_CASE_DATA("NAME",C42))</f>
        <v/>
      </c>
      <c r="E42" s="48" t="str">
        <f>IF(C42="","",_xll.RSA_BAR_FORCE_DATA("EXTREMUM","MY","MAX",$D$24,$C42,21))</f>
        <v/>
      </c>
      <c r="F42" s="48" t="str">
        <f>IF(C42="","",_xll.RSA_BAR_FORCE_DATA("EXTREMUM","MY","MIN",$D$24,$C42,21))</f>
        <v/>
      </c>
      <c r="G42" s="105" t="str">
        <f>IF(C42="","",_xll.RSA_BAR_FORCE_DATA("EXTREMUM","FZ","MIN",$D$24,$C42,21))</f>
        <v/>
      </c>
      <c r="H42" s="48" t="str">
        <f>IF(C42="","",_xll.RSA_BAR_FORCE_DATA("EXTREMUM","FZ","MAX",$D$24,$C42,21))</f>
        <v/>
      </c>
      <c r="I42" s="48" t="str">
        <f>IF(D42="","",_xll.RSA_BAR_FORCE_DATA("EXTREMUM","FZ","MAX",$D$24,$C42,21))</f>
        <v/>
      </c>
      <c r="J42" s="48" t="str">
        <f>IF(E42="","",_xll.RSA_BAR_FORCE_DATA("EXTREMUM","FZ","MAX",$D$24,$C42,21))</f>
        <v/>
      </c>
      <c r="K42" s="15"/>
    </row>
    <row r="43" spans="2:11" x14ac:dyDescent="0.3">
      <c r="B43" s="168">
        <v>10</v>
      </c>
      <c r="C43" s="49"/>
      <c r="D43" s="207" t="str">
        <f>IF(C43="","",_xll.RSA_CASE_DATA("NAME",C43))</f>
        <v/>
      </c>
      <c r="E43" s="48" t="str">
        <f>IF(C43="","",_xll.RSA_BAR_FORCE_DATA("EXTREMUM","MY","MAX",$D$24,$C43,21))</f>
        <v/>
      </c>
      <c r="F43" s="48" t="str">
        <f>IF(C43="","",_xll.RSA_BAR_FORCE_DATA("EXTREMUM","MY","MIN",$D$24,$C43,21))</f>
        <v/>
      </c>
      <c r="G43" s="105" t="str">
        <f>IF(C43="","",_xll.RSA_BAR_FORCE_DATA("EXTREMUM","FZ","MIN",$D$24,$C43,21))</f>
        <v/>
      </c>
      <c r="H43" s="48" t="str">
        <f>IF(C43="","",_xll.RSA_BAR_FORCE_DATA("EXTREMUM","FZ","MAX",$D$24,$C43,21))</f>
        <v/>
      </c>
      <c r="I43" s="48" t="str">
        <f>IF(D43="","",_xll.RSA_BAR_FORCE_DATA("EXTREMUM","FZ","MAX",$D$24,$C43,21))</f>
        <v/>
      </c>
      <c r="J43" s="48" t="str">
        <f>IF(E43="","",_xll.RSA_BAR_FORCE_DATA("EXTREMUM","FZ","MAX",$D$24,$C43,21))</f>
        <v/>
      </c>
      <c r="K43" s="15"/>
    </row>
    <row r="44" spans="2:11" x14ac:dyDescent="0.3">
      <c r="B44" s="16"/>
      <c r="C44" s="17"/>
      <c r="D44" s="37"/>
      <c r="E44" s="14"/>
      <c r="F44" s="14"/>
      <c r="G44" s="14"/>
      <c r="H44" s="101"/>
      <c r="I44" s="14"/>
      <c r="J44" s="14"/>
      <c r="K44" s="15"/>
    </row>
    <row r="45" spans="2:11" ht="15" thickBot="1" x14ac:dyDescent="0.35">
      <c r="B45" s="28"/>
      <c r="C45" s="29"/>
      <c r="D45" s="208"/>
      <c r="E45" s="30"/>
      <c r="F45" s="30"/>
      <c r="G45" s="30"/>
      <c r="H45" s="106"/>
      <c r="I45" s="30"/>
      <c r="J45" s="30"/>
      <c r="K45" s="31"/>
    </row>
    <row r="46" spans="2:11" x14ac:dyDescent="0.3">
      <c r="B46" s="9"/>
      <c r="C46" s="9"/>
    </row>
    <row r="47" spans="2:11" ht="15" thickBot="1" x14ac:dyDescent="0.35">
      <c r="B47" s="9"/>
      <c r="C47" s="9"/>
    </row>
    <row r="48" spans="2:11" x14ac:dyDescent="0.3">
      <c r="B48" s="32"/>
      <c r="C48" s="33"/>
      <c r="D48" s="209"/>
      <c r="E48" s="34"/>
      <c r="F48" s="34"/>
      <c r="G48" s="34"/>
      <c r="H48" s="107"/>
      <c r="I48" s="34"/>
      <c r="J48" s="34"/>
      <c r="K48" s="10"/>
    </row>
    <row r="49" spans="2:11" x14ac:dyDescent="0.3">
      <c r="B49" s="16"/>
      <c r="C49" s="17"/>
      <c r="D49" s="37"/>
      <c r="E49" s="14"/>
      <c r="F49" s="14"/>
      <c r="G49" s="14"/>
      <c r="H49" s="101"/>
      <c r="I49" s="14"/>
      <c r="J49" s="14"/>
      <c r="K49" s="15"/>
    </row>
    <row r="50" spans="2:11" x14ac:dyDescent="0.3">
      <c r="B50" s="16" t="s">
        <v>52</v>
      </c>
      <c r="C50" s="17"/>
      <c r="D50" s="37"/>
      <c r="E50" s="14"/>
      <c r="F50" s="14"/>
      <c r="G50" s="14"/>
      <c r="H50" s="101"/>
      <c r="I50" s="14"/>
      <c r="J50" s="14"/>
      <c r="K50" s="15"/>
    </row>
    <row r="51" spans="2:11" x14ac:dyDescent="0.3">
      <c r="B51" s="16" t="s">
        <v>42</v>
      </c>
      <c r="C51" s="17"/>
      <c r="D51" s="210">
        <f>MAX(E34:E43)</f>
        <v>41.050467829762113</v>
      </c>
      <c r="E51" s="14" t="s">
        <v>54</v>
      </c>
      <c r="F51" s="14"/>
      <c r="G51" s="14"/>
      <c r="H51" s="101"/>
      <c r="I51" s="14"/>
      <c r="J51" s="14"/>
      <c r="K51" s="15"/>
    </row>
    <row r="52" spans="2:11" x14ac:dyDescent="0.3">
      <c r="B52" s="16" t="s">
        <v>43</v>
      </c>
      <c r="C52" s="17"/>
      <c r="D52" s="210">
        <f>MIN(F34:F43)</f>
        <v>-57.80962169373398</v>
      </c>
      <c r="E52" s="14" t="s">
        <v>54</v>
      </c>
      <c r="F52" s="14"/>
      <c r="G52" s="14"/>
      <c r="H52" s="101"/>
      <c r="I52" s="14"/>
      <c r="J52" s="14"/>
      <c r="K52" s="15"/>
    </row>
    <row r="53" spans="2:11" x14ac:dyDescent="0.3">
      <c r="B53" s="16"/>
      <c r="C53" s="17"/>
      <c r="D53" s="37"/>
      <c r="E53" s="14"/>
      <c r="F53" s="14"/>
      <c r="G53" s="14"/>
      <c r="H53" s="101"/>
      <c r="I53" s="14"/>
      <c r="J53" s="14"/>
      <c r="K53" s="15"/>
    </row>
    <row r="54" spans="2:11" x14ac:dyDescent="0.3">
      <c r="B54" s="16"/>
      <c r="C54" s="17"/>
      <c r="D54" s="37"/>
      <c r="E54" s="14"/>
      <c r="F54" s="14"/>
      <c r="G54" s="14"/>
      <c r="H54" s="101"/>
      <c r="I54" s="14"/>
      <c r="J54" s="14"/>
      <c r="K54" s="15"/>
    </row>
    <row r="55" spans="2:11" x14ac:dyDescent="0.3">
      <c r="B55" s="16"/>
      <c r="C55" s="17"/>
      <c r="D55" s="37"/>
      <c r="E55" s="14"/>
      <c r="F55" s="65" t="s">
        <v>56</v>
      </c>
      <c r="G55" s="14"/>
      <c r="H55" s="101"/>
      <c r="I55" s="14"/>
      <c r="J55" s="14"/>
      <c r="K55" s="15"/>
    </row>
    <row r="56" spans="2:11" x14ac:dyDescent="0.3">
      <c r="B56" s="95" t="s">
        <v>58</v>
      </c>
      <c r="C56" s="96"/>
      <c r="D56" s="164"/>
      <c r="E56" s="14"/>
      <c r="F56" s="97" t="s">
        <v>59</v>
      </c>
      <c r="G56" s="98"/>
      <c r="H56" s="101"/>
      <c r="I56" s="14"/>
      <c r="J56" s="14"/>
      <c r="K56" s="15"/>
    </row>
    <row r="57" spans="2:11" x14ac:dyDescent="0.3">
      <c r="B57" s="89" t="s">
        <v>157</v>
      </c>
      <c r="C57" s="93"/>
      <c r="D57" s="211"/>
      <c r="E57" s="14"/>
      <c r="F57" s="14"/>
      <c r="G57" s="14"/>
      <c r="H57" s="108"/>
      <c r="I57" s="14"/>
      <c r="J57" s="14"/>
      <c r="K57" s="15"/>
    </row>
    <row r="58" spans="2:11" x14ac:dyDescent="0.3">
      <c r="B58" s="88" t="s">
        <v>158</v>
      </c>
      <c r="C58" s="94"/>
      <c r="D58" s="212">
        <f>MAX(D51,0)/D19/I27/D30/D30*1000000</f>
        <v>1.338304002795968E-2</v>
      </c>
      <c r="E58" s="14"/>
      <c r="F58" s="91" t="s">
        <v>158</v>
      </c>
      <c r="G58" s="94"/>
      <c r="H58" s="197">
        <f>-MIN(D52,0)/D19/D27/D30/D30*1000000</f>
        <v>4.1462880899217493E-2</v>
      </c>
      <c r="I58" s="14"/>
      <c r="J58" s="14"/>
      <c r="K58" s="15"/>
    </row>
    <row r="59" spans="2:11" x14ac:dyDescent="0.3">
      <c r="B59" s="86" t="s">
        <v>116</v>
      </c>
      <c r="C59" s="90" t="s">
        <v>159</v>
      </c>
      <c r="D59" s="213" cm="1">
        <f t="array" ref="D59:D60">TRANSPOSE([1]!PureBendingDesign(D58,D18/D15,D6))</f>
        <v>1.6339026878049789E-2</v>
      </c>
      <c r="E59" s="14"/>
      <c r="F59" s="90" t="s">
        <v>116</v>
      </c>
      <c r="G59" s="90" t="s">
        <v>159</v>
      </c>
      <c r="H59" s="92" cm="1">
        <f t="array" ref="H59:H60">TRANSPOSE([1]!PureBendingDesign(H58,D18/D15,D6))</f>
        <v>5.1438827967122056E-2</v>
      </c>
      <c r="I59" s="14"/>
      <c r="J59" s="14"/>
      <c r="K59" s="15"/>
    </row>
    <row r="60" spans="2:11" x14ac:dyDescent="0.3">
      <c r="B60" s="86"/>
      <c r="C60" s="90" t="s">
        <v>160</v>
      </c>
      <c r="D60" s="213">
        <v>1.4773809486745441E-2</v>
      </c>
      <c r="E60" s="14"/>
      <c r="F60" s="90"/>
      <c r="G60" s="90" t="s">
        <v>160</v>
      </c>
      <c r="H60" s="92">
        <v>4.9873610575817705E-2</v>
      </c>
      <c r="I60" s="14"/>
      <c r="J60" s="14"/>
      <c r="K60" s="15"/>
    </row>
    <row r="61" spans="2:11" x14ac:dyDescent="0.3">
      <c r="B61" s="86" t="s">
        <v>161</v>
      </c>
      <c r="C61" s="14"/>
      <c r="D61" s="214" t="b">
        <f>IF(AND(D51&gt;0,D51&gt;D66),FALSE, TRUE)</f>
        <v>1</v>
      </c>
      <c r="E61" s="14"/>
      <c r="F61" s="90"/>
      <c r="G61" s="14"/>
      <c r="H61" s="92"/>
      <c r="I61" s="14"/>
      <c r="J61" s="14"/>
      <c r="K61" s="15"/>
    </row>
    <row r="62" spans="2:11" x14ac:dyDescent="0.3">
      <c r="B62" s="86" t="s">
        <v>73</v>
      </c>
      <c r="C62" s="90" t="s">
        <v>159</v>
      </c>
      <c r="D62" s="213">
        <f>MAX(D59*I27*D30*D19/D18,D17*D27*D28)</f>
        <v>542.5</v>
      </c>
      <c r="E62" s="14" t="s">
        <v>70</v>
      </c>
      <c r="F62" s="90" t="s">
        <v>73</v>
      </c>
      <c r="G62" s="90" t="s">
        <v>159</v>
      </c>
      <c r="H62" s="92">
        <f>MAX(H59*D27*D30*D19/D18,D17*D27*D30)</f>
        <v>503.75</v>
      </c>
      <c r="I62" s="14" t="s">
        <v>70</v>
      </c>
      <c r="J62" s="14"/>
      <c r="K62" s="15"/>
    </row>
    <row r="63" spans="2:11" x14ac:dyDescent="0.3">
      <c r="B63" s="86"/>
      <c r="C63" s="90" t="s">
        <v>160</v>
      </c>
      <c r="D63" s="213">
        <f>MAX(D60*I27*D30*D19/D18,0.1*D62)</f>
        <v>222.70902225873468</v>
      </c>
      <c r="E63" s="14" t="s">
        <v>70</v>
      </c>
      <c r="F63" s="90"/>
      <c r="G63" s="90" t="s">
        <v>160</v>
      </c>
      <c r="H63" s="92">
        <f>MAX(H60*D27*D30*D19/D18,0.1*H62)</f>
        <v>341.73813579971755</v>
      </c>
      <c r="I63" s="14" t="s">
        <v>70</v>
      </c>
      <c r="J63" s="14"/>
      <c r="K63" s="15"/>
    </row>
    <row r="64" spans="2:11" x14ac:dyDescent="0.3">
      <c r="B64" s="85"/>
      <c r="C64" s="93"/>
      <c r="D64" s="211"/>
      <c r="E64" s="14"/>
      <c r="F64" s="14"/>
      <c r="G64" s="14"/>
      <c r="H64" s="101"/>
      <c r="I64" s="14"/>
      <c r="J64" s="14"/>
      <c r="K64" s="15"/>
    </row>
    <row r="65" spans="2:11" x14ac:dyDescent="0.3">
      <c r="B65" s="85" t="s">
        <v>162</v>
      </c>
      <c r="C65" s="93"/>
      <c r="D65" s="211"/>
      <c r="E65" s="14"/>
      <c r="F65" s="14"/>
      <c r="G65" s="14"/>
      <c r="H65" s="101"/>
      <c r="I65" s="14"/>
      <c r="J65" s="14"/>
      <c r="K65" s="15"/>
    </row>
    <row r="66" spans="2:11" x14ac:dyDescent="0.3">
      <c r="B66" s="86" t="s">
        <v>163</v>
      </c>
      <c r="C66" s="90"/>
      <c r="D66" s="215">
        <f>(D30-I25/2)*(I27-D27)*D19</f>
        <v>2336399.9999999995</v>
      </c>
      <c r="E66" s="14"/>
      <c r="F66" s="65" t="s">
        <v>67</v>
      </c>
      <c r="G66" s="14"/>
      <c r="H66" s="101"/>
      <c r="I66" s="14"/>
      <c r="J66" s="14"/>
      <c r="K66" s="15"/>
    </row>
    <row r="67" spans="2:11" x14ac:dyDescent="0.3">
      <c r="B67" s="86" t="s">
        <v>164</v>
      </c>
      <c r="C67" s="90"/>
      <c r="D67" s="213">
        <f>MAX(0,D51-D66)</f>
        <v>0</v>
      </c>
      <c r="E67" s="14"/>
      <c r="F67" s="14" t="s">
        <v>171</v>
      </c>
      <c r="G67" s="14"/>
      <c r="H67" s="101">
        <f>MAX(H62,D76)</f>
        <v>503.75</v>
      </c>
      <c r="I67" s="14" t="s">
        <v>70</v>
      </c>
      <c r="J67" s="14"/>
      <c r="K67" s="15"/>
    </row>
    <row r="68" spans="2:11" x14ac:dyDescent="0.3">
      <c r="B68" s="86" t="s">
        <v>165</v>
      </c>
      <c r="C68" s="90"/>
      <c r="D68" s="213">
        <f>(I27-D27)*I25*D19/D18</f>
        <v>1517.9999999999995</v>
      </c>
      <c r="E68" s="14"/>
      <c r="F68" s="14"/>
      <c r="G68" s="14" t="s">
        <v>71</v>
      </c>
      <c r="H68" s="110">
        <v>16</v>
      </c>
      <c r="I68" s="14" t="s">
        <v>38</v>
      </c>
      <c r="J68" s="14"/>
      <c r="K68" s="15"/>
    </row>
    <row r="69" spans="2:11" x14ac:dyDescent="0.3">
      <c r="B69" s="88" t="s">
        <v>158</v>
      </c>
      <c r="C69" s="94"/>
      <c r="D69" s="213">
        <f>D67/D19/D27/D30/D30</f>
        <v>0</v>
      </c>
      <c r="E69" s="14"/>
      <c r="F69" s="14"/>
      <c r="G69" s="14" t="s">
        <v>90</v>
      </c>
      <c r="H69" s="101">
        <f>3.14*H68*H68/4</f>
        <v>200.96</v>
      </c>
      <c r="I69" s="14" t="s">
        <v>70</v>
      </c>
      <c r="J69" s="14"/>
      <c r="K69" s="15"/>
    </row>
    <row r="70" spans="2:11" x14ac:dyDescent="0.3">
      <c r="B70" s="86" t="s">
        <v>116</v>
      </c>
      <c r="C70" s="90" t="s">
        <v>159</v>
      </c>
      <c r="D70" s="216" cm="1">
        <f t="array" ref="D70:D71">TRANSPOSE([1]!PureBendingDesign(D69,D18/D15,D6))</f>
        <v>0</v>
      </c>
      <c r="E70" s="14"/>
      <c r="F70" s="14"/>
      <c r="G70" s="14" t="s">
        <v>72</v>
      </c>
      <c r="H70" s="110">
        <f>ROUNDUP(H67/H69,0)</f>
        <v>3</v>
      </c>
      <c r="I70" s="14"/>
      <c r="J70" s="14"/>
      <c r="K70" s="15"/>
    </row>
    <row r="71" spans="2:11" x14ac:dyDescent="0.3">
      <c r="B71" s="86"/>
      <c r="C71" s="90" t="s">
        <v>160</v>
      </c>
      <c r="D71" s="217">
        <v>0</v>
      </c>
      <c r="E71" s="14"/>
      <c r="F71" s="14"/>
      <c r="G71" s="14"/>
      <c r="H71" s="101"/>
      <c r="I71" s="14"/>
      <c r="J71" s="14"/>
      <c r="K71" s="15"/>
    </row>
    <row r="72" spans="2:11" x14ac:dyDescent="0.3">
      <c r="B72" s="86" t="s">
        <v>166</v>
      </c>
      <c r="C72" s="90"/>
      <c r="D72" s="218">
        <f>D70*D27*D30*D19/D18</f>
        <v>0</v>
      </c>
      <c r="E72" s="14"/>
      <c r="F72" s="14" t="s">
        <v>169</v>
      </c>
      <c r="G72" s="14"/>
      <c r="H72" s="101">
        <f>MAX(H63,D76)</f>
        <v>341.73813579971755</v>
      </c>
      <c r="I72" s="14" t="s">
        <v>70</v>
      </c>
      <c r="J72" s="14"/>
      <c r="K72" s="15"/>
    </row>
    <row r="73" spans="2:11" x14ac:dyDescent="0.3">
      <c r="B73" s="86" t="s">
        <v>167</v>
      </c>
      <c r="C73" s="90"/>
      <c r="D73" s="218">
        <f>D72+D68</f>
        <v>1517.9999999999995</v>
      </c>
      <c r="E73" s="14"/>
      <c r="F73" s="14"/>
      <c r="G73" s="14" t="s">
        <v>71</v>
      </c>
      <c r="H73" s="110">
        <v>12</v>
      </c>
      <c r="I73" s="14" t="s">
        <v>38</v>
      </c>
      <c r="J73" s="14"/>
      <c r="K73" s="15"/>
    </row>
    <row r="74" spans="2:11" x14ac:dyDescent="0.3">
      <c r="B74" s="85"/>
      <c r="C74" s="65" t="s">
        <v>170</v>
      </c>
      <c r="D74" s="164"/>
      <c r="E74" s="65"/>
      <c r="F74" s="14"/>
      <c r="G74" s="14" t="s">
        <v>90</v>
      </c>
      <c r="H74" s="101">
        <f>3.14*H73*H73/4</f>
        <v>113.03999999999999</v>
      </c>
      <c r="I74" s="14" t="s">
        <v>70</v>
      </c>
      <c r="J74" s="14"/>
      <c r="K74" s="15"/>
    </row>
    <row r="75" spans="2:11" x14ac:dyDescent="0.3">
      <c r="B75" s="86"/>
      <c r="C75" s="90" t="s">
        <v>159</v>
      </c>
      <c r="D75" s="213">
        <f>IF(D61=TRUE,D62,D73)</f>
        <v>542.5</v>
      </c>
      <c r="E75" s="14" t="s">
        <v>70</v>
      </c>
      <c r="F75" s="14"/>
      <c r="G75" s="14" t="s">
        <v>72</v>
      </c>
      <c r="H75" s="110">
        <f>ROUNDUP(H72/H74,0)</f>
        <v>4</v>
      </c>
      <c r="I75" s="14"/>
      <c r="J75" s="14"/>
      <c r="K75" s="15"/>
    </row>
    <row r="76" spans="2:11" x14ac:dyDescent="0.3">
      <c r="B76" s="52"/>
      <c r="C76" s="90" t="s">
        <v>160</v>
      </c>
      <c r="D76" s="213">
        <f>IF(D61=TRUE,D63,D73*0.1)</f>
        <v>222.70902225873468</v>
      </c>
      <c r="E76" s="14" t="s">
        <v>70</v>
      </c>
      <c r="F76" s="14"/>
      <c r="G76" s="14"/>
      <c r="H76" s="101"/>
      <c r="I76" s="14"/>
      <c r="J76" s="14"/>
      <c r="K76" s="15"/>
    </row>
    <row r="77" spans="2:11" x14ac:dyDescent="0.3">
      <c r="B77" s="52"/>
      <c r="C77" s="14"/>
      <c r="D77" s="37"/>
      <c r="E77" s="14"/>
      <c r="F77" s="14"/>
      <c r="G77" s="14"/>
      <c r="H77" s="101"/>
      <c r="I77" s="14"/>
      <c r="J77" s="14"/>
      <c r="K77" s="15"/>
    </row>
    <row r="78" spans="2:11" x14ac:dyDescent="0.3">
      <c r="B78" s="99"/>
      <c r="C78" s="96"/>
      <c r="D78" s="164"/>
      <c r="E78" s="96"/>
      <c r="F78" s="14"/>
      <c r="G78" s="14"/>
      <c r="H78" s="101"/>
      <c r="I78" s="14"/>
      <c r="J78" s="14"/>
      <c r="K78" s="15"/>
    </row>
    <row r="79" spans="2:11" x14ac:dyDescent="0.3">
      <c r="B79" s="16"/>
      <c r="C79" s="17"/>
      <c r="D79" s="175"/>
      <c r="E79" s="14"/>
      <c r="F79" s="14"/>
      <c r="G79" s="14"/>
      <c r="H79" s="101"/>
      <c r="I79" s="14"/>
      <c r="J79" s="14"/>
      <c r="K79" s="15"/>
    </row>
    <row r="80" spans="2:11" x14ac:dyDescent="0.3">
      <c r="B80" s="16"/>
      <c r="C80" s="17"/>
      <c r="D80" s="175"/>
      <c r="E80" s="14"/>
      <c r="F80" s="14"/>
      <c r="G80" s="14"/>
      <c r="H80" s="101"/>
      <c r="I80" s="14"/>
      <c r="J80" s="14"/>
      <c r="K80" s="15"/>
    </row>
    <row r="81" spans="2:11" x14ac:dyDescent="0.3">
      <c r="B81" s="16"/>
      <c r="C81" s="17"/>
      <c r="D81" s="37"/>
      <c r="E81" s="14"/>
      <c r="F81" s="14"/>
      <c r="G81" s="14"/>
      <c r="H81" s="101"/>
      <c r="I81" s="14"/>
      <c r="J81" s="14"/>
      <c r="K81" s="15"/>
    </row>
    <row r="82" spans="2:11" x14ac:dyDescent="0.3">
      <c r="B82" s="16"/>
      <c r="C82" s="17"/>
      <c r="D82" s="37"/>
      <c r="E82" s="14"/>
      <c r="F82" s="14"/>
      <c r="G82" s="14"/>
      <c r="H82" s="101"/>
      <c r="I82" s="14"/>
      <c r="J82" s="14"/>
      <c r="K82" s="15"/>
    </row>
    <row r="83" spans="2:11" x14ac:dyDescent="0.3">
      <c r="B83" s="16"/>
      <c r="C83" s="17"/>
      <c r="D83" s="37"/>
      <c r="E83" s="14"/>
      <c r="F83" s="14"/>
      <c r="G83" s="14"/>
      <c r="H83" s="101"/>
      <c r="I83" s="14"/>
      <c r="J83" s="14"/>
      <c r="K83" s="15"/>
    </row>
    <row r="84" spans="2:11" x14ac:dyDescent="0.3">
      <c r="B84" s="52"/>
      <c r="C84" s="14"/>
      <c r="D84" s="175"/>
      <c r="E84" s="14"/>
      <c r="F84" s="14"/>
      <c r="G84" s="14"/>
      <c r="H84" s="101"/>
      <c r="I84" s="14"/>
      <c r="J84" s="14"/>
      <c r="K84" s="15"/>
    </row>
    <row r="85" spans="2:11" x14ac:dyDescent="0.3">
      <c r="B85" s="52"/>
      <c r="C85" s="14"/>
      <c r="D85" s="37"/>
      <c r="E85" s="14"/>
      <c r="F85" s="14"/>
      <c r="G85" s="14"/>
      <c r="H85" s="101"/>
      <c r="I85" s="14"/>
      <c r="J85" s="14"/>
      <c r="K85" s="15"/>
    </row>
    <row r="86" spans="2:11" x14ac:dyDescent="0.3">
      <c r="B86" s="16"/>
      <c r="C86" s="17"/>
      <c r="D86" s="37"/>
      <c r="E86" s="14"/>
      <c r="F86" s="14"/>
      <c r="G86" s="14"/>
      <c r="H86" s="101"/>
      <c r="I86" s="14"/>
      <c r="J86" s="14"/>
      <c r="K86" s="15"/>
    </row>
    <row r="87" spans="2:11" x14ac:dyDescent="0.3">
      <c r="B87" s="16"/>
      <c r="C87" s="17"/>
      <c r="D87" s="37"/>
      <c r="E87" s="14"/>
      <c r="F87" s="14"/>
      <c r="G87" s="101"/>
      <c r="H87" s="101"/>
      <c r="I87" s="14"/>
      <c r="J87" s="14"/>
      <c r="K87" s="15"/>
    </row>
    <row r="88" spans="2:11" x14ac:dyDescent="0.3">
      <c r="B88" s="16"/>
      <c r="C88" s="17"/>
      <c r="D88" s="37"/>
      <c r="E88" s="14"/>
      <c r="F88" s="14"/>
      <c r="G88" s="14"/>
      <c r="H88" s="101"/>
      <c r="I88" s="14"/>
      <c r="J88" s="14"/>
      <c r="K88" s="15"/>
    </row>
    <row r="89" spans="2:11" x14ac:dyDescent="0.3">
      <c r="B89" s="16"/>
      <c r="C89" s="17"/>
      <c r="D89" s="37"/>
      <c r="E89" s="14"/>
      <c r="F89" s="14"/>
      <c r="G89" s="14"/>
      <c r="H89" s="101"/>
      <c r="I89" s="14"/>
      <c r="J89" s="14"/>
      <c r="K89" s="15"/>
    </row>
    <row r="90" spans="2:11" x14ac:dyDescent="0.3">
      <c r="B90" s="16"/>
      <c r="C90" s="17"/>
      <c r="D90" s="37"/>
      <c r="E90" s="14"/>
      <c r="F90" s="14"/>
      <c r="G90" s="14"/>
      <c r="H90" s="101"/>
      <c r="I90" s="14"/>
      <c r="J90" s="14"/>
      <c r="K90" s="15"/>
    </row>
    <row r="91" spans="2:11" ht="15" thickBot="1" x14ac:dyDescent="0.35">
      <c r="B91" s="28"/>
      <c r="C91" s="29"/>
      <c r="D91" s="208"/>
      <c r="E91" s="30"/>
      <c r="F91" s="30"/>
      <c r="G91" s="30"/>
      <c r="H91" s="106"/>
      <c r="I91" s="30"/>
      <c r="J91" s="30"/>
      <c r="K91" s="31"/>
    </row>
    <row r="92" spans="2:11" ht="15" thickBot="1" x14ac:dyDescent="0.35">
      <c r="B92" s="9"/>
      <c r="C92" s="9"/>
    </row>
    <row r="93" spans="2:11" x14ac:dyDescent="0.3">
      <c r="B93" s="171" t="s">
        <v>261</v>
      </c>
      <c r="C93" s="33"/>
      <c r="D93" s="209"/>
      <c r="E93" s="34"/>
      <c r="F93" s="34"/>
      <c r="G93" s="34"/>
      <c r="H93" s="34"/>
      <c r="I93" s="34"/>
      <c r="J93" s="34"/>
      <c r="K93" s="10"/>
    </row>
    <row r="94" spans="2:11" x14ac:dyDescent="0.3">
      <c r="B94" s="169" t="s">
        <v>290</v>
      </c>
      <c r="C94" s="14"/>
      <c r="D94" s="37"/>
      <c r="E94" s="14"/>
      <c r="F94" s="14"/>
      <c r="G94" s="176" t="s">
        <v>284</v>
      </c>
      <c r="H94" s="176"/>
      <c r="I94" s="41" t="b">
        <v>1</v>
      </c>
      <c r="J94" s="14"/>
      <c r="K94" s="15"/>
    </row>
    <row r="95" spans="2:11" ht="14.4" customHeight="1" x14ac:dyDescent="0.3">
      <c r="B95" s="16" t="s">
        <v>53</v>
      </c>
      <c r="C95" s="14"/>
      <c r="D95" s="219">
        <f>MAX(MAX(G34:H43),ABS(MIN(G34:H43)))</f>
        <v>69.313490508775644</v>
      </c>
      <c r="E95" s="14" t="s">
        <v>55</v>
      </c>
      <c r="F95" s="287" t="s">
        <v>291</v>
      </c>
      <c r="G95" s="287"/>
      <c r="H95" s="287"/>
      <c r="I95" s="287"/>
      <c r="J95" s="287"/>
      <c r="K95" s="288"/>
    </row>
    <row r="96" spans="2:11" x14ac:dyDescent="0.3">
      <c r="B96" s="16" t="s">
        <v>256</v>
      </c>
      <c r="C96" s="14"/>
      <c r="D96" s="219">
        <f>IF(I94=TRUE,MAX(MAX(I34:J43),ABS(MIN(I34:J43))),0)</f>
        <v>6.2609991271708427</v>
      </c>
      <c r="E96" s="14" t="s">
        <v>54</v>
      </c>
      <c r="F96" s="287"/>
      <c r="G96" s="287"/>
      <c r="H96" s="287"/>
      <c r="I96" s="287"/>
      <c r="J96" s="287"/>
      <c r="K96" s="288"/>
    </row>
    <row r="97" spans="2:11" x14ac:dyDescent="0.3">
      <c r="B97" s="16"/>
      <c r="C97" s="14"/>
      <c r="D97" s="37"/>
      <c r="E97" s="14"/>
      <c r="F97" s="287"/>
      <c r="G97" s="287"/>
      <c r="H97" s="287"/>
      <c r="I97" s="287"/>
      <c r="J97" s="287"/>
      <c r="K97" s="288"/>
    </row>
    <row r="98" spans="2:11" x14ac:dyDescent="0.3">
      <c r="B98" s="16"/>
      <c r="C98" s="14"/>
      <c r="D98" s="37"/>
      <c r="E98" s="14"/>
      <c r="F98" s="287"/>
      <c r="G98" s="287"/>
      <c r="H98" s="287"/>
      <c r="I98" s="287"/>
      <c r="J98" s="287"/>
      <c r="K98" s="288"/>
    </row>
    <row r="99" spans="2:11" x14ac:dyDescent="0.3">
      <c r="B99" s="16"/>
      <c r="C99" s="174" t="s">
        <v>268</v>
      </c>
      <c r="D99" s="175"/>
      <c r="E99" s="14"/>
      <c r="F99" s="14"/>
      <c r="G99" s="17"/>
      <c r="H99" s="174" t="s">
        <v>292</v>
      </c>
      <c r="I99" s="170"/>
      <c r="J99" s="14"/>
      <c r="K99" s="15"/>
    </row>
    <row r="100" spans="2:11" x14ac:dyDescent="0.3">
      <c r="B100" s="16" t="s">
        <v>264</v>
      </c>
      <c r="C100" s="14"/>
      <c r="D100" s="37">
        <f>D27-2*D102</f>
        <v>200</v>
      </c>
      <c r="E100" s="175" t="s">
        <v>38</v>
      </c>
      <c r="F100" s="14"/>
      <c r="G100" s="17" t="s">
        <v>293</v>
      </c>
      <c r="H100" s="14"/>
      <c r="I100" s="37">
        <f>I24-D102</f>
        <v>275</v>
      </c>
      <c r="J100" s="175" t="s">
        <v>38</v>
      </c>
      <c r="K100" s="15"/>
    </row>
    <row r="101" spans="2:11" x14ac:dyDescent="0.3">
      <c r="B101" s="16" t="s">
        <v>265</v>
      </c>
      <c r="C101" s="14"/>
      <c r="D101" s="37">
        <f>D28-2*D102</f>
        <v>650</v>
      </c>
      <c r="E101" s="175" t="s">
        <v>38</v>
      </c>
      <c r="F101" s="14"/>
      <c r="G101" s="17" t="s">
        <v>294</v>
      </c>
      <c r="H101" s="14"/>
      <c r="I101" s="37">
        <f>I25-2*D102</f>
        <v>70</v>
      </c>
      <c r="J101" s="175" t="s">
        <v>38</v>
      </c>
      <c r="K101" s="15"/>
    </row>
    <row r="102" spans="2:11" x14ac:dyDescent="0.3">
      <c r="B102" s="16" t="s">
        <v>37</v>
      </c>
      <c r="C102" s="14"/>
      <c r="D102" s="37">
        <v>25</v>
      </c>
      <c r="E102" s="37" t="s">
        <v>38</v>
      </c>
      <c r="F102" s="14"/>
      <c r="G102" s="17" t="s">
        <v>37</v>
      </c>
      <c r="H102" s="14"/>
      <c r="I102" s="37">
        <v>25</v>
      </c>
      <c r="J102" s="37" t="s">
        <v>38</v>
      </c>
      <c r="K102" s="15"/>
    </row>
    <row r="103" spans="2:11" x14ac:dyDescent="0.3">
      <c r="B103" s="16" t="s">
        <v>266</v>
      </c>
      <c r="C103" s="14"/>
      <c r="D103" s="37">
        <f>D100*D101</f>
        <v>130000</v>
      </c>
      <c r="E103" s="37" t="s">
        <v>70</v>
      </c>
      <c r="F103" s="14"/>
      <c r="G103" s="17" t="s">
        <v>266</v>
      </c>
      <c r="H103" s="14"/>
      <c r="I103" s="37">
        <f>I100*I101</f>
        <v>19250</v>
      </c>
      <c r="J103" s="37" t="s">
        <v>70</v>
      </c>
      <c r="K103" s="15"/>
    </row>
    <row r="104" spans="2:11" x14ac:dyDescent="0.3">
      <c r="B104" s="16" t="s">
        <v>267</v>
      </c>
      <c r="C104" s="14"/>
      <c r="D104" s="37">
        <f>2*(D100+D101)</f>
        <v>1700</v>
      </c>
      <c r="E104" s="37" t="s">
        <v>38</v>
      </c>
      <c r="F104" s="14"/>
      <c r="G104" s="17" t="s">
        <v>267</v>
      </c>
      <c r="H104" s="14"/>
      <c r="I104" s="37">
        <f>2*(I100+I101)</f>
        <v>690</v>
      </c>
      <c r="J104" s="37" t="s">
        <v>38</v>
      </c>
      <c r="K104" s="15"/>
    </row>
    <row r="105" spans="2:11" x14ac:dyDescent="0.3">
      <c r="B105" s="16" t="s">
        <v>297</v>
      </c>
      <c r="C105" s="14"/>
      <c r="D105" s="198">
        <f>D103*D103/D104</f>
        <v>9941176.4705882352</v>
      </c>
      <c r="E105" s="14"/>
      <c r="F105" s="14"/>
      <c r="G105" s="17" t="s">
        <v>297</v>
      </c>
      <c r="H105" s="14"/>
      <c r="I105" s="198">
        <f>I103*I103/I104</f>
        <v>537047.10144927539</v>
      </c>
      <c r="J105" s="14"/>
      <c r="K105" s="15"/>
    </row>
    <row r="106" spans="2:11" x14ac:dyDescent="0.3">
      <c r="B106" s="16"/>
      <c r="C106" s="14"/>
      <c r="D106" s="175"/>
      <c r="E106" s="14"/>
      <c r="F106" s="14"/>
      <c r="G106" s="14"/>
      <c r="H106" s="14"/>
      <c r="I106" s="14"/>
      <c r="J106" s="14"/>
      <c r="K106" s="15"/>
    </row>
    <row r="107" spans="2:11" x14ac:dyDescent="0.3">
      <c r="B107" s="16" t="s">
        <v>262</v>
      </c>
      <c r="C107" s="14"/>
      <c r="D107" s="175">
        <f>D95/D27/D30*1000</f>
        <v>0.42654455697708082</v>
      </c>
      <c r="E107" s="14" t="s">
        <v>34</v>
      </c>
      <c r="F107" s="14"/>
      <c r="G107" s="14"/>
      <c r="H107" s="14"/>
      <c r="I107" s="14"/>
      <c r="J107" s="14"/>
      <c r="K107" s="15"/>
    </row>
    <row r="108" spans="2:11" ht="15" thickBot="1" x14ac:dyDescent="0.35">
      <c r="B108" s="16" t="s">
        <v>263</v>
      </c>
      <c r="C108" s="14"/>
      <c r="D108" s="175">
        <f>D96*1000000/1.7/(D105+I105)</f>
        <v>0.35148521480970057</v>
      </c>
      <c r="E108" s="14" t="s">
        <v>34</v>
      </c>
      <c r="F108" s="14"/>
      <c r="G108" s="14"/>
      <c r="H108" s="14"/>
      <c r="I108" s="14"/>
      <c r="J108" s="14"/>
      <c r="K108" s="15"/>
    </row>
    <row r="109" spans="2:11" ht="15" thickBot="1" x14ac:dyDescent="0.35">
      <c r="B109" s="16" t="s">
        <v>269</v>
      </c>
      <c r="C109" s="17"/>
      <c r="D109" s="175">
        <f>SQRT(D107*D107+D108*D108)</f>
        <v>0.55270436520493982</v>
      </c>
      <c r="E109" s="14" t="s">
        <v>34</v>
      </c>
      <c r="F109" s="14" t="s">
        <v>270</v>
      </c>
      <c r="G109" s="14"/>
      <c r="H109" s="177" t="str">
        <f>IF(D109&lt;D22,"Safe", "Dimminsion must increase")</f>
        <v>Safe</v>
      </c>
      <c r="I109" s="14"/>
      <c r="J109" s="14"/>
      <c r="K109" s="15"/>
    </row>
    <row r="110" spans="2:11" x14ac:dyDescent="0.3">
      <c r="B110" s="16"/>
      <c r="C110" s="176" t="s">
        <v>271</v>
      </c>
      <c r="D110" s="37"/>
      <c r="E110" s="14"/>
      <c r="F110" s="14"/>
      <c r="G110" s="14"/>
      <c r="H110" s="14"/>
      <c r="I110" s="14"/>
      <c r="J110" s="14"/>
      <c r="K110" s="15"/>
    </row>
    <row r="111" spans="2:11" x14ac:dyDescent="0.3">
      <c r="B111" s="16" t="s">
        <v>84</v>
      </c>
      <c r="C111" s="17"/>
      <c r="D111" s="175">
        <f>MAX(0,D107-D21)</f>
        <v>0</v>
      </c>
      <c r="E111" s="14" t="s">
        <v>34</v>
      </c>
      <c r="F111" s="14"/>
      <c r="G111" s="14"/>
      <c r="H111" s="14"/>
      <c r="I111" s="14"/>
      <c r="J111" s="14"/>
      <c r="K111" s="15"/>
    </row>
    <row r="112" spans="2:11" x14ac:dyDescent="0.3">
      <c r="B112" s="16" t="s">
        <v>283</v>
      </c>
      <c r="C112" s="17"/>
      <c r="D112" s="75">
        <v>2</v>
      </c>
      <c r="E112" s="14"/>
      <c r="F112" s="14"/>
      <c r="G112" s="14"/>
      <c r="H112" s="14"/>
      <c r="I112" s="14"/>
      <c r="J112" s="14"/>
      <c r="K112" s="15"/>
    </row>
    <row r="113" spans="2:11" x14ac:dyDescent="0.3">
      <c r="B113" s="16" t="s">
        <v>85</v>
      </c>
      <c r="C113" s="17"/>
      <c r="D113" s="37">
        <f>D111*D27/D20/D112</f>
        <v>0</v>
      </c>
      <c r="E113" s="14"/>
      <c r="F113" s="14"/>
      <c r="G113" s="14"/>
      <c r="H113" s="14"/>
      <c r="I113" s="14"/>
      <c r="J113" s="14"/>
      <c r="K113" s="15"/>
    </row>
    <row r="114" spans="2:11" x14ac:dyDescent="0.3">
      <c r="B114" s="16" t="s">
        <v>89</v>
      </c>
      <c r="C114" s="17"/>
      <c r="D114" s="37">
        <f>H131</f>
        <v>8</v>
      </c>
      <c r="E114" s="14" t="s">
        <v>38</v>
      </c>
      <c r="F114" s="14" t="s">
        <v>90</v>
      </c>
      <c r="G114" s="14">
        <f>3.14*D114*D114/4</f>
        <v>50.24</v>
      </c>
      <c r="H114" s="14" t="s">
        <v>70</v>
      </c>
      <c r="I114" s="14"/>
      <c r="J114" s="14"/>
      <c r="K114" s="15"/>
    </row>
    <row r="115" spans="2:11" x14ac:dyDescent="0.3">
      <c r="B115" s="16" t="s">
        <v>91</v>
      </c>
      <c r="C115" s="17"/>
      <c r="D115" s="37">
        <f>IFERROR(G114/D113,200)</f>
        <v>200</v>
      </c>
      <c r="E115" s="14"/>
      <c r="F115" s="14"/>
      <c r="G115" s="14"/>
      <c r="H115" s="14"/>
      <c r="I115" s="14"/>
      <c r="J115" s="14"/>
      <c r="K115" s="15"/>
    </row>
    <row r="116" spans="2:11" x14ac:dyDescent="0.3">
      <c r="B116" s="16"/>
      <c r="C116" s="17"/>
      <c r="D116" s="37"/>
      <c r="E116" s="14"/>
      <c r="F116" s="14"/>
      <c r="G116" s="14"/>
      <c r="H116" s="14"/>
      <c r="I116" s="14"/>
      <c r="J116" s="14"/>
      <c r="K116" s="15"/>
    </row>
    <row r="117" spans="2:11" x14ac:dyDescent="0.3">
      <c r="B117" s="16"/>
      <c r="C117" s="176" t="s">
        <v>272</v>
      </c>
      <c r="D117" s="37"/>
      <c r="E117" s="14"/>
      <c r="F117" s="14"/>
      <c r="G117" s="14"/>
      <c r="H117" s="14"/>
      <c r="I117" s="14"/>
      <c r="J117" s="14"/>
      <c r="K117" s="15"/>
    </row>
    <row r="118" spans="2:11" x14ac:dyDescent="0.3">
      <c r="B118" s="16" t="s">
        <v>273</v>
      </c>
      <c r="C118" s="14"/>
      <c r="D118" s="37" t="b">
        <f>IF(D108&lt;D23,TRUE,FALSE)</f>
        <v>0</v>
      </c>
      <c r="E118" s="14"/>
      <c r="F118" s="14"/>
      <c r="G118" s="14"/>
      <c r="H118" s="14"/>
      <c r="I118" s="14"/>
      <c r="J118" s="14"/>
      <c r="K118" s="15"/>
    </row>
    <row r="119" spans="2:11" x14ac:dyDescent="0.3">
      <c r="B119" s="16" t="s">
        <v>85</v>
      </c>
      <c r="C119" s="14"/>
      <c r="D119" s="37">
        <f>D96*1000000/1.7/D100/D101/D20</f>
        <v>0.13574941546467703</v>
      </c>
      <c r="E119" s="14"/>
      <c r="F119" s="14"/>
      <c r="G119" s="14"/>
      <c r="H119" s="14"/>
      <c r="I119" s="14"/>
      <c r="J119" s="14"/>
      <c r="K119" s="15"/>
    </row>
    <row r="120" spans="2:11" x14ac:dyDescent="0.3">
      <c r="B120" s="16" t="s">
        <v>89</v>
      </c>
      <c r="C120" s="17"/>
      <c r="D120" s="37">
        <f>H132</f>
        <v>8</v>
      </c>
      <c r="E120" s="14" t="s">
        <v>38</v>
      </c>
      <c r="F120" s="14" t="s">
        <v>90</v>
      </c>
      <c r="G120" s="14">
        <f>3.14*D120*D120/4</f>
        <v>50.24</v>
      </c>
      <c r="H120" s="14" t="s">
        <v>70</v>
      </c>
      <c r="I120" s="14"/>
      <c r="J120" s="14"/>
      <c r="K120" s="15"/>
    </row>
    <row r="121" spans="2:11" x14ac:dyDescent="0.3">
      <c r="B121" s="16" t="s">
        <v>91</v>
      </c>
      <c r="C121" s="17"/>
      <c r="D121" s="175">
        <f>IFERROR(MIN(200,G120/D119),200)</f>
        <v>200</v>
      </c>
      <c r="E121" s="14" t="s">
        <v>38</v>
      </c>
      <c r="F121" s="14"/>
      <c r="G121" s="14"/>
      <c r="H121" s="14"/>
      <c r="I121" s="14"/>
      <c r="J121" s="14"/>
      <c r="K121" s="15"/>
    </row>
    <row r="122" spans="2:11" x14ac:dyDescent="0.3">
      <c r="B122" s="16" t="s">
        <v>275</v>
      </c>
      <c r="C122" s="14"/>
      <c r="D122" s="186">
        <f>G120/D121*D104*D20/D18</f>
        <v>284.69333333333344</v>
      </c>
      <c r="E122" s="14" t="s">
        <v>70</v>
      </c>
      <c r="F122" s="14"/>
      <c r="G122" s="14"/>
      <c r="H122" s="14"/>
      <c r="I122" s="14"/>
      <c r="J122" s="14"/>
      <c r="K122" s="15"/>
    </row>
    <row r="123" spans="2:11" x14ac:dyDescent="0.3">
      <c r="B123" s="165" t="s">
        <v>282</v>
      </c>
      <c r="C123" s="183"/>
      <c r="D123" s="164" t="s">
        <v>92</v>
      </c>
      <c r="E123" s="17" t="s">
        <v>72</v>
      </c>
      <c r="F123" s="179">
        <f>CEILING(MAX(5,D122/H123/H123/3.14*4),4)</f>
        <v>8</v>
      </c>
      <c r="G123" s="14" t="s">
        <v>71</v>
      </c>
      <c r="H123" s="172">
        <v>8</v>
      </c>
      <c r="I123" s="281" t="s">
        <v>279</v>
      </c>
      <c r="J123" s="282"/>
      <c r="K123" s="15"/>
    </row>
    <row r="124" spans="2:11" x14ac:dyDescent="0.3">
      <c r="B124" s="16"/>
      <c r="C124" s="14"/>
      <c r="D124" s="37"/>
      <c r="E124" s="14"/>
      <c r="F124" s="14"/>
      <c r="G124" s="14"/>
      <c r="H124" s="14"/>
      <c r="I124" s="14"/>
      <c r="J124" s="14"/>
      <c r="K124" s="15"/>
    </row>
    <row r="125" spans="2:11" x14ac:dyDescent="0.3">
      <c r="B125" s="16"/>
      <c r="C125" s="14"/>
      <c r="D125" s="37"/>
      <c r="E125" s="14"/>
      <c r="F125" s="14"/>
      <c r="G125" s="14"/>
      <c r="H125" s="14"/>
      <c r="I125" s="14"/>
      <c r="J125" s="14"/>
      <c r="K125" s="15"/>
    </row>
    <row r="126" spans="2:11" x14ac:dyDescent="0.3">
      <c r="B126" s="16"/>
      <c r="C126" s="176" t="s">
        <v>67</v>
      </c>
      <c r="D126" s="37"/>
      <c r="E126" s="14"/>
      <c r="F126" s="14"/>
      <c r="G126" s="14"/>
      <c r="H126" s="14"/>
      <c r="I126" s="14"/>
      <c r="J126" s="14"/>
      <c r="K126" s="15"/>
    </row>
    <row r="127" spans="2:11" ht="15" thickBot="1" x14ac:dyDescent="0.35">
      <c r="B127" s="169" t="s">
        <v>276</v>
      </c>
      <c r="C127" s="14"/>
      <c r="D127" s="37"/>
      <c r="E127" s="14"/>
      <c r="F127" s="14"/>
      <c r="G127" s="14"/>
      <c r="H127" s="14"/>
      <c r="I127" s="14"/>
      <c r="J127" s="14"/>
      <c r="K127" s="15"/>
    </row>
    <row r="128" spans="2:11" ht="15" thickBot="1" x14ac:dyDescent="0.35">
      <c r="B128" s="16" t="s">
        <v>91</v>
      </c>
      <c r="C128" s="14"/>
      <c r="D128" s="186">
        <f>MIN(D115,D121)</f>
        <v>200</v>
      </c>
      <c r="E128" s="14" t="s">
        <v>38</v>
      </c>
      <c r="F128" s="14"/>
      <c r="G128" s="70" t="s">
        <v>72</v>
      </c>
      <c r="H128" s="181">
        <f>ROUNDDOWN(1000/D128,0)</f>
        <v>5</v>
      </c>
      <c r="I128" s="14"/>
      <c r="J128" s="14"/>
      <c r="K128" s="15"/>
    </row>
    <row r="129" spans="2:11" x14ac:dyDescent="0.3">
      <c r="B129" s="16"/>
      <c r="C129" s="14"/>
      <c r="D129" s="186"/>
      <c r="E129" s="14"/>
      <c r="F129" s="14"/>
      <c r="G129" s="70"/>
      <c r="H129" s="14"/>
      <c r="I129" s="14"/>
      <c r="J129" s="14"/>
      <c r="K129" s="15"/>
    </row>
    <row r="130" spans="2:11" x14ac:dyDescent="0.3">
      <c r="B130" s="16" t="s">
        <v>281</v>
      </c>
      <c r="C130" s="14"/>
      <c r="D130" s="186">
        <f>D128*D113</f>
        <v>0</v>
      </c>
      <c r="E130" s="14"/>
      <c r="F130" s="14"/>
      <c r="G130" s="70"/>
      <c r="H130" s="14"/>
      <c r="I130" s="14"/>
      <c r="J130" s="14"/>
      <c r="K130" s="15"/>
    </row>
    <row r="131" spans="2:11" x14ac:dyDescent="0.3">
      <c r="B131" s="165" t="s">
        <v>278</v>
      </c>
      <c r="C131" s="184"/>
      <c r="D131" s="186">
        <f>J131/D112*D130</f>
        <v>0</v>
      </c>
      <c r="E131" s="14" t="s">
        <v>70</v>
      </c>
      <c r="F131" s="164" t="str">
        <f>IF(J131=0, "NO USE","use")</f>
        <v>NO USE</v>
      </c>
      <c r="G131" s="70" t="s">
        <v>71</v>
      </c>
      <c r="H131" s="41">
        <v>8</v>
      </c>
      <c r="I131" s="14" t="s">
        <v>280</v>
      </c>
      <c r="J131" s="180">
        <f>D112-2</f>
        <v>0</v>
      </c>
      <c r="K131" s="15"/>
    </row>
    <row r="132" spans="2:11" x14ac:dyDescent="0.3">
      <c r="B132" s="165" t="s">
        <v>277</v>
      </c>
      <c r="C132" s="184"/>
      <c r="D132" s="186">
        <f>D121*D119+2*D130/D112</f>
        <v>27.149883092935408</v>
      </c>
      <c r="E132" s="14" t="s">
        <v>70</v>
      </c>
      <c r="F132" s="164" t="str">
        <f>IF(D118, "NO USE","USE")</f>
        <v>USE</v>
      </c>
      <c r="G132" s="70" t="s">
        <v>71</v>
      </c>
      <c r="H132" s="41">
        <v>8</v>
      </c>
      <c r="I132" s="14"/>
      <c r="J132" s="14"/>
      <c r="K132" s="15"/>
    </row>
    <row r="133" spans="2:11" x14ac:dyDescent="0.3">
      <c r="B133" s="16"/>
      <c r="C133" s="17"/>
      <c r="D133" s="37"/>
      <c r="E133" s="14"/>
      <c r="F133" s="14"/>
      <c r="G133" s="182"/>
      <c r="H133" s="14"/>
      <c r="I133" s="14"/>
      <c r="J133" s="14"/>
      <c r="K133" s="15"/>
    </row>
    <row r="134" spans="2:11" x14ac:dyDescent="0.3">
      <c r="B134" s="16"/>
      <c r="C134" s="17"/>
      <c r="D134" s="37"/>
      <c r="E134" s="14"/>
      <c r="F134" s="14"/>
      <c r="G134" s="14"/>
      <c r="H134" s="14"/>
      <c r="I134" s="14"/>
      <c r="J134" s="14"/>
      <c r="K134" s="15"/>
    </row>
    <row r="135" spans="2:11" x14ac:dyDescent="0.3">
      <c r="B135" s="16"/>
      <c r="C135" s="17"/>
      <c r="D135" s="37"/>
      <c r="E135" s="14"/>
      <c r="F135" s="14"/>
      <c r="G135" s="14"/>
      <c r="H135" s="14"/>
      <c r="I135" s="14"/>
      <c r="J135" s="14"/>
      <c r="K135" s="15"/>
    </row>
    <row r="136" spans="2:11" ht="15" thickBot="1" x14ac:dyDescent="0.35">
      <c r="B136" s="28"/>
      <c r="C136" s="29"/>
      <c r="D136" s="208"/>
      <c r="E136" s="30"/>
      <c r="F136" s="30"/>
      <c r="G136" s="30"/>
      <c r="H136" s="30"/>
      <c r="I136" s="30"/>
      <c r="J136" s="30"/>
      <c r="K136" s="31"/>
    </row>
  </sheetData>
  <mergeCells count="3">
    <mergeCell ref="B2:K2"/>
    <mergeCell ref="F95:K98"/>
    <mergeCell ref="I123:J1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808F-D17F-44F0-B177-8DC9CBA9C651}">
  <sheetPr codeName="Sheet4"/>
  <dimension ref="B2:L142"/>
  <sheetViews>
    <sheetView zoomScale="70" zoomScaleNormal="70" workbookViewId="0">
      <selection activeCell="F116" sqref="F116"/>
    </sheetView>
  </sheetViews>
  <sheetFormatPr defaultRowHeight="14.4" x14ac:dyDescent="0.3"/>
  <cols>
    <col min="1" max="3" width="8.88671875" style="1"/>
    <col min="4" max="4" width="10.109375" style="1" customWidth="1"/>
    <col min="5" max="6" width="8.88671875" style="1"/>
    <col min="7" max="7" width="12" style="1" bestFit="1" customWidth="1"/>
    <col min="8" max="8" width="8.88671875" style="1"/>
    <col min="9" max="9" width="12" style="1" bestFit="1" customWidth="1"/>
    <col min="10" max="16384" width="8.88671875" style="1"/>
  </cols>
  <sheetData>
    <row r="2" spans="2:12" ht="15" thickBot="1" x14ac:dyDescent="0.35"/>
    <row r="3" spans="2:12" ht="18" x14ac:dyDescent="0.35">
      <c r="B3" s="293" t="s">
        <v>95</v>
      </c>
      <c r="C3" s="294"/>
      <c r="D3" s="294"/>
      <c r="E3" s="294"/>
      <c r="F3" s="294"/>
      <c r="G3" s="294"/>
      <c r="H3" s="294"/>
      <c r="I3" s="294"/>
      <c r="J3" s="294"/>
      <c r="K3" s="294"/>
      <c r="L3" s="295"/>
    </row>
    <row r="4" spans="2:12" x14ac:dyDescent="0.3">
      <c r="B4" s="52"/>
      <c r="C4" s="14"/>
      <c r="D4" s="14"/>
      <c r="E4" s="37"/>
      <c r="F4" s="14"/>
      <c r="G4" s="14"/>
      <c r="H4" s="14"/>
      <c r="I4" s="14"/>
      <c r="J4" s="14"/>
      <c r="K4" s="14"/>
      <c r="L4" s="15"/>
    </row>
    <row r="5" spans="2:12" x14ac:dyDescent="0.3">
      <c r="B5" s="296" t="s">
        <v>0</v>
      </c>
      <c r="C5" s="297"/>
      <c r="D5" s="297"/>
      <c r="E5" s="297"/>
      <c r="F5" s="14"/>
      <c r="G5" s="298" t="s">
        <v>96</v>
      </c>
      <c r="H5" s="298"/>
      <c r="I5" s="298"/>
      <c r="J5" s="298"/>
      <c r="K5" s="62"/>
      <c r="L5" s="15"/>
    </row>
    <row r="6" spans="2:12" x14ac:dyDescent="0.3">
      <c r="B6" s="299" t="s">
        <v>1</v>
      </c>
      <c r="C6" s="300"/>
      <c r="D6" s="300"/>
      <c r="E6" s="53">
        <v>0.8</v>
      </c>
      <c r="F6" s="14"/>
      <c r="G6" s="298"/>
      <c r="H6" s="298"/>
      <c r="I6" s="298"/>
      <c r="J6" s="298"/>
      <c r="K6" s="62"/>
      <c r="L6" s="15"/>
    </row>
    <row r="7" spans="2:12" x14ac:dyDescent="0.3">
      <c r="B7" s="299" t="s">
        <v>2</v>
      </c>
      <c r="C7" s="300"/>
      <c r="D7" s="300"/>
      <c r="E7" s="53">
        <v>0.82499999999999996</v>
      </c>
      <c r="F7" s="14"/>
      <c r="G7" s="298"/>
      <c r="H7" s="298"/>
      <c r="I7" s="298"/>
      <c r="J7" s="298"/>
      <c r="K7" s="62"/>
      <c r="L7" s="15"/>
    </row>
    <row r="8" spans="2:12" x14ac:dyDescent="0.3">
      <c r="B8" s="299" t="s">
        <v>3</v>
      </c>
      <c r="C8" s="300"/>
      <c r="D8" s="300"/>
      <c r="E8" s="53">
        <v>0.8</v>
      </c>
      <c r="F8" s="14"/>
      <c r="G8" s="298"/>
      <c r="H8" s="298"/>
      <c r="I8" s="298"/>
      <c r="J8" s="298"/>
      <c r="K8" s="62"/>
      <c r="L8" s="15"/>
    </row>
    <row r="9" spans="2:12" x14ac:dyDescent="0.3">
      <c r="B9" s="299" t="s">
        <v>4</v>
      </c>
      <c r="C9" s="300"/>
      <c r="D9" s="300"/>
      <c r="E9" s="53">
        <v>0.66666666666666663</v>
      </c>
      <c r="F9" s="14"/>
      <c r="G9" s="298"/>
      <c r="H9" s="298"/>
      <c r="I9" s="298"/>
      <c r="J9" s="298"/>
      <c r="K9" s="62"/>
      <c r="L9" s="15"/>
    </row>
    <row r="10" spans="2:12" x14ac:dyDescent="0.3">
      <c r="B10" s="299" t="s">
        <v>97</v>
      </c>
      <c r="C10" s="300"/>
      <c r="D10" s="300"/>
      <c r="E10" s="53">
        <v>0.7</v>
      </c>
      <c r="F10" s="14"/>
      <c r="G10" s="298"/>
      <c r="H10" s="298"/>
      <c r="I10" s="298"/>
      <c r="J10" s="298"/>
      <c r="K10" s="62"/>
      <c r="L10" s="15"/>
    </row>
    <row r="11" spans="2:12" x14ac:dyDescent="0.3">
      <c r="B11" s="299" t="s">
        <v>98</v>
      </c>
      <c r="C11" s="300"/>
      <c r="D11" s="300"/>
      <c r="E11" s="53">
        <v>0.24</v>
      </c>
      <c r="F11" s="14"/>
      <c r="G11" s="298"/>
      <c r="H11" s="298"/>
      <c r="I11" s="298"/>
      <c r="J11" s="298"/>
      <c r="K11" s="62"/>
      <c r="L11" s="15"/>
    </row>
    <row r="12" spans="2:12" x14ac:dyDescent="0.3">
      <c r="B12" s="299" t="s">
        <v>99</v>
      </c>
      <c r="C12" s="300"/>
      <c r="D12" s="300"/>
      <c r="E12" s="53">
        <v>300</v>
      </c>
      <c r="F12" s="14"/>
      <c r="G12" s="298"/>
      <c r="H12" s="298"/>
      <c r="I12" s="298"/>
      <c r="J12" s="298"/>
      <c r="K12" s="62"/>
      <c r="L12" s="15"/>
    </row>
    <row r="13" spans="2:12" x14ac:dyDescent="0.3">
      <c r="B13" s="299" t="s">
        <v>100</v>
      </c>
      <c r="C13" s="300"/>
      <c r="D13" s="300"/>
      <c r="E13" s="53">
        <v>0.01</v>
      </c>
      <c r="F13" s="14"/>
      <c r="G13" s="14"/>
      <c r="H13" s="14"/>
      <c r="I13" s="14"/>
      <c r="J13" s="14"/>
      <c r="K13" s="14"/>
      <c r="L13" s="15"/>
    </row>
    <row r="14" spans="2:12" x14ac:dyDescent="0.3">
      <c r="B14" s="52"/>
      <c r="C14" s="14"/>
      <c r="D14" s="14"/>
      <c r="E14" s="54"/>
      <c r="F14" s="14"/>
      <c r="G14" s="14"/>
      <c r="H14" s="14"/>
      <c r="I14" s="14"/>
      <c r="J14" s="14"/>
      <c r="K14" s="14"/>
      <c r="L14" s="15"/>
    </row>
    <row r="15" spans="2:12" x14ac:dyDescent="0.3">
      <c r="B15" s="52"/>
      <c r="C15" s="14"/>
      <c r="D15" s="14"/>
      <c r="E15" s="37"/>
      <c r="F15" s="14"/>
      <c r="G15" s="14"/>
      <c r="H15" s="14"/>
      <c r="I15" s="14"/>
      <c r="J15" s="14"/>
      <c r="K15" s="14"/>
      <c r="L15" s="15"/>
    </row>
    <row r="16" spans="2:12" x14ac:dyDescent="0.3">
      <c r="B16" s="301" t="s">
        <v>5</v>
      </c>
      <c r="C16" s="302"/>
      <c r="D16" s="302"/>
      <c r="E16" s="37"/>
      <c r="F16" s="14"/>
      <c r="G16" s="302" t="s">
        <v>101</v>
      </c>
      <c r="H16" s="302"/>
      <c r="I16" s="302"/>
      <c r="J16" s="37"/>
      <c r="K16" s="37"/>
      <c r="L16" s="15"/>
    </row>
    <row r="17" spans="2:12" x14ac:dyDescent="0.3">
      <c r="B17" s="291" t="s">
        <v>6</v>
      </c>
      <c r="C17" s="292"/>
      <c r="D17" s="75">
        <v>25</v>
      </c>
      <c r="E17" s="37" t="s">
        <v>34</v>
      </c>
      <c r="F17" s="14"/>
      <c r="G17" s="282" t="s">
        <v>10</v>
      </c>
      <c r="H17" s="282"/>
      <c r="I17" s="75">
        <v>360</v>
      </c>
      <c r="J17" s="37" t="s">
        <v>34</v>
      </c>
      <c r="K17" s="37"/>
      <c r="L17" s="15"/>
    </row>
    <row r="18" spans="2:12" x14ac:dyDescent="0.3">
      <c r="B18" s="291" t="s">
        <v>7</v>
      </c>
      <c r="C18" s="292"/>
      <c r="D18" s="56">
        <v>3.0000000000000001E-3</v>
      </c>
      <c r="E18" s="37"/>
      <c r="F18" s="14"/>
      <c r="G18" s="282" t="s">
        <v>11</v>
      </c>
      <c r="H18" s="282"/>
      <c r="I18" s="76">
        <v>200000</v>
      </c>
      <c r="J18" s="37" t="s">
        <v>35</v>
      </c>
      <c r="K18" s="37"/>
      <c r="L18" s="15"/>
    </row>
    <row r="19" spans="2:12" x14ac:dyDescent="0.3">
      <c r="B19" s="291" t="s">
        <v>8</v>
      </c>
      <c r="C19" s="292"/>
      <c r="D19" s="80">
        <v>1.5</v>
      </c>
      <c r="E19" s="37"/>
      <c r="F19" s="14"/>
      <c r="G19" s="282" t="s">
        <v>12</v>
      </c>
      <c r="H19" s="282"/>
      <c r="I19" s="56">
        <v>1.1499999999999999</v>
      </c>
      <c r="J19" s="14"/>
      <c r="K19" s="14"/>
      <c r="L19" s="15"/>
    </row>
    <row r="20" spans="2:12" x14ac:dyDescent="0.3">
      <c r="B20" s="291" t="s">
        <v>9</v>
      </c>
      <c r="C20" s="292"/>
      <c r="D20" s="83">
        <f>D17*E6*E7/D19</f>
        <v>11</v>
      </c>
      <c r="E20" s="37" t="s">
        <v>34</v>
      </c>
      <c r="F20" s="14"/>
      <c r="G20" s="282" t="s">
        <v>102</v>
      </c>
      <c r="H20" s="282"/>
      <c r="I20" s="81">
        <v>240</v>
      </c>
      <c r="J20" s="37" t="s">
        <v>34</v>
      </c>
      <c r="K20" s="37"/>
      <c r="L20" s="15"/>
    </row>
    <row r="21" spans="2:12" x14ac:dyDescent="0.3">
      <c r="B21" s="291" t="s">
        <v>103</v>
      </c>
      <c r="C21" s="292"/>
      <c r="D21" s="83">
        <f>E10*SQRT(D17/D19)</f>
        <v>2.857738033247041</v>
      </c>
      <c r="E21" s="37" t="s">
        <v>34</v>
      </c>
      <c r="F21" s="14"/>
      <c r="G21" s="282" t="s">
        <v>13</v>
      </c>
      <c r="H21" s="282"/>
      <c r="I21" s="83">
        <f>I17/I19</f>
        <v>313.04347826086956</v>
      </c>
      <c r="J21" s="37" t="s">
        <v>34</v>
      </c>
      <c r="K21" s="37"/>
      <c r="L21" s="15"/>
    </row>
    <row r="22" spans="2:12" x14ac:dyDescent="0.3">
      <c r="B22" s="291" t="s">
        <v>104</v>
      </c>
      <c r="C22" s="292"/>
      <c r="D22" s="83">
        <f>E11*SQRT(D17/D19)</f>
        <v>0.97979589711327131</v>
      </c>
      <c r="E22" s="37" t="s">
        <v>34</v>
      </c>
      <c r="F22" s="14"/>
      <c r="G22" s="282" t="s">
        <v>88</v>
      </c>
      <c r="H22" s="282"/>
      <c r="I22" s="83">
        <f>I20/I19</f>
        <v>208.69565217391306</v>
      </c>
      <c r="J22" s="37" t="s">
        <v>34</v>
      </c>
      <c r="K22" s="37"/>
      <c r="L22" s="15"/>
    </row>
    <row r="23" spans="2:12" x14ac:dyDescent="0.3">
      <c r="B23" s="16"/>
      <c r="C23" s="37"/>
      <c r="D23" s="14"/>
      <c r="E23" s="37"/>
      <c r="F23" s="14"/>
      <c r="G23" s="282" t="s">
        <v>105</v>
      </c>
      <c r="H23" s="282"/>
      <c r="I23" s="84">
        <f>I17/I18</f>
        <v>1.8E-3</v>
      </c>
      <c r="J23" s="14"/>
      <c r="K23" s="14"/>
      <c r="L23" s="15"/>
    </row>
    <row r="24" spans="2:12" x14ac:dyDescent="0.3">
      <c r="B24" s="52"/>
      <c r="C24" s="14"/>
      <c r="D24" s="14"/>
      <c r="E24" s="14"/>
      <c r="F24" s="14"/>
      <c r="G24" s="14"/>
      <c r="H24" s="14"/>
      <c r="I24" s="14"/>
      <c r="J24" s="14"/>
      <c r="K24" s="14"/>
      <c r="L24" s="15"/>
    </row>
    <row r="25" spans="2:12" x14ac:dyDescent="0.3">
      <c r="B25" s="289" t="s">
        <v>125</v>
      </c>
      <c r="C25" s="290"/>
      <c r="D25" s="290"/>
      <c r="E25" s="41">
        <v>420</v>
      </c>
      <c r="F25" s="14"/>
      <c r="G25" s="14"/>
      <c r="H25" s="14"/>
      <c r="I25" s="14"/>
      <c r="J25" s="14"/>
      <c r="K25" s="14"/>
      <c r="L25" s="15"/>
    </row>
    <row r="26" spans="2:12" x14ac:dyDescent="0.3">
      <c r="B26" s="52"/>
      <c r="C26" s="14"/>
      <c r="D26" s="14"/>
      <c r="E26" s="14"/>
      <c r="F26" s="14"/>
      <c r="G26" s="14"/>
      <c r="H26" s="14"/>
      <c r="I26" s="14"/>
      <c r="J26" s="14"/>
      <c r="K26" s="14"/>
      <c r="L26" s="15"/>
    </row>
    <row r="27" spans="2:12" x14ac:dyDescent="0.3">
      <c r="B27" s="296" t="s">
        <v>107</v>
      </c>
      <c r="C27" s="297"/>
      <c r="D27" s="297"/>
      <c r="E27" s="14"/>
      <c r="F27" s="14"/>
      <c r="G27" s="14"/>
      <c r="H27" s="14"/>
      <c r="I27" s="14"/>
      <c r="J27" s="14"/>
      <c r="K27" s="14"/>
      <c r="L27" s="15"/>
    </row>
    <row r="28" spans="2:12" x14ac:dyDescent="0.3">
      <c r="B28" s="291" t="s">
        <v>111</v>
      </c>
      <c r="C28" s="292"/>
      <c r="D28" s="292"/>
      <c r="E28" s="82">
        <f>_xll.RSA_BAR_DATA("LENGTH",E25)</f>
        <v>3000</v>
      </c>
      <c r="F28" s="14" t="s">
        <v>38</v>
      </c>
      <c r="G28" s="14"/>
      <c r="H28" s="14"/>
      <c r="I28" s="14"/>
      <c r="J28" s="14"/>
      <c r="K28" s="14"/>
      <c r="L28" s="15"/>
    </row>
    <row r="29" spans="2:12" x14ac:dyDescent="0.3">
      <c r="B29" s="303" t="s">
        <v>108</v>
      </c>
      <c r="C29" s="304"/>
      <c r="D29" s="304"/>
      <c r="E29" s="304"/>
      <c r="F29" s="14"/>
      <c r="G29" s="14"/>
      <c r="H29" s="14"/>
      <c r="I29" s="14"/>
      <c r="J29" s="14"/>
      <c r="K29" s="14"/>
      <c r="L29" s="15"/>
    </row>
    <row r="30" spans="2:12" x14ac:dyDescent="0.3">
      <c r="B30" s="291" t="s">
        <v>126</v>
      </c>
      <c r="C30" s="292"/>
      <c r="D30" s="292"/>
      <c r="E30" s="307" t="str">
        <f>_xll.RSA_BAR_DATA("SECTION",E25)</f>
        <v>C R30x65</v>
      </c>
      <c r="F30" s="307"/>
      <c r="G30" s="14"/>
      <c r="H30" s="14"/>
      <c r="I30" s="14"/>
      <c r="J30" s="14"/>
      <c r="K30" s="14"/>
      <c r="L30" s="15"/>
    </row>
    <row r="31" spans="2:12" x14ac:dyDescent="0.3">
      <c r="B31" s="291" t="s">
        <v>109</v>
      </c>
      <c r="C31" s="292"/>
      <c r="D31" s="292"/>
      <c r="E31" s="82">
        <f>_xll.RSA_SECTION_DATA("BF",E30)</f>
        <v>300</v>
      </c>
      <c r="F31" s="14" t="s">
        <v>38</v>
      </c>
      <c r="G31" s="14"/>
      <c r="H31" s="14"/>
      <c r="I31" s="14"/>
      <c r="J31" s="14"/>
      <c r="K31" s="14"/>
      <c r="L31" s="15"/>
    </row>
    <row r="32" spans="2:12" x14ac:dyDescent="0.3">
      <c r="B32" s="291" t="s">
        <v>110</v>
      </c>
      <c r="C32" s="292"/>
      <c r="D32" s="292"/>
      <c r="E32" s="82">
        <f>_xll.RSA_SECTION_DATA("D",E30)</f>
        <v>650</v>
      </c>
      <c r="F32" s="14" t="s">
        <v>38</v>
      </c>
      <c r="G32" s="14"/>
      <c r="H32" s="14"/>
      <c r="I32" s="14"/>
      <c r="J32" s="14"/>
      <c r="K32" s="14"/>
      <c r="L32" s="15"/>
    </row>
    <row r="33" spans="2:12" x14ac:dyDescent="0.3">
      <c r="B33" s="291" t="s">
        <v>37</v>
      </c>
      <c r="C33" s="292"/>
      <c r="D33" s="292"/>
      <c r="E33" s="82">
        <v>25</v>
      </c>
      <c r="F33" s="14" t="s">
        <v>38</v>
      </c>
      <c r="G33" s="14"/>
      <c r="H33" s="14"/>
      <c r="I33" s="14"/>
      <c r="J33" s="14"/>
      <c r="K33" s="14"/>
      <c r="L33" s="15"/>
    </row>
    <row r="34" spans="2:12" x14ac:dyDescent="0.3">
      <c r="B34" s="52"/>
      <c r="C34" s="14"/>
      <c r="D34" s="14"/>
      <c r="E34" s="14"/>
      <c r="F34" s="14"/>
      <c r="G34" s="14"/>
      <c r="H34" s="14"/>
      <c r="I34" s="14"/>
      <c r="J34" s="14"/>
      <c r="K34" s="14"/>
      <c r="L34" s="15"/>
    </row>
    <row r="35" spans="2:12" x14ac:dyDescent="0.3">
      <c r="B35" s="52"/>
      <c r="C35" s="14"/>
      <c r="D35" s="14"/>
      <c r="E35" s="14"/>
      <c r="F35" s="14"/>
      <c r="G35" s="14"/>
      <c r="H35" s="14"/>
      <c r="I35" s="14"/>
      <c r="J35" s="14"/>
      <c r="K35" s="14"/>
      <c r="L35" s="15"/>
    </row>
    <row r="36" spans="2:12" x14ac:dyDescent="0.3">
      <c r="B36" s="52"/>
      <c r="C36" s="14"/>
      <c r="D36" s="14"/>
      <c r="E36" s="14"/>
      <c r="F36" s="14"/>
      <c r="G36" s="14"/>
      <c r="H36" s="14"/>
      <c r="I36" s="14"/>
      <c r="J36" s="14"/>
      <c r="K36" s="14"/>
      <c r="L36" s="15"/>
    </row>
    <row r="37" spans="2:12" x14ac:dyDescent="0.3">
      <c r="B37" s="52"/>
      <c r="C37" s="14"/>
      <c r="D37" s="14"/>
      <c r="E37" s="14"/>
      <c r="F37" s="14"/>
      <c r="G37" s="14"/>
      <c r="H37" s="14"/>
      <c r="I37" s="14"/>
      <c r="J37" s="14"/>
      <c r="K37" s="14"/>
      <c r="L37" s="15"/>
    </row>
    <row r="38" spans="2:12" x14ac:dyDescent="0.3">
      <c r="B38" s="52"/>
      <c r="C38" s="14"/>
      <c r="D38" s="14"/>
      <c r="E38" s="14"/>
      <c r="F38" s="14"/>
      <c r="G38" s="14"/>
      <c r="H38" s="14"/>
      <c r="I38" s="14"/>
      <c r="J38" s="14"/>
      <c r="K38" s="14"/>
      <c r="L38" s="15"/>
    </row>
    <row r="39" spans="2:12" x14ac:dyDescent="0.3">
      <c r="B39" s="52"/>
      <c r="C39" s="14"/>
      <c r="D39" s="14"/>
      <c r="E39" s="14"/>
      <c r="F39" s="14"/>
      <c r="G39" s="14"/>
      <c r="H39" s="14"/>
      <c r="I39" s="14"/>
      <c r="J39" s="14"/>
      <c r="K39" s="14"/>
      <c r="L39" s="15"/>
    </row>
    <row r="40" spans="2:12" x14ac:dyDescent="0.3">
      <c r="B40" s="52"/>
      <c r="C40" s="14"/>
      <c r="D40" s="14"/>
      <c r="E40" s="14"/>
      <c r="F40" s="14"/>
      <c r="G40" s="14"/>
      <c r="H40" s="14"/>
      <c r="I40" s="14"/>
      <c r="J40" s="14"/>
      <c r="K40" s="14"/>
      <c r="L40" s="15"/>
    </row>
    <row r="41" spans="2:12" x14ac:dyDescent="0.3">
      <c r="B41" s="52"/>
      <c r="C41" s="14"/>
      <c r="D41" s="14"/>
      <c r="E41" s="14"/>
      <c r="F41" s="14"/>
      <c r="G41" s="14"/>
      <c r="H41" s="14"/>
      <c r="I41" s="14"/>
      <c r="J41" s="14"/>
      <c r="K41" s="14"/>
      <c r="L41" s="15"/>
    </row>
    <row r="42" spans="2:12" x14ac:dyDescent="0.3">
      <c r="B42" s="52"/>
      <c r="C42" s="14"/>
      <c r="D42" s="14"/>
      <c r="E42" s="14"/>
      <c r="F42" s="14"/>
      <c r="G42" s="14"/>
      <c r="H42" s="14"/>
      <c r="I42" s="14"/>
      <c r="J42" s="14"/>
      <c r="K42" s="14"/>
      <c r="L42" s="15"/>
    </row>
    <row r="43" spans="2:12" x14ac:dyDescent="0.3">
      <c r="B43" s="52"/>
      <c r="C43" s="14"/>
      <c r="D43" s="14"/>
      <c r="E43" s="14"/>
      <c r="F43" s="14"/>
      <c r="G43" s="14"/>
      <c r="H43" s="14"/>
      <c r="I43" s="14"/>
      <c r="J43" s="14"/>
      <c r="K43" s="14"/>
      <c r="L43" s="15"/>
    </row>
    <row r="44" spans="2:12" x14ac:dyDescent="0.3">
      <c r="B44" s="52"/>
      <c r="C44" s="14"/>
      <c r="D44" s="14"/>
      <c r="E44" s="14"/>
      <c r="F44" s="14"/>
      <c r="G44" s="14"/>
      <c r="H44" s="14"/>
      <c r="I44" s="14"/>
      <c r="J44" s="14"/>
      <c r="K44" s="14"/>
      <c r="L44" s="15"/>
    </row>
    <row r="45" spans="2:12" ht="15" thickBot="1" x14ac:dyDescent="0.35">
      <c r="B45" s="59"/>
      <c r="C45" s="30"/>
      <c r="D45" s="30"/>
      <c r="E45" s="30"/>
      <c r="F45" s="30"/>
      <c r="G45" s="30"/>
      <c r="H45" s="30"/>
      <c r="I45" s="30"/>
      <c r="J45" s="30"/>
      <c r="K45" s="30"/>
      <c r="L45" s="31"/>
    </row>
    <row r="48" spans="2:12" ht="15" thickBot="1" x14ac:dyDescent="0.35"/>
    <row r="49" spans="2:12" x14ac:dyDescent="0.3">
      <c r="B49" s="60"/>
      <c r="C49" s="34"/>
      <c r="D49" s="34"/>
      <c r="E49" s="34"/>
      <c r="F49" s="34"/>
      <c r="G49" s="34"/>
      <c r="H49" s="34"/>
      <c r="I49" s="34"/>
      <c r="J49" s="34"/>
      <c r="K49" s="34"/>
      <c r="L49" s="10"/>
    </row>
    <row r="50" spans="2:12" x14ac:dyDescent="0.3">
      <c r="B50" s="296" t="s">
        <v>106</v>
      </c>
      <c r="C50" s="297"/>
      <c r="D50" s="297"/>
      <c r="E50" s="65"/>
      <c r="F50" s="65"/>
      <c r="G50" s="65"/>
      <c r="H50" s="65"/>
      <c r="I50" s="65"/>
      <c r="J50" s="65"/>
      <c r="K50" s="65"/>
      <c r="L50" s="15"/>
    </row>
    <row r="51" spans="2:12" x14ac:dyDescent="0.3">
      <c r="B51" s="55" t="s">
        <v>153</v>
      </c>
      <c r="C51" s="63" t="s">
        <v>127</v>
      </c>
      <c r="D51" s="63" t="s">
        <v>128</v>
      </c>
      <c r="E51" s="63" t="s">
        <v>129</v>
      </c>
      <c r="F51" s="63" t="s">
        <v>130</v>
      </c>
      <c r="G51" s="63" t="s">
        <v>131</v>
      </c>
      <c r="H51" s="63" t="s">
        <v>132</v>
      </c>
      <c r="I51" s="63" t="s">
        <v>133</v>
      </c>
      <c r="J51" s="63" t="s">
        <v>134</v>
      </c>
      <c r="K51" s="14"/>
      <c r="L51" s="15"/>
    </row>
    <row r="52" spans="2:12" x14ac:dyDescent="0.3">
      <c r="B52" s="61"/>
      <c r="C52" s="37"/>
      <c r="D52" s="37"/>
      <c r="E52" s="37" t="s">
        <v>54</v>
      </c>
      <c r="F52" s="37" t="s">
        <v>54</v>
      </c>
      <c r="G52" s="37" t="s">
        <v>54</v>
      </c>
      <c r="H52" s="37" t="s">
        <v>54</v>
      </c>
      <c r="I52" s="37" t="s">
        <v>55</v>
      </c>
      <c r="J52" s="37" t="s">
        <v>55</v>
      </c>
      <c r="K52" s="14"/>
      <c r="L52" s="15"/>
    </row>
    <row r="53" spans="2:12" x14ac:dyDescent="0.3">
      <c r="B53" s="61">
        <v>1</v>
      </c>
      <c r="C53" s="75">
        <v>105</v>
      </c>
      <c r="D53" s="77" t="str">
        <f>IF(C53="","", _xll.RSA_CASE_DATA("NAME",C53))</f>
        <v>#No RSA structure</v>
      </c>
      <c r="E53" s="78" cm="1">
        <f t="array" ref="E53">_xlfn.SINGLE(IF($C53="","",ABS(_xll.RSA_BAR_FORCE_AT("MZ",$E$25,$C53,1,0,TRUE))))</f>
        <v>0.17182181103325092</v>
      </c>
      <c r="F53" s="78">
        <f>IF(C53="","",ABS(_xll.RSA_BAR_FORCE_AT("MZ",$E$25,$C53,1,1,TRUE)))</f>
        <v>2.1047424012185778</v>
      </c>
      <c r="G53" s="78">
        <f>IF(C53="","",ABS(_xll.RSA_BAR_FORCE_AT("MY",$E$25,$C53,1,0,TRUE)))</f>
        <v>9.0344430092893813</v>
      </c>
      <c r="H53" s="78" cm="1">
        <f t="array" ref="H53">_xlfn.SINGLE(IF(C53="","",ABS(_xll.RSA_BAR_FORCE_AT("MY",$E$25,$C53,1,1,TRUE))))</f>
        <v>10.751016621414848</v>
      </c>
      <c r="I53" s="78" cm="1">
        <f t="array" ref="I53">_xlfn.SINGLE(IF(C53="","",ABS(_xll.RSA_BAR_FORCE_AT("FX",$E$25,$C53,1,0,TRUE))))</f>
        <v>956.8799867913151</v>
      </c>
      <c r="J53" s="78" cm="1">
        <f t="array" ref="J53">_xlfn.SINGLE(IF(D53="","",ABS(_xll.RSA_BAR_FORCE_AT("FX",$E$25,$C53,1,0,TRUE))))</f>
        <v>956.8799867913151</v>
      </c>
      <c r="K53" s="37"/>
      <c r="L53" s="15"/>
    </row>
    <row r="54" spans="2:12" x14ac:dyDescent="0.3">
      <c r="B54" s="61">
        <v>2</v>
      </c>
      <c r="C54" s="75"/>
      <c r="D54" s="77" t="str">
        <f>IF(C54="","", _xll.RSA_CASE_DATA("NAME",C54))</f>
        <v/>
      </c>
      <c r="E54" s="78" t="str" cm="1">
        <f t="array" ref="E54">_xlfn.SINGLE(IF($C54="","",ABS(_xll.RSA_BAR_FORCE_AT("MZ",$E$25,$C54,1,0,TRUE))))</f>
        <v/>
      </c>
      <c r="F54" s="78" t="str">
        <f>IF(C54="","",ABS(_xll.RSA_BAR_FORCE_AT("MZ",$E$25,$C54,1,1,TRUE)))</f>
        <v/>
      </c>
      <c r="G54" s="78" t="str">
        <f>IF(C54="","",ABS(_xll.RSA_BAR_FORCE_AT("MY",$E$25,$C54,1,0,TRUE)))</f>
        <v/>
      </c>
      <c r="H54" s="78" t="str" cm="1">
        <f t="array" ref="H54">_xlfn.SINGLE(IF(C54="","",ABS(_xll.RSA_BAR_FORCE_AT("MY",$E$25,$C54,1,1,TRUE))))</f>
        <v/>
      </c>
      <c r="I54" s="78" t="str" cm="1">
        <f t="array" ref="I54">_xlfn.SINGLE(IF(C54="","",ABS(_xll.RSA_BAR_FORCE_AT("FX",$E$25,$C54,1,0,TRUE))))</f>
        <v/>
      </c>
      <c r="J54" s="78" t="str" cm="1">
        <f t="array" ref="J54">_xlfn.SINGLE(IF(D54="","",ABS(_xll.RSA_BAR_FORCE_AT("FX",$E$25,$C54,1,0,TRUE))))</f>
        <v/>
      </c>
      <c r="K54" s="37"/>
      <c r="L54" s="15"/>
    </row>
    <row r="55" spans="2:12" x14ac:dyDescent="0.3">
      <c r="B55" s="61">
        <v>3</v>
      </c>
      <c r="C55" s="75"/>
      <c r="D55" s="77" t="str">
        <f>IF(C55="","", _xll.RSA_CASE_DATA("NAME",C55))</f>
        <v/>
      </c>
      <c r="E55" s="78" t="str" cm="1">
        <f t="array" ref="E55">_xlfn.SINGLE(IF($C55="","",ABS(_xll.RSA_BAR_FORCE_AT("MZ",$E$25,$C55,1,0,TRUE))))</f>
        <v/>
      </c>
      <c r="F55" s="78" t="str">
        <f>IF(C55="","",ABS(_xll.RSA_BAR_FORCE_AT("MZ",$E$25,$C55,1,1,TRUE)))</f>
        <v/>
      </c>
      <c r="G55" s="78" t="str">
        <f>IF(C55="","",ABS(_xll.RSA_BAR_FORCE_AT("MY",$E$25,$C55,1,0,TRUE)))</f>
        <v/>
      </c>
      <c r="H55" s="78" t="str" cm="1">
        <f t="array" ref="H55">_xlfn.SINGLE(IF(C55="","",ABS(_xll.RSA_BAR_FORCE_AT("MY",$E$25,$C55,1,1,TRUE))))</f>
        <v/>
      </c>
      <c r="I55" s="78" t="str" cm="1">
        <f t="array" ref="I55">_xlfn.SINGLE(IF(C55="","",ABS(_xll.RSA_BAR_FORCE_AT("FX",$E$25,$C55,1,0,TRUE))))</f>
        <v/>
      </c>
      <c r="J55" s="78" t="str" cm="1">
        <f t="array" ref="J55">_xlfn.SINGLE(IF(D55="","",ABS(_xll.RSA_BAR_FORCE_AT("FX",$E$25,$C55,1,0,TRUE))))</f>
        <v/>
      </c>
      <c r="K55" s="37"/>
      <c r="L55" s="15"/>
    </row>
    <row r="56" spans="2:12" x14ac:dyDescent="0.3">
      <c r="B56" s="61">
        <v>4</v>
      </c>
      <c r="C56" s="75"/>
      <c r="D56" s="77" t="str">
        <f>IF(C56="","", _xll.RSA_CASE_DATA("NAME",C56))</f>
        <v/>
      </c>
      <c r="E56" s="78" t="str" cm="1">
        <f t="array" ref="E56">_xlfn.SINGLE(IF($C56="","",ABS(_xll.RSA_BAR_FORCE_AT("MZ",$E$25,$C56,1,0,TRUE))))</f>
        <v/>
      </c>
      <c r="F56" s="78" t="str">
        <f>IF(C56="","",ABS(_xll.RSA_BAR_FORCE_AT("MZ",$E$25,$C56,1,1,TRUE)))</f>
        <v/>
      </c>
      <c r="G56" s="78" t="str">
        <f>IF(C56="","",ABS(_xll.RSA_BAR_FORCE_AT("MY",$E$25,$C56,1,0,TRUE)))</f>
        <v/>
      </c>
      <c r="H56" s="78" t="str" cm="1">
        <f t="array" ref="H56">_xlfn.SINGLE(IF(C56="","",ABS(_xll.RSA_BAR_FORCE_AT("MY",$E$25,$C56,1,1,TRUE))))</f>
        <v/>
      </c>
      <c r="I56" s="78" t="str" cm="1">
        <f t="array" ref="I56">_xlfn.SINGLE(IF(C56="","",ABS(_xll.RSA_BAR_FORCE_AT("FX",$E$25,$C56,1,0,TRUE))))</f>
        <v/>
      </c>
      <c r="J56" s="78" t="str" cm="1">
        <f t="array" ref="J56">_xlfn.SINGLE(IF(D56="","",ABS(_xll.RSA_BAR_FORCE_AT("FX",$E$25,$C56,1,0,TRUE))))</f>
        <v/>
      </c>
      <c r="K56" s="37"/>
      <c r="L56" s="15"/>
    </row>
    <row r="57" spans="2:12" x14ac:dyDescent="0.3">
      <c r="B57" s="61">
        <v>5</v>
      </c>
      <c r="C57" s="75"/>
      <c r="D57" s="77" t="str">
        <f>IF(C57="","", _xll.RSA_CASE_DATA("NAME",C57))</f>
        <v/>
      </c>
      <c r="E57" s="78" t="str" cm="1">
        <f t="array" ref="E57">_xlfn.SINGLE(IF($C57="","",ABS(_xll.RSA_BAR_FORCE_AT("MZ",$E$25,$C57,1,0,TRUE))))</f>
        <v/>
      </c>
      <c r="F57" s="78" t="str">
        <f>IF(C57="","",ABS(_xll.RSA_BAR_FORCE_AT("MZ",$E$25,$C57,1,1,TRUE)))</f>
        <v/>
      </c>
      <c r="G57" s="78" t="str">
        <f>IF(C57="","",ABS(_xll.RSA_BAR_FORCE_AT("MY",$E$25,$C57,1,0,TRUE)))</f>
        <v/>
      </c>
      <c r="H57" s="78" t="str" cm="1">
        <f t="array" ref="H57">_xlfn.SINGLE(IF(C57="","",ABS(_xll.RSA_BAR_FORCE_AT("MY",$E$25,$C57,1,1,TRUE))))</f>
        <v/>
      </c>
      <c r="I57" s="78" t="str" cm="1">
        <f t="array" ref="I57">_xlfn.SINGLE(IF(C57="","",ABS(_xll.RSA_BAR_FORCE_AT("FX",$E$25,$C57,1,0,TRUE))))</f>
        <v/>
      </c>
      <c r="J57" s="78" t="str" cm="1">
        <f t="array" ref="J57">_xlfn.SINGLE(IF(D57="","",ABS(_xll.RSA_BAR_FORCE_AT("FX",$E$25,$C57,1,0,TRUE))))</f>
        <v/>
      </c>
      <c r="K57" s="37"/>
      <c r="L57" s="15"/>
    </row>
    <row r="58" spans="2:12" x14ac:dyDescent="0.3">
      <c r="B58" s="61">
        <v>6</v>
      </c>
      <c r="C58" s="75"/>
      <c r="D58" s="77" t="str">
        <f>IF(C58="","", _xll.RSA_CASE_DATA("NAME",C58))</f>
        <v/>
      </c>
      <c r="E58" s="78" t="str" cm="1">
        <f t="array" ref="E58">_xlfn.SINGLE(IF($C58="","",ABS(_xll.RSA_BAR_FORCE_AT("MZ",$E$25,$C58,1,0,TRUE))))</f>
        <v/>
      </c>
      <c r="F58" s="78" t="str">
        <f>IF(C58="","",ABS(_xll.RSA_BAR_FORCE_AT("MZ",$E$25,$C58,1,1,TRUE)))</f>
        <v/>
      </c>
      <c r="G58" s="78" t="str">
        <f>IF(C58="","",ABS(_xll.RSA_BAR_FORCE_AT("MY",$E$25,$C58,1,0,TRUE)))</f>
        <v/>
      </c>
      <c r="H58" s="78" t="str" cm="1">
        <f t="array" ref="H58">_xlfn.SINGLE(IF(C58="","",ABS(_xll.RSA_BAR_FORCE_AT("MY",$E$25,$C58,1,1,TRUE))))</f>
        <v/>
      </c>
      <c r="I58" s="78" t="str" cm="1">
        <f t="array" ref="I58">_xlfn.SINGLE(IF(C58="","",ABS(_xll.RSA_BAR_FORCE_AT("FX",$E$25,$C58,1,0,TRUE))))</f>
        <v/>
      </c>
      <c r="J58" s="78" t="str" cm="1">
        <f t="array" ref="J58">_xlfn.SINGLE(IF(D58="","",ABS(_xll.RSA_BAR_FORCE_AT("FX",$E$25,$C58,1,0,TRUE))))</f>
        <v/>
      </c>
      <c r="K58" s="37"/>
      <c r="L58" s="15"/>
    </row>
    <row r="59" spans="2:12" x14ac:dyDescent="0.3">
      <c r="B59" s="61">
        <v>7</v>
      </c>
      <c r="C59" s="75"/>
      <c r="D59" s="77" t="str">
        <f>IF(C59="","", _xll.RSA_CASE_DATA("NAME",C59))</f>
        <v/>
      </c>
      <c r="E59" s="78" t="str" cm="1">
        <f t="array" ref="E59">_xlfn.SINGLE(IF($C59="","",ABS(_xll.RSA_BAR_FORCE_AT("MZ",$E$25,$C59,1,0,TRUE))))</f>
        <v/>
      </c>
      <c r="F59" s="78" t="str">
        <f>IF(C59="","",ABS(_xll.RSA_BAR_FORCE_AT("MZ",$E$25,$C59,1,1,TRUE)))</f>
        <v/>
      </c>
      <c r="G59" s="78" t="str">
        <f>IF(C59="","",ABS(_xll.RSA_BAR_FORCE_AT("MY",$E$25,$C59,1,0,TRUE)))</f>
        <v/>
      </c>
      <c r="H59" s="78" t="str" cm="1">
        <f t="array" ref="H59">_xlfn.SINGLE(IF(C59="","",ABS(_xll.RSA_BAR_FORCE_AT("MY",$E$25,$C59,1,1,TRUE))))</f>
        <v/>
      </c>
      <c r="I59" s="78" t="str" cm="1">
        <f t="array" ref="I59">_xlfn.SINGLE(IF(C59="","",ABS(_xll.RSA_BAR_FORCE_AT("FX",$E$25,$C59,1,0,TRUE))))</f>
        <v/>
      </c>
      <c r="J59" s="78" t="str" cm="1">
        <f t="array" ref="J59">_xlfn.SINGLE(IF(D59="","",ABS(_xll.RSA_BAR_FORCE_AT("FX",$E$25,$C59,1,0,TRUE))))</f>
        <v/>
      </c>
      <c r="K59" s="37"/>
      <c r="L59" s="15"/>
    </row>
    <row r="60" spans="2:12" x14ac:dyDescent="0.3">
      <c r="B60" s="61">
        <v>8</v>
      </c>
      <c r="C60" s="75"/>
      <c r="D60" s="77" t="str">
        <f>IF(C60="","", _xll.RSA_CASE_DATA("NAME",C60))</f>
        <v/>
      </c>
      <c r="E60" s="78" t="str" cm="1">
        <f t="array" ref="E60">_xlfn.SINGLE(IF($C60="","",ABS(_xll.RSA_BAR_FORCE_AT("MZ",$E$25,$C60,1,0,TRUE))))</f>
        <v/>
      </c>
      <c r="F60" s="78" t="str">
        <f>IF(C60="","",ABS(_xll.RSA_BAR_FORCE_AT("MZ",$E$25,$C60,1,1,TRUE)))</f>
        <v/>
      </c>
      <c r="G60" s="78" t="str">
        <f>IF(C60="","",ABS(_xll.RSA_BAR_FORCE_AT("MY",$E$25,$C60,1,0,TRUE)))</f>
        <v/>
      </c>
      <c r="H60" s="78" t="str" cm="1">
        <f t="array" ref="H60">_xlfn.SINGLE(IF(C60="","",ABS(_xll.RSA_BAR_FORCE_AT("MY",$E$25,$C60,1,1,TRUE))))</f>
        <v/>
      </c>
      <c r="I60" s="78" t="str" cm="1">
        <f t="array" ref="I60">_xlfn.SINGLE(IF(C60="","",ABS(_xll.RSA_BAR_FORCE_AT("FX",$E$25,$C60,1,0,TRUE))))</f>
        <v/>
      </c>
      <c r="J60" s="78" t="str" cm="1">
        <f t="array" ref="J60">_xlfn.SINGLE(IF(D60="","",ABS(_xll.RSA_BAR_FORCE_AT("FX",$E$25,$C60,1,0,TRUE))))</f>
        <v/>
      </c>
      <c r="K60" s="37"/>
      <c r="L60" s="15"/>
    </row>
    <row r="61" spans="2:12" x14ac:dyDescent="0.3">
      <c r="B61" s="61">
        <v>9</v>
      </c>
      <c r="C61" s="75"/>
      <c r="D61" s="77" t="str">
        <f>IF(C61="","", _xll.RSA_CASE_DATA("NAME",C61))</f>
        <v/>
      </c>
      <c r="E61" s="78" t="str" cm="1">
        <f t="array" ref="E61">_xlfn.SINGLE(IF($C61="","",ABS(_xll.RSA_BAR_FORCE_AT("MZ",$E$25,$C61,1,0,TRUE))))</f>
        <v/>
      </c>
      <c r="F61" s="78" t="str">
        <f>IF(C61="","",ABS(_xll.RSA_BAR_FORCE_AT("MZ",$E$25,$C61,1,1,TRUE)))</f>
        <v/>
      </c>
      <c r="G61" s="78" t="str">
        <f>IF(C61="","",ABS(_xll.RSA_BAR_FORCE_AT("MY",$E$25,$C61,1,0,TRUE)))</f>
        <v/>
      </c>
      <c r="H61" s="78" t="str" cm="1">
        <f t="array" ref="H61">_xlfn.SINGLE(IF(C61="","",ABS(_xll.RSA_BAR_FORCE_AT("MY",$E$25,$C61,1,1,TRUE))))</f>
        <v/>
      </c>
      <c r="I61" s="78" t="str" cm="1">
        <f t="array" ref="I61">_xlfn.SINGLE(IF(C61="","",ABS(_xll.RSA_BAR_FORCE_AT("FX",$E$25,$C61,1,0,TRUE))))</f>
        <v/>
      </c>
      <c r="J61" s="78" t="str" cm="1">
        <f t="array" ref="J61">_xlfn.SINGLE(IF(D61="","",ABS(_xll.RSA_BAR_FORCE_AT("FX",$E$25,$C61,1,0,TRUE))))</f>
        <v/>
      </c>
      <c r="K61" s="37"/>
      <c r="L61" s="15"/>
    </row>
    <row r="62" spans="2:12" x14ac:dyDescent="0.3">
      <c r="B62" s="61">
        <v>10</v>
      </c>
      <c r="C62" s="75"/>
      <c r="D62" s="77" t="str">
        <f>IF(C62="","", _xll.RSA_CASE_DATA("NAME",C62))</f>
        <v/>
      </c>
      <c r="E62" s="78" t="str" cm="1">
        <f t="array" ref="E62">_xlfn.SINGLE(IF($C62="","",ABS(_xll.RSA_BAR_FORCE_AT("MZ",$E$25,$C62,1,0,TRUE))))</f>
        <v/>
      </c>
      <c r="F62" s="78" t="str">
        <f>IF(C62="","",ABS(_xll.RSA_BAR_FORCE_AT("MZ",$E$25,$C62,1,1,TRUE)))</f>
        <v/>
      </c>
      <c r="G62" s="78" t="str">
        <f>IF(C62="","",ABS(_xll.RSA_BAR_FORCE_AT("MY",$E$25,$C62,1,0,TRUE)))</f>
        <v/>
      </c>
      <c r="H62" s="78" t="str" cm="1">
        <f t="array" ref="H62">_xlfn.SINGLE(IF(C62="","",ABS(_xll.RSA_BAR_FORCE_AT("MY",$E$25,$C62,1,1,TRUE))))</f>
        <v/>
      </c>
      <c r="I62" s="78" t="str" cm="1">
        <f t="array" ref="I62">_xlfn.SINGLE(IF(C62="","",ABS(_xll.RSA_BAR_FORCE_AT("FX",$E$25,$C62,1,0,TRUE))))</f>
        <v/>
      </c>
      <c r="J62" s="78" t="str" cm="1">
        <f t="array" ref="J62">_xlfn.SINGLE(IF(D62="","",ABS(_xll.RSA_BAR_FORCE_AT("FX",$E$25,$C62,1,0,TRUE))))</f>
        <v/>
      </c>
      <c r="K62" s="37"/>
      <c r="L62" s="15"/>
    </row>
    <row r="63" spans="2:12" x14ac:dyDescent="0.3">
      <c r="B63" s="61">
        <v>11</v>
      </c>
      <c r="C63" s="75"/>
      <c r="D63" s="77" t="str">
        <f>IF(C63="","", _xll.RSA_CASE_DATA("NAME",C63))</f>
        <v/>
      </c>
      <c r="E63" s="78" t="str" cm="1">
        <f t="array" ref="E63">_xlfn.SINGLE(IF($C63="","",ABS(_xll.RSA_BAR_FORCE_AT("MZ",$E$25,$C63,1,0,TRUE))))</f>
        <v/>
      </c>
      <c r="F63" s="78" t="str">
        <f>IF(C63="","",ABS(_xll.RSA_BAR_FORCE_AT("MZ",$E$25,$C63,1,1,TRUE)))</f>
        <v/>
      </c>
      <c r="G63" s="78" t="str">
        <f>IF(C63="","",ABS(_xll.RSA_BAR_FORCE_AT("MY",$E$25,$C63,1,0,TRUE)))</f>
        <v/>
      </c>
      <c r="H63" s="78" t="str" cm="1">
        <f t="array" ref="H63">_xlfn.SINGLE(IF(C63="","",ABS(_xll.RSA_BAR_FORCE_AT("MY",$E$25,$C63,1,1,TRUE))))</f>
        <v/>
      </c>
      <c r="I63" s="78" t="str" cm="1">
        <f t="array" ref="I63">_xlfn.SINGLE(IF(C63="","",ABS(_xll.RSA_BAR_FORCE_AT("FX",$E$25,$C63,1,0,TRUE))))</f>
        <v/>
      </c>
      <c r="J63" s="78" t="str" cm="1">
        <f t="array" ref="J63">_xlfn.SINGLE(IF(D63="","",ABS(_xll.RSA_BAR_FORCE_AT("FX",$E$25,$C63,1,0,TRUE))))</f>
        <v/>
      </c>
      <c r="K63" s="37"/>
      <c r="L63" s="15"/>
    </row>
    <row r="64" spans="2:12" x14ac:dyDescent="0.3">
      <c r="B64" s="61">
        <v>12</v>
      </c>
      <c r="C64" s="75"/>
      <c r="D64" s="77" t="str">
        <f>IF(C64="","", _xll.RSA_CASE_DATA("NAME",C64))</f>
        <v/>
      </c>
      <c r="E64" s="78" t="str" cm="1">
        <f t="array" ref="E64">_xlfn.SINGLE(IF($C64="","",ABS(_xll.RSA_BAR_FORCE_AT("MZ",$E$25,$C64,1,0,TRUE))))</f>
        <v/>
      </c>
      <c r="F64" s="78" t="str">
        <f>IF(C64="","",ABS(_xll.RSA_BAR_FORCE_AT("MZ",$E$25,$C64,1,1,TRUE)))</f>
        <v/>
      </c>
      <c r="G64" s="78" t="str">
        <f>IF(C64="","",ABS(_xll.RSA_BAR_FORCE_AT("MY",$E$25,$C64,1,0,TRUE)))</f>
        <v/>
      </c>
      <c r="H64" s="78" t="str" cm="1">
        <f t="array" ref="H64">_xlfn.SINGLE(IF(C64="","",ABS(_xll.RSA_BAR_FORCE_AT("MY",$E$25,$C64,1,1,TRUE))))</f>
        <v/>
      </c>
      <c r="I64" s="78" t="str" cm="1">
        <f t="array" ref="I64">_xlfn.SINGLE(IF(C64="","",ABS(_xll.RSA_BAR_FORCE_AT("FX",$E$25,$C64,1,0,TRUE))))</f>
        <v/>
      </c>
      <c r="J64" s="78" t="str" cm="1">
        <f t="array" ref="J64">_xlfn.SINGLE(IF(D64="","",ABS(_xll.RSA_BAR_FORCE_AT("FX",$E$25,$C64,1,0,TRUE))))</f>
        <v/>
      </c>
      <c r="K64" s="37"/>
      <c r="L64" s="15"/>
    </row>
    <row r="65" spans="2:12" x14ac:dyDescent="0.3">
      <c r="B65" s="61">
        <v>13</v>
      </c>
      <c r="C65" s="75"/>
      <c r="D65" s="77" t="str">
        <f>IF(C65="","", _xll.RSA_CASE_DATA("NAME",C65))</f>
        <v/>
      </c>
      <c r="E65" s="78" t="str" cm="1">
        <f t="array" ref="E65">_xlfn.SINGLE(IF($C65="","",ABS(_xll.RSA_BAR_FORCE_AT("MZ",$E$25,$C65,1,0,TRUE))))</f>
        <v/>
      </c>
      <c r="F65" s="78" t="str">
        <f>IF(C65="","",ABS(_xll.RSA_BAR_FORCE_AT("MZ",$E$25,$C65,1,1,TRUE)))</f>
        <v/>
      </c>
      <c r="G65" s="78" t="str">
        <f>IF(C65="","",ABS(_xll.RSA_BAR_FORCE_AT("MY",$E$25,$C65,1,0,TRUE)))</f>
        <v/>
      </c>
      <c r="H65" s="78" t="str" cm="1">
        <f t="array" ref="H65">_xlfn.SINGLE(IF(C65="","",ABS(_xll.RSA_BAR_FORCE_AT("MY",$E$25,$C65,1,1,TRUE))))</f>
        <v/>
      </c>
      <c r="I65" s="78" t="str" cm="1">
        <f t="array" ref="I65">_xlfn.SINGLE(IF(C65="","",ABS(_xll.RSA_BAR_FORCE_AT("FX",$E$25,$C65,1,0,TRUE))))</f>
        <v/>
      </c>
      <c r="J65" s="78" t="str" cm="1">
        <f t="array" ref="J65">_xlfn.SINGLE(IF(D65="","",ABS(_xll.RSA_BAR_FORCE_AT("FX",$E$25,$C65,1,0,TRUE))))</f>
        <v/>
      </c>
      <c r="K65" s="37"/>
      <c r="L65" s="15"/>
    </row>
    <row r="66" spans="2:12" x14ac:dyDescent="0.3">
      <c r="B66" s="61">
        <v>14</v>
      </c>
      <c r="C66" s="75"/>
      <c r="D66" s="77" t="str">
        <f>IF(C66="","", _xll.RSA_CASE_DATA("NAME",C66))</f>
        <v/>
      </c>
      <c r="E66" s="78" t="str" cm="1">
        <f t="array" ref="E66">_xlfn.SINGLE(IF($C66="","",ABS(_xll.RSA_BAR_FORCE_AT("MZ",$E$25,$C66,1,0,TRUE))))</f>
        <v/>
      </c>
      <c r="F66" s="78" t="str">
        <f>IF(C66="","",ABS(_xll.RSA_BAR_FORCE_AT("MZ",$E$25,$C66,1,1,TRUE)))</f>
        <v/>
      </c>
      <c r="G66" s="78" t="str">
        <f>IF(C66="","",ABS(_xll.RSA_BAR_FORCE_AT("MY",$E$25,$C66,1,0,TRUE)))</f>
        <v/>
      </c>
      <c r="H66" s="78" t="str" cm="1">
        <f t="array" ref="H66">_xlfn.SINGLE(IF(C66="","",ABS(_xll.RSA_BAR_FORCE_AT("MY",$E$25,$C66,1,1,TRUE))))</f>
        <v/>
      </c>
      <c r="I66" s="78" t="str" cm="1">
        <f t="array" ref="I66">_xlfn.SINGLE(IF(C66="","",ABS(_xll.RSA_BAR_FORCE_AT("FX",$E$25,$C66,1,0,TRUE))))</f>
        <v/>
      </c>
      <c r="J66" s="78" t="str" cm="1">
        <f t="array" ref="J66">_xlfn.SINGLE(IF(D66="","",ABS(_xll.RSA_BAR_FORCE_AT("FX",$E$25,$C66,1,0,TRUE))))</f>
        <v/>
      </c>
      <c r="K66" s="37"/>
      <c r="L66" s="15"/>
    </row>
    <row r="67" spans="2:12" x14ac:dyDescent="0.3">
      <c r="B67" s="61">
        <v>15</v>
      </c>
      <c r="C67" s="75"/>
      <c r="D67" s="77" t="str">
        <f>IF(C67="","", _xll.RSA_CASE_DATA("NAME",C67))</f>
        <v/>
      </c>
      <c r="E67" s="78" t="str" cm="1">
        <f t="array" ref="E67">_xlfn.SINGLE(IF($C67="","",ABS(_xll.RSA_BAR_FORCE_AT("MZ",$E$25,$C67,1,0,TRUE))))</f>
        <v/>
      </c>
      <c r="F67" s="78" t="str">
        <f>IF(C67="","",ABS(_xll.RSA_BAR_FORCE_AT("MZ",$E$25,$C67,1,1,TRUE)))</f>
        <v/>
      </c>
      <c r="G67" s="78" t="str">
        <f>IF(C67="","",ABS(_xll.RSA_BAR_FORCE_AT("MY",$E$25,$C67,1,0,TRUE)))</f>
        <v/>
      </c>
      <c r="H67" s="78" t="str" cm="1">
        <f t="array" ref="H67">_xlfn.SINGLE(IF(C67="","",ABS(_xll.RSA_BAR_FORCE_AT("MY",$E$25,$C67,1,1,TRUE))))</f>
        <v/>
      </c>
      <c r="I67" s="78" t="str" cm="1">
        <f t="array" ref="I67">_xlfn.SINGLE(IF(C67="","",ABS(_xll.RSA_BAR_FORCE_AT("FX",$E$25,$C67,1,0,TRUE))))</f>
        <v/>
      </c>
      <c r="J67" s="78" t="str" cm="1">
        <f t="array" ref="J67">_xlfn.SINGLE(IF(D67="","",ABS(_xll.RSA_BAR_FORCE_AT("FX",$E$25,$C67,1,0,TRUE))))</f>
        <v/>
      </c>
      <c r="K67" s="37"/>
      <c r="L67" s="15"/>
    </row>
    <row r="68" spans="2:12" x14ac:dyDescent="0.3">
      <c r="B68" s="61">
        <v>16</v>
      </c>
      <c r="C68" s="75"/>
      <c r="D68" s="77" t="str">
        <f>IF(C68="","", _xll.RSA_CASE_DATA("NAME",C68))</f>
        <v/>
      </c>
      <c r="E68" s="78" t="str" cm="1">
        <f t="array" ref="E68">_xlfn.SINGLE(IF($C68="","",ABS(_xll.RSA_BAR_FORCE_AT("MZ",$E$25,$C68,1,0,TRUE))))</f>
        <v/>
      </c>
      <c r="F68" s="78" t="str">
        <f>IF(C68="","",ABS(_xll.RSA_BAR_FORCE_AT("MZ",$E$25,$C68,1,1,TRUE)))</f>
        <v/>
      </c>
      <c r="G68" s="78" t="str">
        <f>IF(C68="","",ABS(_xll.RSA_BAR_FORCE_AT("MY",$E$25,$C68,1,0,TRUE)))</f>
        <v/>
      </c>
      <c r="H68" s="78" t="str" cm="1">
        <f t="array" ref="H68">_xlfn.SINGLE(IF(C68="","",ABS(_xll.RSA_BAR_FORCE_AT("MY",$E$25,$C68,1,1,TRUE))))</f>
        <v/>
      </c>
      <c r="I68" s="78" t="str" cm="1">
        <f t="array" ref="I68">_xlfn.SINGLE(IF(C68="","",ABS(_xll.RSA_BAR_FORCE_AT("FX",$E$25,$C68,1,0,TRUE))))</f>
        <v/>
      </c>
      <c r="J68" s="78" t="str" cm="1">
        <f t="array" ref="J68">_xlfn.SINGLE(IF(D68="","",ABS(_xll.RSA_BAR_FORCE_AT("FX",$E$25,$C68,1,0,TRUE))))</f>
        <v/>
      </c>
      <c r="K68" s="37"/>
      <c r="L68" s="15"/>
    </row>
    <row r="69" spans="2:12" x14ac:dyDescent="0.3">
      <c r="B69" s="61">
        <v>17</v>
      </c>
      <c r="C69" s="75"/>
      <c r="D69" s="77" t="str">
        <f>IF(C69="","", _xll.RSA_CASE_DATA("NAME",C69))</f>
        <v/>
      </c>
      <c r="E69" s="78" t="str" cm="1">
        <f t="array" ref="E69">_xlfn.SINGLE(IF($C69="","",ABS(_xll.RSA_BAR_FORCE_AT("MZ",$E$25,$C69,1,0,TRUE))))</f>
        <v/>
      </c>
      <c r="F69" s="78" t="str">
        <f>IF(C69="","",ABS(_xll.RSA_BAR_FORCE_AT("MZ",$E$25,$C69,1,1,TRUE)))</f>
        <v/>
      </c>
      <c r="G69" s="78" t="str">
        <f>IF(C69="","",ABS(_xll.RSA_BAR_FORCE_AT("MY",$E$25,$C69,1,0,TRUE)))</f>
        <v/>
      </c>
      <c r="H69" s="78" t="str" cm="1">
        <f t="array" ref="H69">_xlfn.SINGLE(IF(C69="","",ABS(_xll.RSA_BAR_FORCE_AT("MY",$E$25,$C69,1,1,TRUE))))</f>
        <v/>
      </c>
      <c r="I69" s="78" t="str" cm="1">
        <f t="array" ref="I69">_xlfn.SINGLE(IF(C69="","",ABS(_xll.RSA_BAR_FORCE_AT("FX",$E$25,$C69,1,0,TRUE))))</f>
        <v/>
      </c>
      <c r="J69" s="78" t="str" cm="1">
        <f t="array" ref="J69">_xlfn.SINGLE(IF(D69="","",ABS(_xll.RSA_BAR_FORCE_AT("FX",$E$25,$C69,1,0,TRUE))))</f>
        <v/>
      </c>
      <c r="K69" s="37"/>
      <c r="L69" s="15"/>
    </row>
    <row r="70" spans="2:12" x14ac:dyDescent="0.3">
      <c r="B70" s="61">
        <v>18</v>
      </c>
      <c r="C70" s="75"/>
      <c r="D70" s="77" t="str">
        <f>IF(C70="","", _xll.RSA_CASE_DATA("NAME",C70))</f>
        <v/>
      </c>
      <c r="E70" s="78" t="str" cm="1">
        <f t="array" ref="E70">_xlfn.SINGLE(IF($C70="","",ABS(_xll.RSA_BAR_FORCE_AT("MZ",$E$25,$C70,1,0,TRUE))))</f>
        <v/>
      </c>
      <c r="F70" s="78" t="str">
        <f>IF(C70="","",ABS(_xll.RSA_BAR_FORCE_AT("MZ",$E$25,$C70,1,1,TRUE)))</f>
        <v/>
      </c>
      <c r="G70" s="78" t="str">
        <f>IF(C70="","",ABS(_xll.RSA_BAR_FORCE_AT("MY",$E$25,$C70,1,0,TRUE)))</f>
        <v/>
      </c>
      <c r="H70" s="78" t="str" cm="1">
        <f t="array" ref="H70">_xlfn.SINGLE(IF(C70="","",ABS(_xll.RSA_BAR_FORCE_AT("MY",$E$25,$C70,1,1,TRUE))))</f>
        <v/>
      </c>
      <c r="I70" s="78" t="str" cm="1">
        <f t="array" ref="I70">_xlfn.SINGLE(IF(C70="","",ABS(_xll.RSA_BAR_FORCE_AT("FX",$E$25,$C70,1,0,TRUE))))</f>
        <v/>
      </c>
      <c r="J70" s="78" t="str" cm="1">
        <f t="array" ref="J70">_xlfn.SINGLE(IF(D70="","",ABS(_xll.RSA_BAR_FORCE_AT("FX",$E$25,$C70,1,0,TRUE))))</f>
        <v/>
      </c>
      <c r="K70" s="37"/>
      <c r="L70" s="15"/>
    </row>
    <row r="71" spans="2:12" x14ac:dyDescent="0.3">
      <c r="B71" s="61">
        <v>19</v>
      </c>
      <c r="C71" s="75"/>
      <c r="D71" s="77" t="str">
        <f>IF(C71="","", _xll.RSA_CASE_DATA("NAME",C71))</f>
        <v/>
      </c>
      <c r="E71" s="78" t="str" cm="1">
        <f t="array" ref="E71">_xlfn.SINGLE(IF($C71="","",ABS(_xll.RSA_BAR_FORCE_AT("MZ",$E$25,$C71,1,0,TRUE))))</f>
        <v/>
      </c>
      <c r="F71" s="78" t="str">
        <f>IF(C71="","",ABS(_xll.RSA_BAR_FORCE_AT("MZ",$E$25,$C71,1,1,TRUE)))</f>
        <v/>
      </c>
      <c r="G71" s="78" t="str">
        <f>IF(C71="","",ABS(_xll.RSA_BAR_FORCE_AT("MY",$E$25,$C71,1,0,TRUE)))</f>
        <v/>
      </c>
      <c r="H71" s="78" t="str" cm="1">
        <f t="array" ref="H71">_xlfn.SINGLE(IF(C71="","",ABS(_xll.RSA_BAR_FORCE_AT("MY",$E$25,$C71,1,1,TRUE))))</f>
        <v/>
      </c>
      <c r="I71" s="78" t="str" cm="1">
        <f t="array" ref="I71">_xlfn.SINGLE(IF(C71="","",ABS(_xll.RSA_BAR_FORCE_AT("FX",$E$25,$C71,1,0,TRUE))))</f>
        <v/>
      </c>
      <c r="J71" s="78" t="str" cm="1">
        <f t="array" ref="J71">_xlfn.SINGLE(IF(D71="","",ABS(_xll.RSA_BAR_FORCE_AT("FX",$E$25,$C71,1,0,TRUE))))</f>
        <v/>
      </c>
      <c r="K71" s="37"/>
      <c r="L71" s="15"/>
    </row>
    <row r="72" spans="2:12" x14ac:dyDescent="0.3">
      <c r="B72" s="61">
        <v>20</v>
      </c>
      <c r="C72" s="75"/>
      <c r="D72" s="77" t="str">
        <f>IF(C72="","", _xll.RSA_CASE_DATA("NAME",C72))</f>
        <v/>
      </c>
      <c r="E72" s="78" t="str" cm="1">
        <f t="array" ref="E72">_xlfn.SINGLE(IF($C72="","",ABS(_xll.RSA_BAR_FORCE_AT("MZ",$E$25,$C72,1,0,TRUE))))</f>
        <v/>
      </c>
      <c r="F72" s="78" t="str">
        <f>IF(C72="","",ABS(_xll.RSA_BAR_FORCE_AT("MZ",$E$25,$C72,1,1,TRUE)))</f>
        <v/>
      </c>
      <c r="G72" s="78" t="str">
        <f>IF(C72="","",ABS(_xll.RSA_BAR_FORCE_AT("MY",$E$25,$C72,1,0,TRUE)))</f>
        <v/>
      </c>
      <c r="H72" s="78" t="str" cm="1">
        <f t="array" ref="H72">_xlfn.SINGLE(IF(C72="","",ABS(_xll.RSA_BAR_FORCE_AT("MY",$E$25,$C72,1,1,TRUE))))</f>
        <v/>
      </c>
      <c r="I72" s="78" t="str" cm="1">
        <f t="array" ref="I72">_xlfn.SINGLE(IF(C72="","",ABS(_xll.RSA_BAR_FORCE_AT("FX",$E$25,$C72,1,0,TRUE))))</f>
        <v/>
      </c>
      <c r="J72" s="78" t="str" cm="1">
        <f t="array" ref="J72">_xlfn.SINGLE(IF(D72="","",ABS(_xll.RSA_BAR_FORCE_AT("FX",$E$25,$C72,1,0,TRUE))))</f>
        <v/>
      </c>
      <c r="K72" s="37"/>
      <c r="L72" s="15"/>
    </row>
    <row r="73" spans="2:12" x14ac:dyDescent="0.3">
      <c r="B73" s="52"/>
      <c r="C73" s="14"/>
      <c r="D73" s="14"/>
      <c r="E73" s="14"/>
      <c r="F73" s="14"/>
      <c r="G73" s="14"/>
      <c r="H73" s="14"/>
      <c r="I73" s="14"/>
      <c r="J73" s="14"/>
      <c r="K73" s="14"/>
      <c r="L73" s="15"/>
    </row>
    <row r="74" spans="2:12" x14ac:dyDescent="0.3">
      <c r="B74" s="296" t="s">
        <v>148</v>
      </c>
      <c r="C74" s="297"/>
      <c r="D74" s="297"/>
      <c r="E74" s="297"/>
      <c r="F74" s="297"/>
      <c r="G74" s="297"/>
      <c r="H74" s="297"/>
      <c r="I74" s="297"/>
      <c r="J74" s="297"/>
      <c r="K74" s="297"/>
      <c r="L74" s="308"/>
    </row>
    <row r="75" spans="2:12" x14ac:dyDescent="0.3">
      <c r="B75" s="52" t="s">
        <v>141</v>
      </c>
      <c r="C75" s="14" t="s">
        <v>142</v>
      </c>
      <c r="D75" s="14" t="s">
        <v>143</v>
      </c>
      <c r="E75" s="14" t="s">
        <v>144</v>
      </c>
      <c r="F75" s="14" t="s">
        <v>72</v>
      </c>
      <c r="G75" s="14" t="s">
        <v>112</v>
      </c>
      <c r="H75" s="14" t="s">
        <v>113</v>
      </c>
      <c r="I75" s="14"/>
      <c r="J75" s="14"/>
      <c r="K75" s="14"/>
      <c r="L75" s="15"/>
    </row>
    <row r="76" spans="2:12" x14ac:dyDescent="0.3">
      <c r="B76" s="52" t="s">
        <v>135</v>
      </c>
      <c r="C76" s="57">
        <f>MATCH(D76,E53:E72)</f>
        <v>1</v>
      </c>
      <c r="D76" s="58">
        <f>MAX(E53:E72)</f>
        <v>0.17182181103325092</v>
      </c>
      <c r="E76" s="58" cm="1">
        <f t="array" ref="E76">INDEX(G53:G72,C76)</f>
        <v>9.0344430092893813</v>
      </c>
      <c r="F76" s="58" cm="1">
        <f t="array" ref="F76">INDEX(I53:I72,C76)</f>
        <v>956.8799867913151</v>
      </c>
      <c r="G76" s="57">
        <f>D76/F76/E$31*1000</f>
        <v>5.985488023753019E-4</v>
      </c>
      <c r="H76" s="57">
        <f>E76/F76/E$32*1000</f>
        <v>1.4525482069932434E-2</v>
      </c>
      <c r="I76" s="14"/>
      <c r="J76" s="14"/>
      <c r="K76" s="14"/>
      <c r="L76" s="15"/>
    </row>
    <row r="77" spans="2:12" x14ac:dyDescent="0.3">
      <c r="B77" s="52" t="s">
        <v>136</v>
      </c>
      <c r="C77" s="57">
        <f>MATCH(D77,F53:F72)</f>
        <v>1</v>
      </c>
      <c r="D77" s="58">
        <f>MAX(F53:F72)</f>
        <v>2.1047424012185778</v>
      </c>
      <c r="E77" s="58" cm="1">
        <f t="array" ref="E77">INDEX(H53:H72,C77)</f>
        <v>10.751016621414848</v>
      </c>
      <c r="F77" s="58" cm="1">
        <f t="array" ref="F77">INDEX(J53:J72,C77)</f>
        <v>956.8799867913151</v>
      </c>
      <c r="G77" s="57">
        <f t="shared" ref="G77:G81" si="0">D77/F77/E$31*1000</f>
        <v>7.3319623159722276E-3</v>
      </c>
      <c r="H77" s="57">
        <f t="shared" ref="H77:H81" si="1">E77/F77/E$32*1000</f>
        <v>1.7285370997120308E-2</v>
      </c>
      <c r="I77" s="14"/>
      <c r="J77" s="14"/>
      <c r="K77" s="14"/>
      <c r="L77" s="15"/>
    </row>
    <row r="78" spans="2:12" x14ac:dyDescent="0.3">
      <c r="B78" s="52" t="s">
        <v>137</v>
      </c>
      <c r="C78" s="57">
        <f>MATCH(E78,G53:G72)</f>
        <v>1</v>
      </c>
      <c r="D78" s="58" cm="1">
        <f t="array" ref="D78">INDEX(E53:E72,C78)</f>
        <v>0.17182181103325092</v>
      </c>
      <c r="E78" s="58">
        <f>MAX(G53:G72)</f>
        <v>9.0344430092893813</v>
      </c>
      <c r="F78" s="58" cm="1">
        <f t="array" ref="F78">INDEX(I53:I72,C78)</f>
        <v>956.8799867913151</v>
      </c>
      <c r="G78" s="57">
        <f t="shared" si="0"/>
        <v>5.985488023753019E-4</v>
      </c>
      <c r="H78" s="57">
        <f t="shared" si="1"/>
        <v>1.4525482069932434E-2</v>
      </c>
      <c r="I78" s="14"/>
      <c r="J78" s="14"/>
      <c r="K78" s="14"/>
      <c r="L78" s="15"/>
    </row>
    <row r="79" spans="2:12" x14ac:dyDescent="0.3">
      <c r="B79" s="52" t="s">
        <v>138</v>
      </c>
      <c r="C79" s="57">
        <f>MATCH(E79,H53:H72)</f>
        <v>1</v>
      </c>
      <c r="D79" s="58" cm="1">
        <f t="array" ref="D79">INDEX(F53:F72,C79)</f>
        <v>2.1047424012185778</v>
      </c>
      <c r="E79" s="58">
        <f>MAX(H53:H72)</f>
        <v>10.751016621414848</v>
      </c>
      <c r="F79" s="58" cm="1">
        <f t="array" ref="F79">INDEX(J53:J72,C79)</f>
        <v>956.8799867913151</v>
      </c>
      <c r="G79" s="57">
        <f t="shared" si="0"/>
        <v>7.3319623159722276E-3</v>
      </c>
      <c r="H79" s="57">
        <f t="shared" si="1"/>
        <v>1.7285370997120308E-2</v>
      </c>
      <c r="I79" s="14"/>
      <c r="J79" s="14"/>
      <c r="K79" s="14"/>
      <c r="L79" s="15"/>
    </row>
    <row r="80" spans="2:12" x14ac:dyDescent="0.3">
      <c r="B80" s="52" t="s">
        <v>139</v>
      </c>
      <c r="C80" s="57">
        <f>MATCH(F80,I53:I72)</f>
        <v>1</v>
      </c>
      <c r="D80" s="58" cm="1">
        <f t="array" ref="D80">INDEX(E53:E72,C80)</f>
        <v>0.17182181103325092</v>
      </c>
      <c r="E80" s="58" cm="1">
        <f t="array" ref="E80">INDEX(G53:G72,C80)</f>
        <v>9.0344430092893813</v>
      </c>
      <c r="F80" s="58">
        <f>MAX(I53:I72)</f>
        <v>956.8799867913151</v>
      </c>
      <c r="G80" s="57">
        <f t="shared" si="0"/>
        <v>5.985488023753019E-4</v>
      </c>
      <c r="H80" s="57">
        <f t="shared" si="1"/>
        <v>1.4525482069932434E-2</v>
      </c>
      <c r="I80" s="14"/>
      <c r="J80" s="14"/>
      <c r="K80" s="14"/>
      <c r="L80" s="15"/>
    </row>
    <row r="81" spans="2:12" x14ac:dyDescent="0.3">
      <c r="B81" s="52" t="s">
        <v>140</v>
      </c>
      <c r="C81" s="57">
        <f>MATCH(F81,J53:J72)</f>
        <v>1</v>
      </c>
      <c r="D81" s="58" cm="1">
        <f t="array" ref="D81">INDEX(F53:F72,C81)</f>
        <v>2.1047424012185778</v>
      </c>
      <c r="E81" s="58" cm="1">
        <f t="array" ref="E81">INDEX(H53:H72,C81)</f>
        <v>10.751016621414848</v>
      </c>
      <c r="F81" s="58">
        <f>MAX(J53:J72)</f>
        <v>956.8799867913151</v>
      </c>
      <c r="G81" s="57">
        <f t="shared" si="0"/>
        <v>7.3319623159722276E-3</v>
      </c>
      <c r="H81" s="57">
        <f t="shared" si="1"/>
        <v>1.7285370997120308E-2</v>
      </c>
      <c r="I81" s="14"/>
      <c r="J81" s="14"/>
      <c r="K81" s="14"/>
      <c r="L81" s="15"/>
    </row>
    <row r="82" spans="2:12" x14ac:dyDescent="0.3">
      <c r="B82" s="52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2:12" x14ac:dyDescent="0.3">
      <c r="B83" s="52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2:12" x14ac:dyDescent="0.3">
      <c r="B84" s="291" t="s">
        <v>114</v>
      </c>
      <c r="C84" s="292"/>
      <c r="D84" s="292"/>
      <c r="E84" s="14">
        <f>E32/E31</f>
        <v>2.1666666666666665</v>
      </c>
      <c r="F84" s="14"/>
      <c r="G84" s="14"/>
      <c r="H84" s="14"/>
      <c r="I84" s="14"/>
      <c r="J84" s="14"/>
      <c r="K84" s="14"/>
      <c r="L84" s="15"/>
    </row>
    <row r="85" spans="2:12" x14ac:dyDescent="0.3">
      <c r="B85" s="52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2:12" x14ac:dyDescent="0.3">
      <c r="B86" s="52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2:12" x14ac:dyDescent="0.3">
      <c r="B87" s="52" t="s">
        <v>141</v>
      </c>
      <c r="C87" s="14" t="s">
        <v>145</v>
      </c>
      <c r="D87" s="14" t="s">
        <v>147</v>
      </c>
      <c r="E87" s="14" t="s">
        <v>115</v>
      </c>
      <c r="F87" s="14" t="s">
        <v>146</v>
      </c>
      <c r="G87" s="14" t="s">
        <v>116</v>
      </c>
      <c r="H87" s="14"/>
      <c r="I87" s="14"/>
      <c r="J87" s="14"/>
      <c r="K87" s="14"/>
      <c r="L87" s="15"/>
    </row>
    <row r="88" spans="2:12" x14ac:dyDescent="0.3">
      <c r="B88" s="52" t="s">
        <v>135</v>
      </c>
      <c r="C88" s="57">
        <f t="shared" ref="C88:C93" si="2">F76/D$20/E$31/E$32*1000</f>
        <v>0.44609789594000704</v>
      </c>
      <c r="D88" s="57">
        <f t="shared" ref="D88:D93" si="3">MAX(0.6,MIN(0.8,0.8-0.5*(C88*D$20/D$17-0.2)))</f>
        <v>0.8</v>
      </c>
      <c r="E88" s="57">
        <f t="shared" ref="E88:E93" si="4">MAX(G76:H76)+D88*MIN(G76:H76)</f>
        <v>1.5004321111832676E-2</v>
      </c>
      <c r="F88" s="57">
        <f>IF(G76&gt;H76,$E$84,1/$E$84)</f>
        <v>0.46153846153846156</v>
      </c>
      <c r="G88" s="79" cm="1">
        <f t="array" ref="G88">[1]!AxialForceAndBendingSectionDesign_UF(C88,C88*E88,$I$17/$I$18,F$88,D$18,E$8,15)</f>
        <v>8.0000000000000002E-3</v>
      </c>
      <c r="H88" s="14"/>
      <c r="I88" s="14"/>
      <c r="J88" s="14"/>
      <c r="K88" s="14"/>
      <c r="L88" s="15"/>
    </row>
    <row r="89" spans="2:12" x14ac:dyDescent="0.3">
      <c r="B89" s="52" t="s">
        <v>136</v>
      </c>
      <c r="C89" s="57">
        <f t="shared" si="2"/>
        <v>0.44609789594000704</v>
      </c>
      <c r="D89" s="57">
        <f t="shared" si="3"/>
        <v>0.8</v>
      </c>
      <c r="E89" s="57">
        <f t="shared" si="4"/>
        <v>2.3150940849898091E-2</v>
      </c>
      <c r="F89" s="57">
        <f>IF(G77&gt;H77,$E$84,1/$E$84)</f>
        <v>0.46153846153846156</v>
      </c>
      <c r="G89" s="79" cm="1">
        <f t="array" ref="G89">[1]!AxialForceAndBendingSectionDesign_UF(C89,C89*E89,$I$17/$I$18,F$88,D$18,E$8,15)</f>
        <v>8.0000000000000002E-3</v>
      </c>
      <c r="H89" s="14"/>
      <c r="I89" s="14"/>
      <c r="J89" s="14"/>
      <c r="K89" s="14"/>
      <c r="L89" s="15"/>
    </row>
    <row r="90" spans="2:12" x14ac:dyDescent="0.3">
      <c r="B90" s="52" t="s">
        <v>137</v>
      </c>
      <c r="C90" s="57">
        <f t="shared" si="2"/>
        <v>0.44609789594000704</v>
      </c>
      <c r="D90" s="57">
        <f t="shared" si="3"/>
        <v>0.8</v>
      </c>
      <c r="E90" s="57">
        <f t="shared" si="4"/>
        <v>1.5004321111832676E-2</v>
      </c>
      <c r="F90" s="57">
        <f t="shared" ref="F90:F93" si="5">IF(G78&gt;H78,$E$84,1/$E$84)</f>
        <v>0.46153846153846156</v>
      </c>
      <c r="G90" s="79" cm="1">
        <f t="array" ref="G90">[1]!AxialForceAndBendingSectionDesign_UF(C90,C90*E90,$I$17/$I$18,F$88,D$18,E$8,15)</f>
        <v>8.0000000000000002E-3</v>
      </c>
      <c r="H90" s="14"/>
      <c r="I90" s="14"/>
      <c r="J90" s="14"/>
      <c r="K90" s="14"/>
      <c r="L90" s="15"/>
    </row>
    <row r="91" spans="2:12" x14ac:dyDescent="0.3">
      <c r="B91" s="52" t="s">
        <v>138</v>
      </c>
      <c r="C91" s="57">
        <f t="shared" si="2"/>
        <v>0.44609789594000704</v>
      </c>
      <c r="D91" s="57">
        <f t="shared" si="3"/>
        <v>0.8</v>
      </c>
      <c r="E91" s="57">
        <f t="shared" si="4"/>
        <v>2.3150940849898091E-2</v>
      </c>
      <c r="F91" s="57">
        <f t="shared" si="5"/>
        <v>0.46153846153846156</v>
      </c>
      <c r="G91" s="79" cm="1">
        <f t="array" ref="G91">[1]!AxialForceAndBendingSectionDesign_UF(C91,C91*E91,$I$17/$I$18,F$88,D$18,E$8,15)</f>
        <v>8.0000000000000002E-3</v>
      </c>
      <c r="H91" s="14"/>
      <c r="I91" s="14"/>
      <c r="J91" s="14"/>
      <c r="K91" s="14"/>
      <c r="L91" s="15"/>
    </row>
    <row r="92" spans="2:12" x14ac:dyDescent="0.3">
      <c r="B92" s="52" t="s">
        <v>139</v>
      </c>
      <c r="C92" s="57">
        <f t="shared" si="2"/>
        <v>0.44609789594000704</v>
      </c>
      <c r="D92" s="57">
        <f t="shared" si="3"/>
        <v>0.8</v>
      </c>
      <c r="E92" s="57">
        <f t="shared" si="4"/>
        <v>1.5004321111832676E-2</v>
      </c>
      <c r="F92" s="57">
        <f t="shared" si="5"/>
        <v>0.46153846153846156</v>
      </c>
      <c r="G92" s="79" cm="1">
        <f t="array" ref="G92">[1]!AxialForceAndBendingSectionDesign_UF(C92,C92*E92,$I$17/$I$18,F$88,D$18,E$8,15)</f>
        <v>8.0000000000000002E-3</v>
      </c>
      <c r="H92" s="14"/>
      <c r="I92" s="14"/>
      <c r="J92" s="14"/>
      <c r="K92" s="14"/>
      <c r="L92" s="15"/>
    </row>
    <row r="93" spans="2:12" x14ac:dyDescent="0.3">
      <c r="B93" s="52" t="s">
        <v>140</v>
      </c>
      <c r="C93" s="57">
        <f t="shared" si="2"/>
        <v>0.44609789594000704</v>
      </c>
      <c r="D93" s="57">
        <f t="shared" si="3"/>
        <v>0.8</v>
      </c>
      <c r="E93" s="57">
        <f t="shared" si="4"/>
        <v>2.3150940849898091E-2</v>
      </c>
      <c r="F93" s="57">
        <f t="shared" si="5"/>
        <v>0.46153846153846156</v>
      </c>
      <c r="G93" s="79" cm="1">
        <f t="array" ref="G93">[1]!AxialForceAndBendingSectionDesign_UF(C93,C93*E93,$I$17/$I$18,F$88,D$18,E$8,15)</f>
        <v>8.0000000000000002E-3</v>
      </c>
      <c r="H93" s="14"/>
      <c r="I93" s="14"/>
      <c r="J93" s="14"/>
      <c r="K93" s="14"/>
      <c r="L93" s="15"/>
    </row>
    <row r="94" spans="2:12" x14ac:dyDescent="0.3">
      <c r="B94" s="52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2:12" x14ac:dyDescent="0.3">
      <c r="B95" s="52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2:12" ht="15" thickBot="1" x14ac:dyDescent="0.35">
      <c r="B96" s="59"/>
      <c r="C96" s="30"/>
      <c r="D96" s="30"/>
      <c r="E96" s="30"/>
      <c r="F96" s="30"/>
      <c r="G96" s="30"/>
      <c r="H96" s="30"/>
      <c r="I96" s="30"/>
      <c r="J96" s="30"/>
      <c r="K96" s="30"/>
      <c r="L96" s="31"/>
    </row>
    <row r="98" spans="2:12" ht="15" thickBot="1" x14ac:dyDescent="0.35"/>
    <row r="99" spans="2:12" x14ac:dyDescent="0.3">
      <c r="B99" s="60"/>
      <c r="C99" s="34"/>
      <c r="D99" s="34"/>
      <c r="E99" s="34"/>
      <c r="F99" s="34"/>
      <c r="G99" s="34"/>
      <c r="H99" s="34"/>
      <c r="I99" s="34"/>
      <c r="J99" s="34"/>
      <c r="K99" s="34"/>
      <c r="L99" s="10"/>
    </row>
    <row r="100" spans="2:12" x14ac:dyDescent="0.3">
      <c r="B100" s="52"/>
      <c r="C100" s="65" t="s">
        <v>67</v>
      </c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2:12" x14ac:dyDescent="0.3">
      <c r="B101" s="52"/>
      <c r="C101" s="74" t="s">
        <v>150</v>
      </c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2:12" x14ac:dyDescent="0.3">
      <c r="B102" s="52"/>
      <c r="C102" s="14" t="s">
        <v>151</v>
      </c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2:12" x14ac:dyDescent="0.3">
      <c r="B103" s="52"/>
      <c r="C103" s="14" t="s">
        <v>152</v>
      </c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2:12" x14ac:dyDescent="0.3">
      <c r="B104" s="52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2:12" x14ac:dyDescent="0.3">
      <c r="B105" s="52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2:12" x14ac:dyDescent="0.3">
      <c r="B106" s="52"/>
      <c r="C106" s="14" t="s">
        <v>116</v>
      </c>
      <c r="D106" s="66">
        <f>MAX(G88:G93)</f>
        <v>8.0000000000000002E-3</v>
      </c>
      <c r="E106" s="14"/>
      <c r="F106" s="14"/>
      <c r="G106" s="14"/>
      <c r="H106" s="14"/>
      <c r="I106" s="14"/>
      <c r="J106" s="14"/>
      <c r="K106" s="14"/>
      <c r="L106" s="15"/>
    </row>
    <row r="107" spans="2:12" x14ac:dyDescent="0.3">
      <c r="B107" s="52"/>
      <c r="C107" s="14" t="s">
        <v>117</v>
      </c>
      <c r="D107" s="67">
        <f>MAX(D106*D19/I21,E13)</f>
        <v>0.01</v>
      </c>
      <c r="E107" s="14"/>
      <c r="F107" s="14"/>
      <c r="G107" s="14"/>
      <c r="H107" s="14"/>
      <c r="I107" s="14"/>
      <c r="J107" s="14"/>
      <c r="K107" s="14"/>
      <c r="L107" s="15"/>
    </row>
    <row r="108" spans="2:12" x14ac:dyDescent="0.3">
      <c r="B108" s="52"/>
      <c r="C108" s="14" t="s">
        <v>118</v>
      </c>
      <c r="D108" s="68">
        <f>D107*E31*E32</f>
        <v>1950</v>
      </c>
      <c r="E108" s="14"/>
      <c r="F108" s="14"/>
      <c r="G108" s="14"/>
      <c r="H108" s="14"/>
      <c r="I108" s="14"/>
      <c r="J108" s="14"/>
      <c r="K108" s="14"/>
      <c r="L108" s="15"/>
    </row>
    <row r="109" spans="2:12" x14ac:dyDescent="0.3">
      <c r="B109" s="52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2:12" x14ac:dyDescent="0.3">
      <c r="B110" s="52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2:12" x14ac:dyDescent="0.3">
      <c r="B111" s="52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2:12" x14ac:dyDescent="0.3">
      <c r="B112" s="52"/>
      <c r="C112" s="65" t="s">
        <v>149</v>
      </c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2:12" x14ac:dyDescent="0.3">
      <c r="B113" s="52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2:12" x14ac:dyDescent="0.3">
      <c r="B114" s="52"/>
      <c r="C114" s="282" t="s">
        <v>302</v>
      </c>
      <c r="D114" s="282"/>
      <c r="E114" s="282"/>
      <c r="F114" s="64">
        <v>18</v>
      </c>
      <c r="G114" s="14" t="s">
        <v>73</v>
      </c>
      <c r="H114" s="69">
        <f>F114*F114*3.14/4</f>
        <v>254.34</v>
      </c>
      <c r="I114" s="14"/>
      <c r="J114" s="14"/>
      <c r="K114" s="14"/>
      <c r="L114" s="15"/>
    </row>
    <row r="115" spans="2:12" x14ac:dyDescent="0.3">
      <c r="B115" s="52"/>
      <c r="C115" s="282" t="s">
        <v>119</v>
      </c>
      <c r="D115" s="282"/>
      <c r="E115" s="282"/>
      <c r="F115" s="64">
        <v>16</v>
      </c>
      <c r="G115" s="14" t="s">
        <v>73</v>
      </c>
      <c r="H115" s="69">
        <f>F115*F115*3.14/4</f>
        <v>200.96</v>
      </c>
      <c r="I115" s="14"/>
      <c r="J115" s="14"/>
      <c r="K115" s="14"/>
      <c r="L115" s="15"/>
    </row>
    <row r="116" spans="2:12" x14ac:dyDescent="0.3">
      <c r="B116" s="52"/>
      <c r="C116" s="282" t="s">
        <v>120</v>
      </c>
      <c r="D116" s="282"/>
      <c r="E116" s="282"/>
      <c r="F116" s="75">
        <v>8</v>
      </c>
      <c r="G116" s="14"/>
      <c r="H116" s="14"/>
      <c r="I116" s="14"/>
      <c r="J116" s="14"/>
      <c r="K116" s="14"/>
      <c r="L116" s="15"/>
    </row>
    <row r="117" spans="2:12" x14ac:dyDescent="0.3">
      <c r="B117" s="52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2:12" x14ac:dyDescent="0.3">
      <c r="B118" s="52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2:12" x14ac:dyDescent="0.3">
      <c r="B119" s="52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2:12" x14ac:dyDescent="0.3">
      <c r="B120" s="52"/>
      <c r="C120" s="70"/>
      <c r="D120" s="70"/>
      <c r="E120" s="70"/>
      <c r="F120" s="70" t="s">
        <v>72</v>
      </c>
      <c r="G120" s="70" t="s">
        <v>71</v>
      </c>
      <c r="H120" s="70" t="s">
        <v>73</v>
      </c>
      <c r="I120" s="70" t="s">
        <v>91</v>
      </c>
      <c r="J120" s="70"/>
      <c r="K120" s="14"/>
      <c r="L120" s="15"/>
    </row>
    <row r="121" spans="2:12" x14ac:dyDescent="0.3">
      <c r="B121" s="52"/>
      <c r="C121" s="305" t="s">
        <v>121</v>
      </c>
      <c r="D121" s="305"/>
      <c r="E121" s="305"/>
      <c r="F121" s="71">
        <v>4</v>
      </c>
      <c r="G121" s="72">
        <f>F114</f>
        <v>18</v>
      </c>
      <c r="H121" s="73">
        <f>F121*H114</f>
        <v>1017.36</v>
      </c>
      <c r="I121" s="73"/>
      <c r="J121" s="73"/>
      <c r="K121" s="14"/>
      <c r="L121" s="15"/>
    </row>
    <row r="122" spans="2:12" x14ac:dyDescent="0.3">
      <c r="B122" s="52"/>
      <c r="C122" s="305" t="s">
        <v>122</v>
      </c>
      <c r="D122" s="305"/>
      <c r="E122" s="305"/>
      <c r="F122" s="71">
        <f>MAX(CEILING((E32-2*E33)/E12,1)-1,CEILING((D108-H121)/H115*J122,1))</f>
        <v>2</v>
      </c>
      <c r="G122" s="72">
        <f>F115</f>
        <v>16</v>
      </c>
      <c r="H122" s="73">
        <f>F122*H115</f>
        <v>401.92</v>
      </c>
      <c r="I122" s="73">
        <f>(E32-E33*2)/(F122+1)</f>
        <v>200</v>
      </c>
      <c r="J122" s="73">
        <f>E32/(E31+E32)/2</f>
        <v>0.34210526315789475</v>
      </c>
      <c r="K122" s="14"/>
      <c r="L122" s="15"/>
    </row>
    <row r="123" spans="2:12" x14ac:dyDescent="0.3">
      <c r="B123" s="52"/>
      <c r="C123" s="305" t="s">
        <v>123</v>
      </c>
      <c r="D123" s="305"/>
      <c r="E123" s="305"/>
      <c r="F123" s="71">
        <f>MAX(CEILING((E31-2*E33)/E12,1)-1,CEILING((D108-H121-H122*2)/2/H115,1))</f>
        <v>1</v>
      </c>
      <c r="G123" s="72">
        <f>F115</f>
        <v>16</v>
      </c>
      <c r="H123" s="73">
        <f>F123*H115</f>
        <v>200.96</v>
      </c>
      <c r="I123" s="73">
        <f>(E31-E33*2)/(F123+1)</f>
        <v>125</v>
      </c>
      <c r="J123" s="73"/>
      <c r="K123" s="14"/>
      <c r="L123" s="15"/>
    </row>
    <row r="124" spans="2:12" x14ac:dyDescent="0.3">
      <c r="B124" s="52"/>
      <c r="C124" s="306" t="s">
        <v>124</v>
      </c>
      <c r="D124" s="306"/>
      <c r="E124" s="306"/>
      <c r="F124" s="37"/>
      <c r="G124" s="14"/>
      <c r="H124" s="8">
        <f>H121+(H122+H123)*2</f>
        <v>2223.12</v>
      </c>
      <c r="I124" s="14"/>
      <c r="J124" s="14"/>
      <c r="K124" s="14"/>
      <c r="L124" s="15"/>
    </row>
    <row r="125" spans="2:12" x14ac:dyDescent="0.3">
      <c r="B125" s="52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2:12" x14ac:dyDescent="0.3">
      <c r="B126" s="52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2:12" x14ac:dyDescent="0.3">
      <c r="B127" s="52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2:12" x14ac:dyDescent="0.3">
      <c r="B128" s="52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2:12" x14ac:dyDescent="0.3">
      <c r="B129" s="52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2:12" x14ac:dyDescent="0.3">
      <c r="B130" s="52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2:12" x14ac:dyDescent="0.3">
      <c r="B131" s="52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2:12" x14ac:dyDescent="0.3">
      <c r="B132" s="52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2:12" x14ac:dyDescent="0.3">
      <c r="B133" s="52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2:12" x14ac:dyDescent="0.3">
      <c r="B134" s="52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2:12" x14ac:dyDescent="0.3">
      <c r="B135" s="52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2:12" x14ac:dyDescent="0.3">
      <c r="B136" s="52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2:12" x14ac:dyDescent="0.3">
      <c r="B137" s="52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2:12" x14ac:dyDescent="0.3">
      <c r="B138" s="52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2:12" x14ac:dyDescent="0.3">
      <c r="B139" s="52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2:12" x14ac:dyDescent="0.3">
      <c r="B140" s="52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2:12" x14ac:dyDescent="0.3">
      <c r="B141" s="52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2:12" ht="15" thickBot="1" x14ac:dyDescent="0.35">
      <c r="B142" s="59"/>
      <c r="C142" s="30"/>
      <c r="D142" s="30"/>
      <c r="E142" s="30"/>
      <c r="F142" s="30"/>
      <c r="G142" s="30"/>
      <c r="H142" s="30"/>
      <c r="I142" s="30"/>
      <c r="J142" s="30"/>
      <c r="K142" s="30"/>
      <c r="L142" s="31"/>
    </row>
  </sheetData>
  <protectedRanges>
    <protectedRange sqref="E6:E13 D17 D17:D19 I17:I20 E25 C53:C72 F116" name="Range1"/>
  </protectedRanges>
  <mergeCells count="45">
    <mergeCell ref="C122:E122"/>
    <mergeCell ref="C123:E123"/>
    <mergeCell ref="C124:E124"/>
    <mergeCell ref="B50:D50"/>
    <mergeCell ref="E30:F30"/>
    <mergeCell ref="C114:E114"/>
    <mergeCell ref="C115:E115"/>
    <mergeCell ref="C116:E116"/>
    <mergeCell ref="C121:E121"/>
    <mergeCell ref="B84:D84"/>
    <mergeCell ref="B74:L74"/>
    <mergeCell ref="B33:D33"/>
    <mergeCell ref="B28:D28"/>
    <mergeCell ref="B27:D27"/>
    <mergeCell ref="B29:E29"/>
    <mergeCell ref="B31:D31"/>
    <mergeCell ref="B32:D32"/>
    <mergeCell ref="B30:D30"/>
    <mergeCell ref="B21:C21"/>
    <mergeCell ref="G21:H21"/>
    <mergeCell ref="B22:C22"/>
    <mergeCell ref="G22:H22"/>
    <mergeCell ref="G23:H23"/>
    <mergeCell ref="B18:C18"/>
    <mergeCell ref="G18:H18"/>
    <mergeCell ref="B19:C19"/>
    <mergeCell ref="G19:H19"/>
    <mergeCell ref="B20:C20"/>
    <mergeCell ref="G20:H20"/>
    <mergeCell ref="B25:D25"/>
    <mergeCell ref="B17:C17"/>
    <mergeCell ref="G17:H17"/>
    <mergeCell ref="B3:L3"/>
    <mergeCell ref="B5:E5"/>
    <mergeCell ref="G5:J12"/>
    <mergeCell ref="B6:D6"/>
    <mergeCell ref="B7:D7"/>
    <mergeCell ref="B8:D8"/>
    <mergeCell ref="B9:D9"/>
    <mergeCell ref="B10:D10"/>
    <mergeCell ref="B11:D11"/>
    <mergeCell ref="B12:D12"/>
    <mergeCell ref="B13:D13"/>
    <mergeCell ref="B16:D16"/>
    <mergeCell ref="G16:I16"/>
  </mergeCells>
  <phoneticPr fontId="1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5603-A714-46F2-9FC7-E7BCC8679C33}">
  <sheetPr codeName="Sheet5"/>
  <dimension ref="B1:P91"/>
  <sheetViews>
    <sheetView workbookViewId="0">
      <selection activeCell="H13" sqref="H13"/>
    </sheetView>
  </sheetViews>
  <sheetFormatPr defaultRowHeight="14.4" x14ac:dyDescent="0.3"/>
  <cols>
    <col min="1" max="1" width="4.44140625" style="1" customWidth="1"/>
    <col min="2" max="3" width="8.33203125" style="9" customWidth="1"/>
    <col min="4" max="4" width="9" style="9" customWidth="1"/>
    <col min="5" max="5" width="8.33203125" style="1" customWidth="1"/>
    <col min="6" max="6" width="7.77734375" style="1" customWidth="1"/>
    <col min="7" max="10" width="8.33203125" style="1" customWidth="1"/>
    <col min="11" max="11" width="5.77734375" style="1" customWidth="1"/>
    <col min="12" max="12" width="5.44140625" style="1" customWidth="1"/>
    <col min="13" max="13" width="8.33203125" style="1" customWidth="1"/>
    <col min="14" max="16384" width="8.88671875" style="1"/>
  </cols>
  <sheetData>
    <row r="1" spans="2:12" ht="15" thickBot="1" x14ac:dyDescent="0.35"/>
    <row r="2" spans="2:12" x14ac:dyDescent="0.3">
      <c r="B2" s="278" t="s">
        <v>174</v>
      </c>
      <c r="C2" s="279"/>
      <c r="D2" s="279"/>
      <c r="E2" s="279"/>
      <c r="F2" s="279"/>
      <c r="G2" s="279"/>
      <c r="H2" s="279"/>
      <c r="I2" s="279"/>
      <c r="J2" s="279"/>
      <c r="K2" s="10"/>
    </row>
    <row r="3" spans="2:12" x14ac:dyDescent="0.3">
      <c r="B3" s="11" t="s">
        <v>0</v>
      </c>
      <c r="C3" s="12"/>
      <c r="D3" s="12"/>
      <c r="E3" s="13"/>
      <c r="F3" s="14"/>
      <c r="G3" s="14"/>
      <c r="H3" s="14"/>
      <c r="I3" s="14"/>
      <c r="J3" s="14"/>
      <c r="K3" s="15"/>
    </row>
    <row r="4" spans="2:12" x14ac:dyDescent="0.3">
      <c r="B4" s="16" t="s">
        <v>1</v>
      </c>
      <c r="C4" s="17"/>
      <c r="D4" s="17"/>
      <c r="E4" s="39">
        <v>0.8</v>
      </c>
      <c r="F4" s="14"/>
      <c r="G4" s="14"/>
      <c r="H4" s="14"/>
      <c r="I4" s="14"/>
      <c r="J4" s="14"/>
      <c r="K4" s="15"/>
    </row>
    <row r="5" spans="2:12" x14ac:dyDescent="0.3">
      <c r="B5" s="16" t="s">
        <v>2</v>
      </c>
      <c r="C5" s="17"/>
      <c r="D5" s="17"/>
      <c r="E5" s="39">
        <v>0.82499999999999996</v>
      </c>
      <c r="F5" s="14"/>
      <c r="G5" s="14"/>
      <c r="H5" s="14"/>
      <c r="I5" s="14"/>
      <c r="J5" s="14"/>
      <c r="K5" s="15"/>
    </row>
    <row r="6" spans="2:12" x14ac:dyDescent="0.3">
      <c r="B6" s="16" t="s">
        <v>3</v>
      </c>
      <c r="C6" s="17"/>
      <c r="D6" s="17"/>
      <c r="E6" s="39">
        <v>0.8</v>
      </c>
      <c r="F6" s="14"/>
      <c r="G6" s="14"/>
      <c r="H6" s="14"/>
      <c r="I6" s="14"/>
      <c r="J6" s="14"/>
      <c r="K6" s="15"/>
    </row>
    <row r="7" spans="2:12" x14ac:dyDescent="0.3">
      <c r="B7" s="16" t="s">
        <v>4</v>
      </c>
      <c r="C7" s="17"/>
      <c r="D7" s="17"/>
      <c r="E7" s="40">
        <v>0.66666666666666663</v>
      </c>
      <c r="F7" s="14"/>
      <c r="G7" s="14"/>
      <c r="H7" s="14"/>
      <c r="I7" s="14"/>
      <c r="J7" s="14"/>
      <c r="K7" s="15"/>
    </row>
    <row r="8" spans="2:12" x14ac:dyDescent="0.3">
      <c r="B8" s="11" t="s">
        <v>5</v>
      </c>
      <c r="C8" s="17"/>
      <c r="D8" s="17"/>
      <c r="E8" s="13"/>
      <c r="F8" s="14"/>
      <c r="G8" s="14"/>
      <c r="H8" s="14"/>
      <c r="I8" s="14"/>
      <c r="J8" s="14"/>
      <c r="K8" s="15"/>
    </row>
    <row r="9" spans="2:12" x14ac:dyDescent="0.3">
      <c r="B9" s="16" t="s">
        <v>6</v>
      </c>
      <c r="C9" s="17"/>
      <c r="D9" s="17"/>
      <c r="E9" s="41">
        <v>30</v>
      </c>
      <c r="F9" s="14" t="s">
        <v>34</v>
      </c>
      <c r="G9" s="14"/>
      <c r="H9" s="14"/>
      <c r="I9" s="14"/>
      <c r="J9" s="14"/>
      <c r="K9" s="15"/>
    </row>
    <row r="10" spans="2:12" x14ac:dyDescent="0.3">
      <c r="B10" s="16" t="s">
        <v>7</v>
      </c>
      <c r="C10" s="17"/>
      <c r="D10" s="17"/>
      <c r="E10" s="42">
        <v>3.0000000000000001E-3</v>
      </c>
      <c r="F10" s="14"/>
      <c r="G10" s="14"/>
      <c r="H10" s="14"/>
      <c r="I10" s="14"/>
      <c r="J10" s="14"/>
      <c r="K10" s="15"/>
    </row>
    <row r="11" spans="2:12" x14ac:dyDescent="0.3">
      <c r="B11" s="16" t="s">
        <v>8</v>
      </c>
      <c r="C11" s="17"/>
      <c r="D11" s="17"/>
      <c r="E11" s="42">
        <v>1.5</v>
      </c>
      <c r="F11" s="14"/>
      <c r="G11" s="14"/>
      <c r="H11" s="14"/>
      <c r="I11" s="14"/>
      <c r="J11" s="14"/>
      <c r="K11" s="15"/>
      <c r="L11" s="7"/>
    </row>
    <row r="12" spans="2:12" x14ac:dyDescent="0.3">
      <c r="B12" s="11" t="s">
        <v>87</v>
      </c>
      <c r="C12" s="12"/>
      <c r="D12" s="17"/>
      <c r="E12" s="14"/>
      <c r="F12" s="14"/>
      <c r="G12" s="14"/>
      <c r="H12" s="14"/>
      <c r="I12" s="14"/>
      <c r="J12" s="14"/>
      <c r="K12" s="15"/>
    </row>
    <row r="13" spans="2:12" x14ac:dyDescent="0.3">
      <c r="B13" s="16" t="s">
        <v>10</v>
      </c>
      <c r="C13" s="17"/>
      <c r="D13" s="17"/>
      <c r="E13" s="41">
        <v>360</v>
      </c>
      <c r="F13" s="14" t="s">
        <v>34</v>
      </c>
      <c r="G13" s="14"/>
      <c r="H13" s="14"/>
      <c r="I13" s="14"/>
      <c r="J13" s="14"/>
      <c r="K13" s="15"/>
    </row>
    <row r="14" spans="2:12" x14ac:dyDescent="0.3">
      <c r="B14" s="16" t="s">
        <v>86</v>
      </c>
      <c r="C14" s="17"/>
      <c r="D14" s="17"/>
      <c r="E14" s="41">
        <v>240</v>
      </c>
      <c r="F14" s="14" t="s">
        <v>34</v>
      </c>
      <c r="G14" s="14"/>
      <c r="H14" s="14"/>
      <c r="I14" s="14"/>
      <c r="J14" s="14"/>
      <c r="K14" s="15"/>
    </row>
    <row r="15" spans="2:12" x14ac:dyDescent="0.3">
      <c r="B15" s="16" t="s">
        <v>11</v>
      </c>
      <c r="C15" s="17"/>
      <c r="D15" s="17"/>
      <c r="E15" s="43">
        <v>200000</v>
      </c>
      <c r="F15" s="14" t="s">
        <v>35</v>
      </c>
      <c r="G15" s="14"/>
      <c r="H15" s="14"/>
      <c r="I15" s="14"/>
      <c r="J15" s="14"/>
      <c r="K15" s="15"/>
    </row>
    <row r="16" spans="2:12" x14ac:dyDescent="0.3">
      <c r="B16" s="16" t="s">
        <v>12</v>
      </c>
      <c r="C16" s="17"/>
      <c r="D16" s="17"/>
      <c r="E16" s="42">
        <v>1.1499999999999999</v>
      </c>
      <c r="F16" s="14"/>
      <c r="G16" s="14"/>
      <c r="H16" s="14"/>
      <c r="I16" s="14"/>
      <c r="J16" s="14"/>
      <c r="K16" s="15"/>
    </row>
    <row r="17" spans="2:16" x14ac:dyDescent="0.3">
      <c r="B17" s="16"/>
      <c r="C17" s="17"/>
      <c r="D17" s="17"/>
      <c r="E17" s="14"/>
      <c r="F17" s="14"/>
      <c r="G17" s="14"/>
      <c r="H17" s="14"/>
      <c r="I17" s="14"/>
      <c r="J17" s="14"/>
      <c r="K17" s="15"/>
      <c r="N17" s="3"/>
      <c r="O17" s="3"/>
      <c r="P17" s="3"/>
    </row>
    <row r="18" spans="2:16" x14ac:dyDescent="0.3">
      <c r="B18" s="16" t="s">
        <v>13</v>
      </c>
      <c r="C18" s="17"/>
      <c r="D18" s="17"/>
      <c r="E18" s="44">
        <f>E13/E16</f>
        <v>313.04347826086956</v>
      </c>
      <c r="F18" s="14" t="s">
        <v>34</v>
      </c>
      <c r="G18" s="18" t="s">
        <v>19</v>
      </c>
      <c r="H18" s="153" t="s">
        <v>20</v>
      </c>
      <c r="I18" s="153"/>
      <c r="J18" s="14"/>
      <c r="K18" s="15"/>
      <c r="N18" s="4"/>
      <c r="O18" s="4"/>
      <c r="P18" s="5"/>
    </row>
    <row r="19" spans="2:16" x14ac:dyDescent="0.3">
      <c r="B19" s="16" t="s">
        <v>9</v>
      </c>
      <c r="C19" s="17"/>
      <c r="D19" s="17"/>
      <c r="E19" s="44">
        <f>E9*E4*E5/E11</f>
        <v>13.199999999999998</v>
      </c>
      <c r="F19" s="14" t="s">
        <v>34</v>
      </c>
      <c r="G19" s="18" t="s">
        <v>21</v>
      </c>
      <c r="H19" s="153" t="s">
        <v>22</v>
      </c>
      <c r="I19" s="153"/>
      <c r="J19" s="14"/>
      <c r="K19" s="15"/>
      <c r="N19" s="6"/>
      <c r="O19" s="6"/>
      <c r="P19" s="5"/>
    </row>
    <row r="20" spans="2:16" x14ac:dyDescent="0.3">
      <c r="B20" s="16" t="s">
        <v>88</v>
      </c>
      <c r="C20" s="17"/>
      <c r="D20" s="17"/>
      <c r="E20" s="45">
        <f>E14/E16</f>
        <v>208.69565217391306</v>
      </c>
      <c r="F20" s="14"/>
      <c r="G20" s="18" t="s">
        <v>23</v>
      </c>
      <c r="H20" s="153" t="s">
        <v>24</v>
      </c>
      <c r="I20" s="153"/>
      <c r="J20" s="14"/>
      <c r="K20" s="15"/>
      <c r="N20" s="6"/>
      <c r="O20" s="6"/>
      <c r="P20" s="5"/>
    </row>
    <row r="21" spans="2:16" x14ac:dyDescent="0.3">
      <c r="B21" s="16" t="s">
        <v>82</v>
      </c>
      <c r="C21" s="17"/>
      <c r="D21" s="17"/>
      <c r="E21" s="44">
        <f>0.24*SQRT(E9/E11)</f>
        <v>1.0733126291998991</v>
      </c>
      <c r="F21" s="14" t="s">
        <v>34</v>
      </c>
      <c r="G21" s="18" t="s">
        <v>25</v>
      </c>
      <c r="H21" s="153" t="s">
        <v>26</v>
      </c>
      <c r="I21" s="153"/>
      <c r="J21" s="14"/>
      <c r="K21" s="15"/>
    </row>
    <row r="22" spans="2:16" x14ac:dyDescent="0.3">
      <c r="B22" s="16" t="s">
        <v>83</v>
      </c>
      <c r="C22" s="17"/>
      <c r="D22" s="17"/>
      <c r="E22" s="44">
        <f>0.7*SQRT(E9/E11)</f>
        <v>3.1304951684997055</v>
      </c>
      <c r="F22" s="14" t="s">
        <v>34</v>
      </c>
      <c r="G22" s="20" t="s">
        <v>27</v>
      </c>
      <c r="H22" s="154" t="s">
        <v>28</v>
      </c>
      <c r="I22" s="154"/>
      <c r="J22" s="14"/>
      <c r="K22" s="15"/>
    </row>
    <row r="23" spans="2:16" x14ac:dyDescent="0.3">
      <c r="B23" s="16"/>
      <c r="C23" s="17"/>
      <c r="D23" s="17"/>
      <c r="E23" s="14"/>
      <c r="F23" s="14"/>
      <c r="G23" s="21" t="s">
        <v>29</v>
      </c>
      <c r="H23" s="21" t="s">
        <v>30</v>
      </c>
      <c r="I23" s="21" t="s">
        <v>31</v>
      </c>
      <c r="J23" s="22"/>
      <c r="K23" s="15"/>
      <c r="O23" s="2"/>
    </row>
    <row r="24" spans="2:16" x14ac:dyDescent="0.3">
      <c r="B24" s="23" t="s">
        <v>173</v>
      </c>
      <c r="C24" s="24"/>
      <c r="D24" s="17"/>
      <c r="E24" s="41">
        <v>79</v>
      </c>
      <c r="F24" s="14"/>
      <c r="G24" s="21" t="s">
        <v>32</v>
      </c>
      <c r="H24" s="21" t="s">
        <v>93</v>
      </c>
      <c r="I24" s="21"/>
      <c r="J24" s="22"/>
      <c r="K24" s="15"/>
    </row>
    <row r="25" spans="2:16" x14ac:dyDescent="0.3">
      <c r="B25" s="11" t="s">
        <v>49</v>
      </c>
      <c r="C25" s="17"/>
      <c r="D25" s="17"/>
      <c r="E25" s="14"/>
      <c r="F25" s="14"/>
      <c r="G25" s="14"/>
      <c r="H25" s="14"/>
      <c r="I25" s="14"/>
      <c r="J25" s="14"/>
      <c r="K25" s="15"/>
    </row>
    <row r="26" spans="2:16" x14ac:dyDescent="0.3">
      <c r="B26" s="16" t="s">
        <v>50</v>
      </c>
      <c r="C26" s="17"/>
      <c r="D26" s="17"/>
      <c r="E26" s="111" t="str">
        <f t="array" ref="E26">_xll.RSA_PANEL_DATA("NAME",E24)</f>
        <v>Floor_79</v>
      </c>
      <c r="F26" s="14"/>
      <c r="G26" s="25" t="s">
        <v>79</v>
      </c>
      <c r="H26" s="25"/>
      <c r="I26" s="25"/>
      <c r="J26" s="25"/>
      <c r="K26" s="15"/>
    </row>
    <row r="27" spans="2:16" x14ac:dyDescent="0.3">
      <c r="B27" s="16" t="s">
        <v>46</v>
      </c>
      <c r="C27" s="17"/>
      <c r="D27" s="17"/>
      <c r="E27" s="46">
        <v>1000</v>
      </c>
      <c r="F27" s="14" t="s">
        <v>38</v>
      </c>
      <c r="G27" s="25"/>
      <c r="H27" s="25" t="s">
        <v>80</v>
      </c>
      <c r="I27" s="25"/>
      <c r="J27" s="25"/>
      <c r="K27" s="15"/>
    </row>
    <row r="28" spans="2:16" x14ac:dyDescent="0.3">
      <c r="B28" s="16" t="s">
        <v>47</v>
      </c>
      <c r="C28" s="17"/>
      <c r="D28" s="17"/>
      <c r="E28" s="46">
        <f t="array" ref="E28">_xll.RSA_PANEL_THICKNESS("THICKNESS",E24)</f>
        <v>120</v>
      </c>
      <c r="F28" s="14" t="s">
        <v>38</v>
      </c>
      <c r="G28" s="26" t="s">
        <v>33</v>
      </c>
      <c r="H28" s="221">
        <f>E7*E10/(E10+E13/E15)</f>
        <v>0.41666666666666663</v>
      </c>
      <c r="I28" s="14"/>
      <c r="J28" s="14"/>
      <c r="K28" s="15"/>
    </row>
    <row r="29" spans="2:16" x14ac:dyDescent="0.3">
      <c r="B29" s="16" t="s">
        <v>37</v>
      </c>
      <c r="C29" s="17"/>
      <c r="D29" s="17"/>
      <c r="E29" s="46">
        <v>20</v>
      </c>
      <c r="F29" s="14" t="s">
        <v>38</v>
      </c>
      <c r="G29" s="14"/>
      <c r="H29" s="14"/>
      <c r="I29" s="14"/>
      <c r="J29" s="14"/>
      <c r="K29" s="15"/>
    </row>
    <row r="30" spans="2:16" x14ac:dyDescent="0.3">
      <c r="B30" s="16" t="s">
        <v>60</v>
      </c>
      <c r="C30" s="17"/>
      <c r="D30" s="17"/>
      <c r="E30" s="46">
        <f>E28-E29</f>
        <v>100</v>
      </c>
      <c r="F30" s="14" t="s">
        <v>38</v>
      </c>
      <c r="G30" s="14"/>
      <c r="H30" s="14"/>
      <c r="I30" s="14"/>
      <c r="J30" s="14"/>
      <c r="K30" s="15"/>
    </row>
    <row r="31" spans="2:16" x14ac:dyDescent="0.3">
      <c r="B31" s="16"/>
      <c r="C31" s="17"/>
      <c r="D31" s="17"/>
      <c r="E31" s="14"/>
      <c r="F31" s="14"/>
      <c r="G31" s="14"/>
      <c r="H31" s="14"/>
      <c r="I31" s="14"/>
      <c r="J31" s="14"/>
      <c r="K31" s="15"/>
    </row>
    <row r="32" spans="2:16" x14ac:dyDescent="0.3">
      <c r="B32" s="16"/>
      <c r="C32" s="17"/>
      <c r="D32" s="17"/>
      <c r="E32" s="14"/>
      <c r="F32" s="14" t="s">
        <v>175</v>
      </c>
      <c r="G32" s="14"/>
      <c r="H32" s="14" t="s">
        <v>176</v>
      </c>
      <c r="I32" s="14"/>
      <c r="J32" s="14"/>
      <c r="K32" s="15"/>
    </row>
    <row r="33" spans="2:11" x14ac:dyDescent="0.3">
      <c r="B33" s="16"/>
      <c r="C33" s="47" t="s">
        <v>51</v>
      </c>
      <c r="D33" s="47" t="s">
        <v>39</v>
      </c>
      <c r="E33" s="47" t="s">
        <v>40</v>
      </c>
      <c r="F33" s="47" t="s">
        <v>43</v>
      </c>
      <c r="G33" s="47" t="s">
        <v>42</v>
      </c>
      <c r="H33" s="47" t="s">
        <v>43</v>
      </c>
      <c r="I33" s="47" t="s">
        <v>42</v>
      </c>
      <c r="J33" s="14"/>
      <c r="K33" s="15"/>
    </row>
    <row r="34" spans="2:11" x14ac:dyDescent="0.3">
      <c r="B34" s="16"/>
      <c r="C34" s="38">
        <v>1</v>
      </c>
      <c r="D34" s="49">
        <v>105</v>
      </c>
      <c r="E34" s="48" t="str">
        <f>IF(D34="","",_xll.RSA_CASE_DATA("NAME",D34))</f>
        <v>COMB1</v>
      </c>
      <c r="F34" s="48" cm="1">
        <f t="array" ref="F34">_xlfn.SINGLE(IF(D34="","",-_xll.RSA_PANEL_FORCE_DATA("EXTREMUM","DETAILED_MXX","MAX","SMTH_PANEL","PANELS",$E$24,$D34,,,)))</f>
        <v>-13.01772441840105</v>
      </c>
      <c r="G34" s="48" cm="1">
        <f t="array" ref="G34">_xlfn.SINGLE(IF(D34="","",-_xll.RSA_PANEL_FORCE_DATA("EXTREMUM","DETAILED_MXX","MIN","SMTH_PANEL","PANELS",$E$24,$D34,,,)))</f>
        <v>5.9929098730391726</v>
      </c>
      <c r="H34" s="48" cm="1">
        <f t="array" ref="H34">_xlfn.SINGLE(IF(D34="","",-_xll.RSA_PANEL_FORCE_DATA("EXTREMUM","DETAILED_MYY","MAX","SMTH_PANEL","PANELS",$E$24,$D34,,,)))</f>
        <v>-11.33072121883959</v>
      </c>
      <c r="I34" s="48" cm="1">
        <f t="array" ref="I34">_xlfn.SINGLE(IF(D34="","",-_xll.RSA_PANEL_FORCE_DATA("EXTREMUM","DETAILED_MYY","MIN","SMTH_PANEL","PANELS",$E$24,$D34,,,)))</f>
        <v>6.6012453506636337</v>
      </c>
      <c r="J34" s="14"/>
      <c r="K34" s="15"/>
    </row>
    <row r="35" spans="2:11" x14ac:dyDescent="0.3">
      <c r="B35" s="16"/>
      <c r="C35" s="38">
        <v>2</v>
      </c>
      <c r="D35" s="49"/>
      <c r="E35" s="48"/>
      <c r="F35" s="48" t="str" cm="1">
        <f t="array" ref="F35">_xlfn.SINGLE(IF(D35="","",-_xll.RSA_PANEL_FORCE_DATA("EXTREMUM","DETAILED_MXX","MAX","SMTH_PANEL","PANELS",$E$24,$D35,,,)))</f>
        <v/>
      </c>
      <c r="G35" s="48" t="str" cm="1">
        <f t="array" ref="G35">_xlfn.SINGLE(IF(D35="","",-_xll.RSA_PANEL_FORCE_DATA("EXTREMUM","DETAILED_MXX","MIN","SMTH_PANEL","PANELS",$E$24,$D35,,,)))</f>
        <v/>
      </c>
      <c r="H35" s="48" t="str" cm="1">
        <f t="array" ref="H35">_xlfn.SINGLE(IF(D35="","",-_xll.RSA_PANEL_FORCE_DATA("EXTREMUM","DETAILED_MYY","MAX","SMTH_PANEL","PANELS",$E$24,$D35,,,)))</f>
        <v/>
      </c>
      <c r="I35" s="48" t="str" cm="1">
        <f t="array" ref="I35">_xlfn.SINGLE(IF(D35="","",-_xll.RSA_PANEL_FORCE_DATA("EXTREMUM","DETAILED_MYY","MIN","SMTH_PANEL","PANELS",$E$24,$D35,,,)))</f>
        <v/>
      </c>
      <c r="J35" s="14"/>
      <c r="K35" s="15"/>
    </row>
    <row r="36" spans="2:11" x14ac:dyDescent="0.3">
      <c r="B36" s="16"/>
      <c r="C36" s="38">
        <v>3</v>
      </c>
      <c r="D36" s="49"/>
      <c r="E36" s="48"/>
      <c r="F36" s="48" t="str" cm="1">
        <f t="array" ref="F36">_xlfn.SINGLE(IF(D36="","",-_xll.RSA_PANEL_FORCE_DATA("EXTREMUM","DETAILED_MXX","MAX","SMTH_PANEL","PANELS",$E$24,$D36,,,)))</f>
        <v/>
      </c>
      <c r="G36" s="48" t="str" cm="1">
        <f t="array" ref="G36">_xlfn.SINGLE(IF(D36="","",-_xll.RSA_PANEL_FORCE_DATA("EXTREMUM","DETAILED_MXX","MIN","SMTH_PANEL","PANELS",$E$24,$D36,,,)))</f>
        <v/>
      </c>
      <c r="H36" s="48" t="str" cm="1">
        <f t="array" ref="H36">_xlfn.SINGLE(IF(D36="","",-_xll.RSA_PANEL_FORCE_DATA("EXTREMUM","DETAILED_MYY","MAX","SMTH_PANEL","PANELS",$E$24,$D36,,,)))</f>
        <v/>
      </c>
      <c r="I36" s="48" t="str" cm="1">
        <f t="array" ref="I36">_xlfn.SINGLE(IF(D36="","",-_xll.RSA_PANEL_FORCE_DATA("EXTREMUM","DETAILED_MYY","MIN","SMTH_PANEL","PANELS",$E$24,$D36,,,)))</f>
        <v/>
      </c>
      <c r="J36" s="14"/>
      <c r="K36" s="15"/>
    </row>
    <row r="37" spans="2:11" x14ac:dyDescent="0.3">
      <c r="B37" s="16"/>
      <c r="C37" s="38">
        <v>4</v>
      </c>
      <c r="D37" s="49"/>
      <c r="E37" s="48"/>
      <c r="F37" s="48" t="str" cm="1">
        <f t="array" ref="F37">_xlfn.SINGLE(IF(D37="","",-_xll.RSA_PANEL_FORCE_DATA("EXTREMUM","DETAILED_MXX","MAX","SMTH_PANEL","PANELS",$E$24,$D37,,,)))</f>
        <v/>
      </c>
      <c r="G37" s="48" t="str" cm="1">
        <f t="array" ref="G37">_xlfn.SINGLE(IF(D37="","",-_xll.RSA_PANEL_FORCE_DATA("EXTREMUM","DETAILED_MXX","MIN","SMTH_PANEL","PANELS",$E$24,$D37,,,)))</f>
        <v/>
      </c>
      <c r="H37" s="48" t="str" cm="1">
        <f t="array" ref="H37">_xlfn.SINGLE(IF(D37="","",-_xll.RSA_PANEL_FORCE_DATA("EXTREMUM","DETAILED_MYY","MAX","SMTH_PANEL","PANELS",$E$24,$D37,,,)))</f>
        <v/>
      </c>
      <c r="I37" s="48" t="str" cm="1">
        <f t="array" ref="I37">_xlfn.SINGLE(IF(D37="","",-_xll.RSA_PANEL_FORCE_DATA("EXTREMUM","DETAILED_MYY","MIN","SMTH_PANEL","PANELS",$E$24,$D37,,,)))</f>
        <v/>
      </c>
      <c r="J37" s="14"/>
      <c r="K37" s="15"/>
    </row>
    <row r="38" spans="2:11" x14ac:dyDescent="0.3">
      <c r="B38" s="16"/>
      <c r="C38" s="38">
        <v>5</v>
      </c>
      <c r="D38" s="49"/>
      <c r="E38" s="48"/>
      <c r="F38" s="48" t="str" cm="1">
        <f t="array" ref="F38">_xlfn.SINGLE(IF(D38="","",-_xll.RSA_PANEL_FORCE_DATA("EXTREMUM","DETAILED_MXX","MAX","SMTH_PANEL","PANELS",$E$24,$D38,,,)))</f>
        <v/>
      </c>
      <c r="G38" s="48" t="str" cm="1">
        <f t="array" ref="G38">_xlfn.SINGLE(IF(D38="","",-_xll.RSA_PANEL_FORCE_DATA("EXTREMUM","DETAILED_MXX","MIN","SMTH_PANEL","PANELS",$E$24,$D38,,,)))</f>
        <v/>
      </c>
      <c r="H38" s="48" t="str" cm="1">
        <f t="array" ref="H38">_xlfn.SINGLE(IF(D38="","",-_xll.RSA_PANEL_FORCE_DATA("EXTREMUM","DETAILED_MYY","MAX","SMTH_PANEL","PANELS",$E$24,$D38,,,)))</f>
        <v/>
      </c>
      <c r="I38" s="48" t="str" cm="1">
        <f t="array" ref="I38">_xlfn.SINGLE(IF(D38="","",-_xll.RSA_PANEL_FORCE_DATA("EXTREMUM","DETAILED_MYY","MIN","SMTH_PANEL","PANELS",$E$24,$D38,,,)))</f>
        <v/>
      </c>
      <c r="J38" s="14"/>
      <c r="K38" s="15"/>
    </row>
    <row r="39" spans="2:11" x14ac:dyDescent="0.3">
      <c r="B39" s="16"/>
      <c r="C39" s="38">
        <v>6</v>
      </c>
      <c r="D39" s="49"/>
      <c r="E39" s="48" t="str">
        <f>IF(D39="","",_xll.RSA_CASE_DATA("NAME",D39))</f>
        <v/>
      </c>
      <c r="F39" s="48" t="str" cm="1">
        <f t="array" ref="F39">_xlfn.SINGLE(IF(D39="","",-_xll.RSA_PANEL_FORCE_DATA("EXTREMUM","DETAILED_MXX","MAX","SMTH_PANEL","PANELS",$E$24,$D39,,,)))</f>
        <v/>
      </c>
      <c r="G39" s="48" t="str" cm="1">
        <f t="array" ref="G39">_xlfn.SINGLE(IF(D39="","",-_xll.RSA_PANEL_FORCE_DATA("EXTREMUM","DETAILED_MXX","MIN","SMTH_PANEL","PANELS",$E$24,$D39,,,)))</f>
        <v/>
      </c>
      <c r="H39" s="48" t="str" cm="1">
        <f t="array" ref="H39">_xlfn.SINGLE(IF(D39="","",-_xll.RSA_PANEL_FORCE_DATA("EXTREMUM","DETAILED_MYY","MAX","SMTH_PANEL","PANELS",$E$24,$D39,,,)))</f>
        <v/>
      </c>
      <c r="I39" s="48" t="str" cm="1">
        <f t="array" ref="I39">_xlfn.SINGLE(IF(D39="","",-_xll.RSA_PANEL_FORCE_DATA("EXTREMUM","DETAILED_MYY","MIN","SMTH_PANEL","PANELS",$E$24,$D39,,,)))</f>
        <v/>
      </c>
      <c r="J39" s="14"/>
      <c r="K39" s="15"/>
    </row>
    <row r="40" spans="2:11" x14ac:dyDescent="0.3">
      <c r="B40" s="16"/>
      <c r="C40" s="38">
        <v>7</v>
      </c>
      <c r="D40" s="49"/>
      <c r="E40" s="48" t="str">
        <f>IF(D40="","",_xll.RSA_CASE_DATA("NAME",D40))</f>
        <v/>
      </c>
      <c r="F40" s="48" t="str" cm="1">
        <f t="array" ref="F40">_xlfn.SINGLE(IF(D40="","",-_xll.RSA_PANEL_FORCE_DATA("EXTREMUM","DETAILED_MXX","MAX","SMTH_PANEL","PANELS",$E$24,$D40,,,)))</f>
        <v/>
      </c>
      <c r="G40" s="48" t="str" cm="1">
        <f t="array" ref="G40">_xlfn.SINGLE(IF(D40="","",-_xll.RSA_PANEL_FORCE_DATA("EXTREMUM","DETAILED_MXX","MIN","SMTH_PANEL","PANELS",$E$24,$D40,,,)))</f>
        <v/>
      </c>
      <c r="H40" s="48" t="str" cm="1">
        <f t="array" ref="H40">_xlfn.SINGLE(IF(D40="","",-_xll.RSA_PANEL_FORCE_DATA("EXTREMUM","DETAILED_MYY","MAX","SMTH_PANEL","PANELS",$E$24,$D40,,,)))</f>
        <v/>
      </c>
      <c r="I40" s="48" t="str" cm="1">
        <f t="array" ref="I40">_xlfn.SINGLE(IF(D40="","",-_xll.RSA_PANEL_FORCE_DATA("EXTREMUM","DETAILED_MYY","MIN","SMTH_PANEL","PANELS",$E$24,$D40,,,)))</f>
        <v/>
      </c>
      <c r="J40" s="14"/>
      <c r="K40" s="15"/>
    </row>
    <row r="41" spans="2:11" x14ac:dyDescent="0.3">
      <c r="B41" s="16"/>
      <c r="C41" s="38">
        <v>8</v>
      </c>
      <c r="D41" s="49"/>
      <c r="E41" s="48" t="str">
        <f>IF(D41="","",_xll.RSA_CASE_DATA("NAME",D41))</f>
        <v/>
      </c>
      <c r="F41" s="48" t="str" cm="1">
        <f t="array" ref="F41">_xlfn.SINGLE(IF(D41="","",-_xll.RSA_PANEL_FORCE_DATA("EXTREMUM","DETAILED_MXX","MAX","SMTH_PANEL","PANELS",$E$24,$D41,,,)))</f>
        <v/>
      </c>
      <c r="G41" s="48" t="str" cm="1">
        <f t="array" ref="G41">_xlfn.SINGLE(IF(D41="","",-_xll.RSA_PANEL_FORCE_DATA("EXTREMUM","DETAILED_MXX","MIN","SMTH_PANEL","PANELS",$E$24,$D41,,,)))</f>
        <v/>
      </c>
      <c r="H41" s="48" t="str" cm="1">
        <f t="array" ref="H41">_xlfn.SINGLE(IF(D41="","",-_xll.RSA_PANEL_FORCE_DATA("EXTREMUM","DETAILED_MYY","MAX","SMTH_PANEL","PANELS",$E$24,$D41,,,)))</f>
        <v/>
      </c>
      <c r="I41" s="48" t="str" cm="1">
        <f t="array" ref="I41">_xlfn.SINGLE(IF(D41="","",-_xll.RSA_PANEL_FORCE_DATA("EXTREMUM","DETAILED_MYY","MIN","SMTH_PANEL","PANELS",$E$24,$D41,,,)))</f>
        <v/>
      </c>
      <c r="J41" s="14"/>
      <c r="K41" s="15"/>
    </row>
    <row r="42" spans="2:11" x14ac:dyDescent="0.3">
      <c r="B42" s="16"/>
      <c r="C42" s="38">
        <v>9</v>
      </c>
      <c r="D42" s="49"/>
      <c r="E42" s="48" t="str">
        <f>IF(D42="","",_xll.RSA_CASE_DATA("NAME",D42))</f>
        <v/>
      </c>
      <c r="F42" s="48" t="str" cm="1">
        <f t="array" ref="F42">_xlfn.SINGLE(IF(D42="","",-_xll.RSA_PANEL_FORCE_DATA("EXTREMUM","DETAILED_MXX","MAX","SMTH_PANEL","PANELS",$E$24,$D42,,,)))</f>
        <v/>
      </c>
      <c r="G42" s="48" t="str" cm="1">
        <f t="array" ref="G42">_xlfn.SINGLE(IF(D42="","",-_xll.RSA_PANEL_FORCE_DATA("EXTREMUM","DETAILED_MXX","MIN","SMTH_PANEL","PANELS",$E$24,$D42,,,)))</f>
        <v/>
      </c>
      <c r="H42" s="48" t="str" cm="1">
        <f t="array" ref="H42">_xlfn.SINGLE(IF(D42="","",-_xll.RSA_PANEL_FORCE_DATA("EXTREMUM","DETAILED_MYY","MAX","SMTH_PANEL","PANELS",$E$24,$D42,,,)))</f>
        <v/>
      </c>
      <c r="I42" s="48" t="str" cm="1">
        <f t="array" ref="I42">_xlfn.SINGLE(IF(D42="","",-_xll.RSA_PANEL_FORCE_DATA("EXTREMUM","DETAILED_MYY","MIN","SMTH_PANEL","PANELS",$E$24,$D42,,,)))</f>
        <v/>
      </c>
      <c r="J42" s="14"/>
      <c r="K42" s="15"/>
    </row>
    <row r="43" spans="2:11" x14ac:dyDescent="0.3">
      <c r="B43" s="16"/>
      <c r="C43" s="38">
        <v>10</v>
      </c>
      <c r="D43" s="49"/>
      <c r="E43" s="48" t="str">
        <f>IF(D43="","",_xll.RSA_CASE_DATA("NAME",D43))</f>
        <v/>
      </c>
      <c r="F43" s="48" t="str" cm="1">
        <f t="array" ref="F43">_xlfn.SINGLE(IF(D43="","",-_xll.RSA_PANEL_FORCE_DATA("EXTREMUM","DETAILED_MXX","MAX","SMTH_PANEL","PANELS",$E$24,$D43,,,)))</f>
        <v/>
      </c>
      <c r="G43" s="48" t="str" cm="1">
        <f t="array" ref="G43">_xlfn.SINGLE(IF(D43="","",-_xll.RSA_PANEL_FORCE_DATA("EXTREMUM","DETAILED_MXX","MIN","SMTH_PANEL","PANELS",$E$24,$D43,,,)))</f>
        <v/>
      </c>
      <c r="H43" s="48" t="str" cm="1">
        <f t="array" ref="H43">_xlfn.SINGLE(IF(D43="","",-_xll.RSA_PANEL_FORCE_DATA("EXTREMUM","DETAILED_MYY","MAX","SMTH_PANEL","PANELS",$E$24,$D43,,,)))</f>
        <v/>
      </c>
      <c r="I43" s="48" t="str" cm="1">
        <f t="array" ref="I43">_xlfn.SINGLE(IF(D43="","",-_xll.RSA_PANEL_FORCE_DATA("EXTREMUM","DETAILED_MYY","MIN","SMTH_PANEL","PANELS",$E$24,$D43,,,)))</f>
        <v/>
      </c>
      <c r="J43" s="14"/>
      <c r="K43" s="15"/>
    </row>
    <row r="44" spans="2:11" x14ac:dyDescent="0.3">
      <c r="B44" s="16"/>
      <c r="C44" s="17"/>
      <c r="D44" s="17"/>
      <c r="E44" s="14"/>
      <c r="F44" s="14"/>
      <c r="G44" s="14"/>
      <c r="H44" s="14"/>
      <c r="I44" s="14"/>
      <c r="J44" s="14"/>
      <c r="K44" s="15"/>
    </row>
    <row r="45" spans="2:11" ht="15" thickBot="1" x14ac:dyDescent="0.35">
      <c r="B45" s="28"/>
      <c r="C45" s="29"/>
      <c r="D45" s="29"/>
      <c r="E45" s="30"/>
      <c r="F45" s="30"/>
      <c r="G45" s="30"/>
      <c r="H45" s="30"/>
      <c r="I45" s="30"/>
      <c r="J45" s="30"/>
      <c r="K45" s="31"/>
    </row>
    <row r="47" spans="2:11" ht="15" thickBot="1" x14ac:dyDescent="0.35"/>
    <row r="48" spans="2:11" x14ac:dyDescent="0.3">
      <c r="B48" s="32"/>
      <c r="C48" s="33"/>
      <c r="D48" s="33"/>
      <c r="E48" s="34"/>
      <c r="F48" s="34"/>
      <c r="G48" s="34"/>
      <c r="H48" s="34"/>
      <c r="I48" s="34"/>
      <c r="J48" s="34"/>
      <c r="K48" s="10"/>
    </row>
    <row r="49" spans="2:11" x14ac:dyDescent="0.3">
      <c r="B49" s="16"/>
      <c r="C49" s="17"/>
      <c r="D49" s="17"/>
      <c r="E49" s="14"/>
      <c r="F49" s="14"/>
      <c r="G49" s="14"/>
      <c r="H49" s="14"/>
      <c r="I49" s="14"/>
      <c r="J49" s="14"/>
      <c r="K49" s="15"/>
    </row>
    <row r="50" spans="2:11" x14ac:dyDescent="0.3">
      <c r="B50" s="16" t="s">
        <v>52</v>
      </c>
      <c r="C50" s="17"/>
      <c r="D50" s="17" t="s">
        <v>180</v>
      </c>
      <c r="E50" s="14"/>
      <c r="F50" s="14" t="s">
        <v>181</v>
      </c>
      <c r="G50" s="14"/>
      <c r="H50" s="14"/>
      <c r="I50" s="14"/>
      <c r="J50" s="14"/>
      <c r="K50" s="15"/>
    </row>
    <row r="51" spans="2:11" x14ac:dyDescent="0.3">
      <c r="B51" s="16" t="s">
        <v>43</v>
      </c>
      <c r="C51" s="17"/>
      <c r="D51" s="113">
        <f>MAX(F34:F43)</f>
        <v>-13.01772441840105</v>
      </c>
      <c r="E51" s="14" t="s">
        <v>54</v>
      </c>
      <c r="F51" s="113">
        <f>MAX(H34:H43)</f>
        <v>-11.33072121883959</v>
      </c>
      <c r="G51" s="14" t="s">
        <v>54</v>
      </c>
      <c r="H51" s="14"/>
      <c r="I51" s="14"/>
      <c r="J51" s="14"/>
      <c r="K51" s="15"/>
    </row>
    <row r="52" spans="2:11" x14ac:dyDescent="0.3">
      <c r="B52" s="16" t="s">
        <v>42</v>
      </c>
      <c r="C52" s="17"/>
      <c r="D52" s="113">
        <f>MIN(G34:G43)</f>
        <v>5.9929098730391726</v>
      </c>
      <c r="E52" s="14" t="s">
        <v>54</v>
      </c>
      <c r="F52" s="113">
        <f>MIN(I34:I43)</f>
        <v>6.6012453506636337</v>
      </c>
      <c r="G52" s="14" t="s">
        <v>54</v>
      </c>
      <c r="H52" s="14"/>
      <c r="I52" s="14"/>
      <c r="J52" s="14"/>
      <c r="K52" s="15"/>
    </row>
    <row r="53" spans="2:11" x14ac:dyDescent="0.3">
      <c r="B53" s="16" t="s">
        <v>193</v>
      </c>
      <c r="C53" s="17"/>
      <c r="D53" s="14">
        <f>E19*E27*E30*E30</f>
        <v>131999999.99999997</v>
      </c>
      <c r="E53" s="14"/>
      <c r="F53" s="14"/>
      <c r="G53" s="14"/>
      <c r="H53" s="14"/>
      <c r="I53" s="14"/>
      <c r="J53" s="14"/>
      <c r="K53" s="15"/>
    </row>
    <row r="54" spans="2:11" x14ac:dyDescent="0.3">
      <c r="B54" s="16"/>
      <c r="C54" s="17"/>
      <c r="D54" s="17"/>
      <c r="E54" s="14"/>
      <c r="F54" s="14"/>
      <c r="G54" s="14"/>
      <c r="H54" s="14"/>
      <c r="I54" s="14"/>
      <c r="J54" s="14"/>
      <c r="K54" s="15"/>
    </row>
    <row r="55" spans="2:11" x14ac:dyDescent="0.3">
      <c r="B55" s="296" t="s">
        <v>182</v>
      </c>
      <c r="C55" s="297"/>
      <c r="D55" s="297"/>
      <c r="E55" s="297"/>
      <c r="F55" s="297"/>
      <c r="G55" s="297"/>
      <c r="H55" s="297"/>
      <c r="I55" s="297"/>
      <c r="J55" s="297"/>
      <c r="K55" s="308"/>
    </row>
    <row r="56" spans="2:11" x14ac:dyDescent="0.3">
      <c r="B56" s="35" t="s">
        <v>58</v>
      </c>
      <c r="C56" s="17"/>
      <c r="D56" s="17"/>
      <c r="E56" s="14"/>
      <c r="F56" s="14"/>
      <c r="G56" s="36" t="s">
        <v>59</v>
      </c>
      <c r="H56" s="14"/>
      <c r="I56" s="14"/>
      <c r="J56" s="14"/>
      <c r="K56" s="15"/>
    </row>
    <row r="57" spans="2:11" x14ac:dyDescent="0.3">
      <c r="B57" s="16" t="s">
        <v>57</v>
      </c>
      <c r="C57" s="17"/>
      <c r="D57" s="112">
        <f>MAX(D52,0)/E19/E27/E30/E30*1000000</f>
        <v>4.5400832371508888E-2</v>
      </c>
      <c r="E57" s="14"/>
      <c r="F57" s="14"/>
      <c r="G57" s="14" t="s">
        <v>66</v>
      </c>
      <c r="H57" s="14"/>
      <c r="I57" s="114">
        <f>-MIN(0,D51)/E19/E27/E30/E30*1000000</f>
        <v>9.861912438182617E-2</v>
      </c>
      <c r="J57" s="14"/>
      <c r="K57" s="15"/>
    </row>
    <row r="58" spans="2:11" x14ac:dyDescent="0.3">
      <c r="B58" s="16"/>
      <c r="C58" s="17"/>
      <c r="D58" s="17"/>
      <c r="E58" s="14"/>
      <c r="F58" s="14"/>
      <c r="G58" s="14"/>
      <c r="H58" s="14"/>
      <c r="I58" s="14"/>
      <c r="J58" s="14"/>
      <c r="K58" s="15"/>
    </row>
    <row r="59" spans="2:11" x14ac:dyDescent="0.3">
      <c r="B59" s="16"/>
      <c r="C59" s="17"/>
      <c r="D59" s="17" t="s">
        <v>62</v>
      </c>
      <c r="E59" s="14" t="s">
        <v>63</v>
      </c>
      <c r="F59" s="14"/>
      <c r="G59" s="14"/>
      <c r="H59" s="14"/>
      <c r="I59" s="14" t="s">
        <v>62</v>
      </c>
      <c r="J59" s="14" t="s">
        <v>63</v>
      </c>
      <c r="K59" s="15"/>
    </row>
    <row r="60" spans="2:11" x14ac:dyDescent="0.3">
      <c r="B60" s="16" t="s">
        <v>61</v>
      </c>
      <c r="C60" s="17"/>
      <c r="D60" s="50" cm="1">
        <f t="array" ref="D60:E60">[1]!PureBendingDesign(D57,H28*E6,E6)</f>
        <v>4.6481077661810519E-2</v>
      </c>
      <c r="E60" s="46">
        <v>0</v>
      </c>
      <c r="F60" s="14"/>
      <c r="G60" s="14" t="s">
        <v>61</v>
      </c>
      <c r="H60" s="14"/>
      <c r="I60" s="46" cm="1">
        <f t="array" ref="I60:J60">[1]!PureBendingDesign(I57,H28*E6,E6)</f>
        <v>0.10403027325899562</v>
      </c>
      <c r="J60" s="46">
        <v>0</v>
      </c>
      <c r="K60" s="15"/>
    </row>
    <row r="61" spans="2:11" x14ac:dyDescent="0.3">
      <c r="B61" s="16" t="s">
        <v>64</v>
      </c>
      <c r="C61" s="17"/>
      <c r="D61" s="50">
        <f>D60*E19/E18</f>
        <v>1.9599521080730098E-3</v>
      </c>
      <c r="E61" s="46">
        <f>E60*E19/E18</f>
        <v>0</v>
      </c>
      <c r="F61" s="14"/>
      <c r="G61" s="14" t="s">
        <v>64</v>
      </c>
      <c r="H61" s="14"/>
      <c r="I61" s="46">
        <f>I60*E19/E18</f>
        <v>4.3866098557543151E-3</v>
      </c>
      <c r="J61" s="46">
        <f>J60*E19/E18</f>
        <v>0</v>
      </c>
      <c r="K61" s="15"/>
    </row>
    <row r="62" spans="2:11" x14ac:dyDescent="0.3">
      <c r="B62" s="16" t="s">
        <v>65</v>
      </c>
      <c r="C62" s="17"/>
      <c r="D62" s="51">
        <f>D61*E27*E30</f>
        <v>195.99521080730099</v>
      </c>
      <c r="E62" s="46">
        <f>E61*E27*E30</f>
        <v>0</v>
      </c>
      <c r="F62" s="14"/>
      <c r="G62" s="14" t="s">
        <v>65</v>
      </c>
      <c r="H62" s="14"/>
      <c r="I62" s="46">
        <f>I61*E27*E30</f>
        <v>438.66098557543154</v>
      </c>
      <c r="J62" s="46">
        <f>J61*E27*E30</f>
        <v>0</v>
      </c>
      <c r="K62" s="15"/>
    </row>
    <row r="63" spans="2:11" x14ac:dyDescent="0.3">
      <c r="B63" s="16"/>
      <c r="C63" s="17"/>
      <c r="D63" s="17"/>
      <c r="E63" s="14"/>
      <c r="F63" s="14"/>
      <c r="G63" s="14"/>
      <c r="H63" s="14"/>
      <c r="I63" s="14"/>
      <c r="J63" s="14"/>
      <c r="K63" s="15"/>
    </row>
    <row r="64" spans="2:11" x14ac:dyDescent="0.3">
      <c r="B64" s="16" t="s">
        <v>67</v>
      </c>
      <c r="C64" s="17"/>
      <c r="D64" s="17"/>
      <c r="E64" s="14"/>
      <c r="F64" s="14" t="s">
        <v>179</v>
      </c>
      <c r="G64" s="14" t="s">
        <v>73</v>
      </c>
      <c r="H64" s="14"/>
      <c r="I64" s="14"/>
      <c r="J64" s="14"/>
      <c r="K64" s="15"/>
    </row>
    <row r="65" spans="2:11" x14ac:dyDescent="0.3">
      <c r="B65" s="16"/>
      <c r="C65" s="17" t="s">
        <v>177</v>
      </c>
      <c r="D65" s="120">
        <f>ROUNDUP(I62/F65,0)</f>
        <v>6</v>
      </c>
      <c r="E65" s="119">
        <v>10</v>
      </c>
      <c r="F65" s="58">
        <f>E65*E65*3.14/4</f>
        <v>78.5</v>
      </c>
      <c r="G65" s="118">
        <f>D65*F65</f>
        <v>471</v>
      </c>
      <c r="H65" s="14" t="s">
        <v>92</v>
      </c>
      <c r="I65" s="109">
        <f>MAX(D65,5)</f>
        <v>6</v>
      </c>
      <c r="J65" s="14"/>
      <c r="K65" s="15"/>
    </row>
    <row r="66" spans="2:11" x14ac:dyDescent="0.3">
      <c r="B66" s="16"/>
      <c r="C66" s="17" t="s">
        <v>178</v>
      </c>
      <c r="D66" s="120">
        <f>ROUNDUP(D62/F66,0)</f>
        <v>4</v>
      </c>
      <c r="E66" s="119">
        <v>8</v>
      </c>
      <c r="F66" s="58">
        <f>E66*E66*3.14/4</f>
        <v>50.24</v>
      </c>
      <c r="G66" s="118">
        <f>D66*F66</f>
        <v>200.96</v>
      </c>
      <c r="H66" s="14" t="s">
        <v>92</v>
      </c>
      <c r="I66" s="109">
        <f>MAX(D66,5)</f>
        <v>5</v>
      </c>
      <c r="J66" s="14"/>
      <c r="K66" s="15"/>
    </row>
    <row r="67" spans="2:11" x14ac:dyDescent="0.3">
      <c r="B67" s="16"/>
      <c r="C67" s="17"/>
      <c r="D67" s="115"/>
      <c r="E67" s="14"/>
      <c r="F67" s="14"/>
      <c r="G67" s="14"/>
      <c r="H67" s="116"/>
      <c r="I67" s="14"/>
      <c r="J67" s="14"/>
      <c r="K67" s="15"/>
    </row>
    <row r="68" spans="2:11" x14ac:dyDescent="0.3">
      <c r="B68" s="16"/>
      <c r="C68" s="17"/>
      <c r="D68" s="117"/>
      <c r="E68" s="14"/>
      <c r="F68" s="14"/>
      <c r="G68" s="14"/>
      <c r="H68" s="116"/>
      <c r="I68" s="14"/>
      <c r="J68" s="14"/>
      <c r="K68" s="15"/>
    </row>
    <row r="69" spans="2:11" x14ac:dyDescent="0.3">
      <c r="B69" s="296" t="s">
        <v>183</v>
      </c>
      <c r="C69" s="297"/>
      <c r="D69" s="297"/>
      <c r="E69" s="297"/>
      <c r="F69" s="297"/>
      <c r="G69" s="297"/>
      <c r="H69" s="297"/>
      <c r="I69" s="297"/>
      <c r="J69" s="297"/>
      <c r="K69" s="308"/>
    </row>
    <row r="70" spans="2:11" x14ac:dyDescent="0.3">
      <c r="B70" s="35" t="s">
        <v>58</v>
      </c>
      <c r="C70" s="17"/>
      <c r="D70" s="17"/>
      <c r="E70" s="14"/>
      <c r="F70" s="14"/>
      <c r="G70" s="36" t="s">
        <v>59</v>
      </c>
      <c r="H70" s="14"/>
      <c r="I70" s="14"/>
      <c r="J70" s="14"/>
      <c r="K70" s="15"/>
    </row>
    <row r="71" spans="2:11" x14ac:dyDescent="0.3">
      <c r="B71" s="16" t="s">
        <v>57</v>
      </c>
      <c r="C71" s="17"/>
      <c r="D71" s="112">
        <f>MAX(F52,0)/E19/E27/E30/E30*1000000</f>
        <v>5.0009434474724522E-2</v>
      </c>
      <c r="E71" s="14"/>
      <c r="F71" s="14"/>
      <c r="G71" s="14" t="s">
        <v>66</v>
      </c>
      <c r="H71" s="14"/>
      <c r="I71" s="114">
        <f>-MIN(0,F51)/E19/E27/E30/E30*1000000</f>
        <v>8.5838797112421164E-2</v>
      </c>
      <c r="J71" s="14"/>
      <c r="K71" s="15"/>
    </row>
    <row r="72" spans="2:11" x14ac:dyDescent="0.3">
      <c r="B72" s="16"/>
      <c r="C72" s="17"/>
      <c r="D72" s="17"/>
      <c r="E72" s="14"/>
      <c r="F72" s="14"/>
      <c r="G72" s="14"/>
      <c r="H72" s="14"/>
      <c r="I72" s="14"/>
      <c r="J72" s="14"/>
      <c r="K72" s="15"/>
    </row>
    <row r="73" spans="2:11" x14ac:dyDescent="0.3">
      <c r="B73" s="16"/>
      <c r="C73" s="17"/>
      <c r="D73" s="17" t="s">
        <v>62</v>
      </c>
      <c r="E73" s="14" t="s">
        <v>63</v>
      </c>
      <c r="F73" s="14"/>
      <c r="G73" s="14"/>
      <c r="H73" s="14"/>
      <c r="I73" s="14" t="s">
        <v>62</v>
      </c>
      <c r="J73" s="14" t="s">
        <v>63</v>
      </c>
      <c r="K73" s="15"/>
    </row>
    <row r="74" spans="2:11" x14ac:dyDescent="0.3">
      <c r="B74" s="16" t="s">
        <v>61</v>
      </c>
      <c r="C74" s="17"/>
      <c r="D74" s="50" cm="1">
        <f t="array" ref="D74:E74">[1]!PureBendingDesign(D71,H28*E6,E6)</f>
        <v>5.132664681116348E-2</v>
      </c>
      <c r="E74" s="46">
        <v>0</v>
      </c>
      <c r="F74" s="14"/>
      <c r="G74" s="14" t="s">
        <v>61</v>
      </c>
      <c r="H74" s="14"/>
      <c r="I74" s="46" cm="1">
        <f t="array" ref="I74:J74">[1]!PureBendingDesign(I71,H28*E6,E6)</f>
        <v>8.9877807228524911E-2</v>
      </c>
      <c r="J74" s="46">
        <v>0</v>
      </c>
      <c r="K74" s="15"/>
    </row>
    <row r="75" spans="2:11" x14ac:dyDescent="0.3">
      <c r="B75" s="16" t="s">
        <v>64</v>
      </c>
      <c r="C75" s="17"/>
      <c r="D75" s="50">
        <f>D74*$E$19/$E$18</f>
        <v>2.16427360720406E-3</v>
      </c>
      <c r="E75" s="50">
        <f>E74*$E$19/$E$18</f>
        <v>0</v>
      </c>
      <c r="F75" s="14"/>
      <c r="G75" s="14" t="s">
        <v>64</v>
      </c>
      <c r="H75" s="14"/>
      <c r="I75" s="46">
        <f>I74*$E$19/$E$18</f>
        <v>3.7898475381361327E-3</v>
      </c>
      <c r="J75" s="46">
        <f>J74*$E$19/$E$18</f>
        <v>0</v>
      </c>
      <c r="K75" s="15"/>
    </row>
    <row r="76" spans="2:11" x14ac:dyDescent="0.3">
      <c r="B76" s="16" t="s">
        <v>65</v>
      </c>
      <c r="C76" s="17"/>
      <c r="D76" s="51">
        <f>D75*E27*E30</f>
        <v>216.427360720406</v>
      </c>
      <c r="E76" s="51">
        <f>E75*E27*E30</f>
        <v>0</v>
      </c>
      <c r="F76" s="14"/>
      <c r="G76" s="14" t="s">
        <v>65</v>
      </c>
      <c r="H76" s="14"/>
      <c r="I76" s="46">
        <f>I75*E27*E30</f>
        <v>378.98475381361322</v>
      </c>
      <c r="J76" s="46">
        <f>J75*E27*E30</f>
        <v>0</v>
      </c>
      <c r="K76" s="15"/>
    </row>
    <row r="77" spans="2:11" x14ac:dyDescent="0.3">
      <c r="B77" s="16"/>
      <c r="C77" s="17"/>
      <c r="D77" s="17"/>
      <c r="E77" s="14"/>
      <c r="F77" s="14"/>
      <c r="G77" s="14"/>
      <c r="H77" s="14"/>
      <c r="I77" s="14"/>
      <c r="J77" s="14"/>
      <c r="K77" s="15"/>
    </row>
    <row r="78" spans="2:11" x14ac:dyDescent="0.3">
      <c r="B78" s="16" t="s">
        <v>67</v>
      </c>
      <c r="C78" s="17"/>
      <c r="D78" s="17"/>
      <c r="E78" s="14"/>
      <c r="F78" s="14" t="s">
        <v>179</v>
      </c>
      <c r="G78" s="14" t="s">
        <v>73</v>
      </c>
      <c r="H78" s="14"/>
      <c r="I78" s="14"/>
      <c r="J78" s="14"/>
      <c r="K78" s="15"/>
    </row>
    <row r="79" spans="2:11" x14ac:dyDescent="0.3">
      <c r="B79" s="16"/>
      <c r="C79" s="17" t="s">
        <v>177</v>
      </c>
      <c r="D79" s="120">
        <f>ROUNDUP(I76/F79,0)</f>
        <v>5</v>
      </c>
      <c r="E79" s="119">
        <v>10</v>
      </c>
      <c r="F79" s="58">
        <f>E79*E79*3.14/4</f>
        <v>78.5</v>
      </c>
      <c r="G79" s="118">
        <f>D79*F79</f>
        <v>392.5</v>
      </c>
      <c r="H79" s="14" t="s">
        <v>92</v>
      </c>
      <c r="I79" s="109">
        <f>MAX(D79,5)</f>
        <v>5</v>
      </c>
      <c r="J79" s="14"/>
      <c r="K79" s="15"/>
    </row>
    <row r="80" spans="2:11" x14ac:dyDescent="0.3">
      <c r="B80" s="16"/>
      <c r="C80" s="17" t="s">
        <v>178</v>
      </c>
      <c r="D80" s="120">
        <f>ROUNDUP(D76/F80,0)</f>
        <v>5</v>
      </c>
      <c r="E80" s="119">
        <v>8</v>
      </c>
      <c r="F80" s="58">
        <f>E80*E80*3.14/4</f>
        <v>50.24</v>
      </c>
      <c r="G80" s="118">
        <f>D80*F80</f>
        <v>251.20000000000002</v>
      </c>
      <c r="H80" s="14" t="s">
        <v>92</v>
      </c>
      <c r="I80" s="109">
        <f>MAX(D80,5)</f>
        <v>5</v>
      </c>
      <c r="J80" s="14"/>
      <c r="K80" s="15"/>
    </row>
    <row r="81" spans="2:11" x14ac:dyDescent="0.3">
      <c r="B81" s="16"/>
      <c r="C81" s="17"/>
      <c r="D81" s="17"/>
      <c r="E81" s="14"/>
      <c r="F81" s="14"/>
      <c r="G81" s="14"/>
      <c r="H81" s="14"/>
      <c r="I81" s="14"/>
      <c r="J81" s="14"/>
      <c r="K81" s="15"/>
    </row>
    <row r="82" spans="2:11" x14ac:dyDescent="0.3">
      <c r="B82" s="16"/>
      <c r="C82" s="17"/>
      <c r="D82" s="17"/>
      <c r="E82" s="282" t="s">
        <v>192</v>
      </c>
      <c r="F82" s="282"/>
      <c r="G82" s="282" t="s">
        <v>191</v>
      </c>
      <c r="H82" s="282"/>
      <c r="I82" s="14"/>
      <c r="J82" s="14"/>
      <c r="K82" s="15"/>
    </row>
    <row r="83" spans="2:11" x14ac:dyDescent="0.3">
      <c r="B83" s="16"/>
      <c r="C83" s="17"/>
      <c r="D83" s="17"/>
      <c r="E83" s="14" t="s">
        <v>42</v>
      </c>
      <c r="F83" s="14" t="s">
        <v>43</v>
      </c>
      <c r="G83" s="14" t="s">
        <v>42</v>
      </c>
      <c r="H83" s="14" t="s">
        <v>43</v>
      </c>
      <c r="I83" s="14"/>
      <c r="J83" s="14"/>
      <c r="K83" s="15"/>
    </row>
    <row r="84" spans="2:11" x14ac:dyDescent="0.3">
      <c r="B84" s="16" t="s">
        <v>73</v>
      </c>
      <c r="C84" s="17"/>
      <c r="D84" s="17"/>
      <c r="E84" s="14">
        <f>G66</f>
        <v>200.96</v>
      </c>
      <c r="F84" s="14">
        <f>G65</f>
        <v>471</v>
      </c>
      <c r="G84" s="14">
        <f>G80</f>
        <v>251.20000000000002</v>
      </c>
      <c r="H84" s="14">
        <f>G79</f>
        <v>392.5</v>
      </c>
      <c r="I84" s="14"/>
      <c r="J84" s="14"/>
      <c r="K84" s="15"/>
    </row>
    <row r="85" spans="2:11" x14ac:dyDescent="0.3">
      <c r="B85" s="16" t="s">
        <v>116</v>
      </c>
      <c r="C85" s="17"/>
      <c r="D85" s="17"/>
      <c r="E85" s="14">
        <f>E84*E18/E19/E27/E30</f>
        <v>4.7658498023715426E-2</v>
      </c>
      <c r="F85" s="14">
        <f>G84*E18/E19/E27/E30</f>
        <v>5.9573122529644279E-2</v>
      </c>
      <c r="G85" s="14">
        <f>G84*E18/E19/E27/E30</f>
        <v>5.9573122529644279E-2</v>
      </c>
      <c r="H85" s="14">
        <f>H84*E18/E19/E27/E30</f>
        <v>9.3083003952569174E-2</v>
      </c>
      <c r="I85" s="14"/>
      <c r="J85" s="14"/>
      <c r="K85" s="15"/>
    </row>
    <row r="86" spans="2:11" x14ac:dyDescent="0.3">
      <c r="B86" s="16" t="s">
        <v>57</v>
      </c>
      <c r="C86" s="17"/>
      <c r="D86" s="17"/>
      <c r="E86" s="14">
        <f>E85*(1-0.5*E85)</f>
        <v>4.6522831806777187E-2</v>
      </c>
      <c r="F86" s="14">
        <f>F85*(1-0.5*F85)</f>
        <v>5.7798644065678272E-2</v>
      </c>
      <c r="G86" s="14">
        <f>G85*(1-0.5*G85)</f>
        <v>5.7798644065678272E-2</v>
      </c>
      <c r="H86" s="14">
        <f>H85*(1-0.5*H85)</f>
        <v>8.8750781140152168E-2</v>
      </c>
      <c r="I86" s="14"/>
      <c r="J86" s="14"/>
      <c r="K86" s="15"/>
    </row>
    <row r="87" spans="2:11" x14ac:dyDescent="0.3">
      <c r="B87" s="16" t="s">
        <v>190</v>
      </c>
      <c r="C87" s="17"/>
      <c r="D87" s="17"/>
      <c r="E87" s="110">
        <f>$D53*E86*0.000001</f>
        <v>6.141013798494587</v>
      </c>
      <c r="F87" s="110">
        <f t="shared" ref="F87:H87" si="0">$D53*F86*0.000001</f>
        <v>7.6294210166695304</v>
      </c>
      <c r="G87" s="110">
        <f t="shared" si="0"/>
        <v>7.6294210166695304</v>
      </c>
      <c r="H87" s="110">
        <f t="shared" si="0"/>
        <v>11.715103110500083</v>
      </c>
      <c r="I87" s="14"/>
      <c r="J87" s="14"/>
      <c r="K87" s="15"/>
    </row>
    <row r="88" spans="2:11" x14ac:dyDescent="0.3">
      <c r="B88" s="16"/>
      <c r="C88" s="17"/>
      <c r="D88" s="17"/>
      <c r="E88" s="14"/>
      <c r="F88" s="14"/>
      <c r="G88" s="14"/>
      <c r="H88" s="14"/>
      <c r="I88" s="14"/>
      <c r="J88" s="14"/>
      <c r="K88" s="15"/>
    </row>
    <row r="89" spans="2:11" x14ac:dyDescent="0.3">
      <c r="B89" s="16"/>
      <c r="C89" s="17"/>
      <c r="D89" s="17"/>
      <c r="E89" s="14"/>
      <c r="F89" s="14"/>
      <c r="G89" s="14"/>
      <c r="H89" s="14"/>
      <c r="I89" s="14"/>
      <c r="J89" s="14"/>
      <c r="K89" s="15"/>
    </row>
    <row r="90" spans="2:11" x14ac:dyDescent="0.3">
      <c r="B90" s="16"/>
      <c r="C90" s="17"/>
      <c r="D90" s="17"/>
      <c r="E90" s="14"/>
      <c r="F90" s="14"/>
      <c r="G90" s="14"/>
      <c r="H90" s="14"/>
      <c r="I90" s="14"/>
      <c r="J90" s="14"/>
      <c r="K90" s="15"/>
    </row>
    <row r="91" spans="2:11" ht="15" thickBot="1" x14ac:dyDescent="0.35">
      <c r="B91" s="28"/>
      <c r="C91" s="29"/>
      <c r="D91" s="29"/>
      <c r="E91" s="30"/>
      <c r="F91" s="30"/>
      <c r="G91" s="30"/>
      <c r="H91" s="30"/>
      <c r="I91" s="30"/>
      <c r="J91" s="30"/>
      <c r="K91" s="31"/>
    </row>
  </sheetData>
  <mergeCells count="5">
    <mergeCell ref="B2:J2"/>
    <mergeCell ref="B55:K55"/>
    <mergeCell ref="B69:K69"/>
    <mergeCell ref="G82:H82"/>
    <mergeCell ref="E82:F8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8831-F8A8-4308-B95B-91DDB12A9B0D}">
  <sheetPr codeName="Sheet6"/>
  <dimension ref="A3:AF60"/>
  <sheetViews>
    <sheetView tabSelected="1" topLeftCell="A6" zoomScale="70" zoomScaleNormal="70" workbookViewId="0">
      <selection activeCell="S24" sqref="S24"/>
    </sheetView>
  </sheetViews>
  <sheetFormatPr defaultRowHeight="14.4" x14ac:dyDescent="0.3"/>
  <cols>
    <col min="1" max="6" width="8.77734375" customWidth="1"/>
    <col min="7" max="8" width="8.77734375" hidden="1" customWidth="1"/>
    <col min="9" max="9" width="15" style="148" customWidth="1"/>
    <col min="10" max="12" width="8.77734375" hidden="1" customWidth="1"/>
    <col min="13" max="14" width="8.77734375" customWidth="1"/>
    <col min="15" max="15" width="8.77734375" hidden="1" customWidth="1"/>
    <col min="16" max="16" width="8.77734375" style="148" hidden="1" customWidth="1"/>
    <col min="17" max="17" width="8.77734375" hidden="1" customWidth="1"/>
    <col min="18" max="19" width="8.77734375" customWidth="1"/>
    <col min="20" max="22" width="8.77734375" hidden="1" customWidth="1"/>
    <col min="23" max="24" width="8.77734375" customWidth="1"/>
    <col min="25" max="27" width="8.77734375" hidden="1" customWidth="1"/>
    <col min="28" max="32" width="8.77734375" customWidth="1"/>
    <col min="33" max="33" width="12.21875" bestFit="1" customWidth="1"/>
  </cols>
  <sheetData>
    <row r="3" spans="2:31" x14ac:dyDescent="0.3">
      <c r="F3" s="126" t="s">
        <v>174</v>
      </c>
    </row>
    <row r="4" spans="2:31" ht="15" thickBot="1" x14ac:dyDescent="0.35">
      <c r="B4" s="122" t="s">
        <v>0</v>
      </c>
      <c r="C4" s="122"/>
      <c r="D4" s="122"/>
      <c r="E4" s="123"/>
    </row>
    <row r="5" spans="2:31" ht="15" thickBot="1" x14ac:dyDescent="0.35">
      <c r="B5" t="s">
        <v>298</v>
      </c>
      <c r="C5" s="121"/>
      <c r="D5" s="140">
        <v>0.8</v>
      </c>
      <c r="E5" s="121" t="s">
        <v>1</v>
      </c>
      <c r="AC5" s="312" t="s">
        <v>194</v>
      </c>
      <c r="AD5" s="313"/>
      <c r="AE5" s="314"/>
    </row>
    <row r="6" spans="2:31" x14ac:dyDescent="0.3">
      <c r="B6" t="s">
        <v>299</v>
      </c>
      <c r="C6" s="121"/>
      <c r="D6" s="140">
        <v>0.82499999999999996</v>
      </c>
      <c r="E6" s="121" t="s">
        <v>2</v>
      </c>
      <c r="AC6" s="155" t="s">
        <v>46</v>
      </c>
      <c r="AD6" s="159">
        <v>1000</v>
      </c>
      <c r="AE6" s="156" t="s">
        <v>38</v>
      </c>
    </row>
    <row r="7" spans="2:31" x14ac:dyDescent="0.3">
      <c r="B7" t="s">
        <v>300</v>
      </c>
      <c r="C7" s="121"/>
      <c r="D7" s="140">
        <v>0.8</v>
      </c>
      <c r="E7" s="121" t="s">
        <v>3</v>
      </c>
      <c r="AC7" s="155" t="s">
        <v>60</v>
      </c>
      <c r="AD7" s="41">
        <v>120</v>
      </c>
      <c r="AE7" s="156" t="s">
        <v>38</v>
      </c>
    </row>
    <row r="8" spans="2:31" x14ac:dyDescent="0.3">
      <c r="B8" t="s">
        <v>301</v>
      </c>
      <c r="C8" s="121"/>
      <c r="D8" s="141">
        <v>0.66666666666666663</v>
      </c>
      <c r="E8" s="121" t="s">
        <v>4</v>
      </c>
      <c r="AC8" s="155" t="s">
        <v>72</v>
      </c>
      <c r="AD8" s="41">
        <v>5</v>
      </c>
      <c r="AE8" s="160"/>
    </row>
    <row r="9" spans="2:31" x14ac:dyDescent="0.3">
      <c r="B9" s="121"/>
      <c r="C9" s="121"/>
      <c r="D9" s="142"/>
      <c r="AC9" s="155" t="s">
        <v>71</v>
      </c>
      <c r="AD9" s="41">
        <v>10</v>
      </c>
      <c r="AE9" s="156" t="s">
        <v>38</v>
      </c>
    </row>
    <row r="10" spans="2:31" x14ac:dyDescent="0.3">
      <c r="B10" s="127" t="s">
        <v>5</v>
      </c>
      <c r="C10" s="121"/>
      <c r="D10" s="143"/>
      <c r="AC10" s="155" t="s">
        <v>73</v>
      </c>
      <c r="AD10">
        <f>AD8*AD9*AD9*3.14/4</f>
        <v>392.5</v>
      </c>
      <c r="AE10" s="156" t="s">
        <v>70</v>
      </c>
    </row>
    <row r="11" spans="2:31" x14ac:dyDescent="0.3">
      <c r="B11" s="121" t="s">
        <v>6</v>
      </c>
      <c r="C11" s="121"/>
      <c r="D11" s="144">
        <v>30</v>
      </c>
      <c r="E11" t="s">
        <v>34</v>
      </c>
      <c r="AC11" s="155" t="s">
        <v>195</v>
      </c>
      <c r="AD11">
        <f>D14*AD6*AD7*AD7</f>
        <v>190079999.99999997</v>
      </c>
      <c r="AE11" s="156" t="s">
        <v>196</v>
      </c>
    </row>
    <row r="12" spans="2:31" x14ac:dyDescent="0.3">
      <c r="B12" s="121" t="s">
        <v>7</v>
      </c>
      <c r="C12" s="121"/>
      <c r="D12" s="144">
        <v>3.0000000000000001E-3</v>
      </c>
      <c r="AC12" s="155" t="s">
        <v>116</v>
      </c>
      <c r="AD12">
        <f>AD10*D19/D14/AD6/AD7</f>
        <v>7.7569169960474318E-2</v>
      </c>
      <c r="AE12" s="156"/>
    </row>
    <row r="13" spans="2:31" x14ac:dyDescent="0.3">
      <c r="B13" s="121" t="s">
        <v>8</v>
      </c>
      <c r="C13" s="121"/>
      <c r="D13" s="144">
        <v>1.5</v>
      </c>
      <c r="AC13" s="155" t="s">
        <v>57</v>
      </c>
      <c r="AD13">
        <f>AD12*(1-0.5*AD12)</f>
        <v>7.4560681896295847E-2</v>
      </c>
      <c r="AE13" s="156"/>
    </row>
    <row r="14" spans="2:31" ht="15" thickBot="1" x14ac:dyDescent="0.35">
      <c r="B14" s="121" t="s">
        <v>9</v>
      </c>
      <c r="C14" s="121"/>
      <c r="D14" s="145">
        <f>D11*D5*D6/D13</f>
        <v>13.199999999999998</v>
      </c>
      <c r="E14" t="s">
        <v>34</v>
      </c>
      <c r="AC14" s="157" t="s">
        <v>197</v>
      </c>
      <c r="AD14" s="161">
        <f>AD13*AD11*0.000001</f>
        <v>14.172494414847911</v>
      </c>
      <c r="AE14" s="158" t="s">
        <v>54</v>
      </c>
    </row>
    <row r="15" spans="2:31" x14ac:dyDescent="0.3">
      <c r="B15" s="127" t="s">
        <v>87</v>
      </c>
      <c r="C15" s="127"/>
      <c r="D15" s="142"/>
    </row>
    <row r="16" spans="2:31" x14ac:dyDescent="0.3">
      <c r="B16" s="121" t="s">
        <v>10</v>
      </c>
      <c r="C16" s="121"/>
      <c r="D16" s="144">
        <v>360</v>
      </c>
      <c r="E16" t="s">
        <v>34</v>
      </c>
    </row>
    <row r="17" spans="2:9" x14ac:dyDescent="0.3">
      <c r="B17" s="121" t="s">
        <v>11</v>
      </c>
      <c r="C17" s="121"/>
      <c r="D17" s="146">
        <v>200000</v>
      </c>
      <c r="E17" t="s">
        <v>35</v>
      </c>
    </row>
    <row r="18" spans="2:9" x14ac:dyDescent="0.3">
      <c r="B18" s="121" t="s">
        <v>12</v>
      </c>
      <c r="C18" s="121"/>
      <c r="D18" s="144">
        <v>1.1499999999999999</v>
      </c>
    </row>
    <row r="19" spans="2:9" x14ac:dyDescent="0.3">
      <c r="B19" s="121" t="s">
        <v>13</v>
      </c>
      <c r="C19" s="121"/>
      <c r="D19" s="145">
        <f>D16/D18</f>
        <v>313.04347826086956</v>
      </c>
      <c r="E19" t="s">
        <v>34</v>
      </c>
    </row>
    <row r="20" spans="2:9" x14ac:dyDescent="0.3">
      <c r="B20" s="121"/>
      <c r="C20" s="121"/>
      <c r="D20" s="147"/>
    </row>
    <row r="21" spans="2:9" x14ac:dyDescent="0.3">
      <c r="B21" s="121"/>
      <c r="C21" s="121"/>
      <c r="D21" s="142"/>
      <c r="G21" s="124"/>
      <c r="H21" s="125"/>
      <c r="I21" s="149"/>
    </row>
    <row r="22" spans="2:9" x14ac:dyDescent="0.3">
      <c r="B22" s="136" t="s">
        <v>37</v>
      </c>
      <c r="C22" s="121"/>
      <c r="D22" s="125">
        <v>20</v>
      </c>
      <c r="E22" s="125" t="s">
        <v>38</v>
      </c>
      <c r="G22" s="128"/>
    </row>
    <row r="23" spans="2:9" x14ac:dyDescent="0.3">
      <c r="B23" s="121" t="s">
        <v>46</v>
      </c>
      <c r="C23" s="121"/>
      <c r="D23" s="142">
        <f>1000</f>
        <v>1000</v>
      </c>
      <c r="E23" s="125" t="s">
        <v>38</v>
      </c>
    </row>
    <row r="24" spans="2:9" x14ac:dyDescent="0.3">
      <c r="B24" s="121"/>
      <c r="C24" s="121"/>
      <c r="D24" s="142"/>
    </row>
    <row r="25" spans="2:9" x14ac:dyDescent="0.3">
      <c r="B25" s="121" t="s">
        <v>141</v>
      </c>
      <c r="C25" s="121"/>
      <c r="D25" s="142">
        <v>105</v>
      </c>
    </row>
    <row r="26" spans="2:9" x14ac:dyDescent="0.3">
      <c r="B26" s="121" t="s">
        <v>184</v>
      </c>
      <c r="C26" s="121"/>
      <c r="D26" s="142" t="str">
        <f>_xll.RSA_CASE_DATA("NAME",D25)</f>
        <v>#No RSA opened</v>
      </c>
    </row>
    <row r="32" spans="2:9" ht="15" thickBot="1" x14ac:dyDescent="0.35"/>
    <row r="33" spans="1:32" x14ac:dyDescent="0.3">
      <c r="B33" s="309" t="s">
        <v>189</v>
      </c>
      <c r="C33" s="310"/>
      <c r="D33" s="310"/>
      <c r="E33" s="310"/>
      <c r="F33" s="311"/>
      <c r="G33" s="131"/>
      <c r="H33" s="131"/>
      <c r="I33" s="315" t="s">
        <v>175</v>
      </c>
      <c r="J33" s="316"/>
      <c r="K33" s="316"/>
      <c r="L33" s="316"/>
      <c r="M33" s="316"/>
      <c r="N33" s="316"/>
      <c r="O33" s="316"/>
      <c r="P33" s="316"/>
      <c r="Q33" s="316"/>
      <c r="R33" s="317"/>
      <c r="S33" s="315" t="s">
        <v>176</v>
      </c>
      <c r="T33" s="316"/>
      <c r="U33" s="316"/>
      <c r="V33" s="316"/>
      <c r="W33" s="316"/>
      <c r="X33" s="316"/>
      <c r="Y33" s="316"/>
      <c r="Z33" s="316"/>
      <c r="AA33" s="316"/>
      <c r="AB33" s="317"/>
      <c r="AC33" s="315" t="s">
        <v>198</v>
      </c>
      <c r="AD33" s="317"/>
      <c r="AE33" s="315" t="s">
        <v>199</v>
      </c>
      <c r="AF33" s="318"/>
    </row>
    <row r="34" spans="1:32" ht="15" thickBot="1" x14ac:dyDescent="0.35">
      <c r="B34" s="132" t="s">
        <v>185</v>
      </c>
      <c r="C34" s="133" t="s">
        <v>186</v>
      </c>
      <c r="D34" s="133" t="s">
        <v>110</v>
      </c>
      <c r="E34" s="133" t="s">
        <v>47</v>
      </c>
      <c r="F34" s="133" t="s">
        <v>60</v>
      </c>
      <c r="G34" s="133" t="s">
        <v>188</v>
      </c>
      <c r="H34" s="133" t="s">
        <v>187</v>
      </c>
      <c r="I34" s="150" t="s">
        <v>43</v>
      </c>
      <c r="J34" s="133" t="s">
        <v>57</v>
      </c>
      <c r="K34" s="133" t="s">
        <v>116</v>
      </c>
      <c r="L34" s="133"/>
      <c r="M34" s="133" t="s">
        <v>73</v>
      </c>
      <c r="N34" s="150" t="s">
        <v>42</v>
      </c>
      <c r="O34" s="133" t="s">
        <v>57</v>
      </c>
      <c r="P34" s="133" t="s">
        <v>116</v>
      </c>
      <c r="Q34" s="133"/>
      <c r="R34" s="133" t="s">
        <v>73</v>
      </c>
      <c r="S34" s="133" t="s">
        <v>43</v>
      </c>
      <c r="T34" s="133" t="s">
        <v>57</v>
      </c>
      <c r="U34" s="133" t="s">
        <v>116</v>
      </c>
      <c r="V34" s="133"/>
      <c r="W34" s="133" t="s">
        <v>73</v>
      </c>
      <c r="X34" s="133" t="s">
        <v>42</v>
      </c>
      <c r="Y34" s="133" t="s">
        <v>57</v>
      </c>
      <c r="Z34" s="133" t="s">
        <v>116</v>
      </c>
      <c r="AA34" s="133"/>
      <c r="AB34" s="133" t="s">
        <v>73</v>
      </c>
      <c r="AC34" s="133" t="s">
        <v>72</v>
      </c>
      <c r="AD34" s="134" t="s">
        <v>71</v>
      </c>
      <c r="AE34" s="133" t="s">
        <v>72</v>
      </c>
      <c r="AF34" s="134" t="s">
        <v>71</v>
      </c>
    </row>
    <row r="35" spans="1:32" x14ac:dyDescent="0.3">
      <c r="A35">
        <v>1</v>
      </c>
      <c r="B35" s="75">
        <v>1</v>
      </c>
      <c r="C35" s="130" t="str" cm="1">
        <f t="array" ref="C35">IF(B35="","",_xll.RSA_PANEL_DATA("NAME",B35))</f>
        <v>Floor_1</v>
      </c>
      <c r="D35" s="130" t="str" cm="1">
        <f t="array" ref="D35">IF(B35="","",_xll.RSA_PANEL_THICKNESS("THICKNESS_NAME",B35))</f>
        <v>TH12</v>
      </c>
      <c r="E35" s="130" cm="1">
        <f t="array" ref="E35">IF(B35="","",_xll.RSA_PANEL_THICKNESS("THH_TH_CONST",B35))</f>
        <v>120</v>
      </c>
      <c r="F35" s="130">
        <f t="shared" ref="F35:F59" si="0">IFERROR(E35-$D$22,"")</f>
        <v>100</v>
      </c>
      <c r="G35" s="130">
        <f t="shared" ref="G35:G59" si="1">D$23*F35*D$14/D$19</f>
        <v>4216.6666666666661</v>
      </c>
      <c r="H35" s="130">
        <f t="shared" ref="H35:H59" si="2">IFERROR(D$14*D$23*F35*F35,"")</f>
        <v>131999999.99999997</v>
      </c>
      <c r="I35" s="151">
        <f>IF(B35="","",_xll.RSA_PANEL_FORCE_DATA("EXTREMUM","DETAILED_MXX","MAX","SMTH_GLOBAL","PANELS",B35,$D$25,,,))</f>
        <v>9.2460067583968861</v>
      </c>
      <c r="J35" s="130">
        <f>I35/H35*1000000</f>
        <v>7.0045505745430975E-2</v>
      </c>
      <c r="K35" s="130" cm="1">
        <f t="array" ref="K35:L35">[1]!PureBendingDesign(J35)</f>
        <v>7.2687221856002848E-2</v>
      </c>
      <c r="L35" s="130">
        <v>0</v>
      </c>
      <c r="M35" s="130">
        <f>IFERROR(K35*G35,"")</f>
        <v>306.49778549281194</v>
      </c>
      <c r="N35" s="151" cm="1">
        <f t="array" ref="N35">_xlfn.SINGLE(IF(B35="","",-_xll.RSA_PANEL_FORCE_DATA("EXTREMUM","DETAILED_MXX","MIN","SMTH_GLOBAL","PANELS",B35,$D$25,,,)))</f>
        <v>3.7511592986959639</v>
      </c>
      <c r="O35" s="130">
        <f t="shared" ref="O35:O59" si="3">N35/H35*1000000</f>
        <v>2.8417873474969428E-2</v>
      </c>
      <c r="P35" s="130" cm="1">
        <f t="array" ref="P35:Q35">[1]!PureBendingDesign(O35)</f>
        <v>2.8833560582913705E-2</v>
      </c>
      <c r="Q35" s="130">
        <v>0</v>
      </c>
      <c r="R35" s="130">
        <f t="shared" ref="R35:R59" si="4">IFERROR(P35*$G35,"")</f>
        <v>121.5815137912861</v>
      </c>
      <c r="S35" s="130">
        <f>IF(B35="","",_xll.RSA_PANEL_FORCE_DATA("EXTREMUM","DETAILED_MYY","MAX","SMTH_GLOBAL","PANELS",B35,$D$25,,,))</f>
        <v>7.213086215084445</v>
      </c>
      <c r="T35" s="130">
        <f t="shared" ref="T35:T59" si="5">S35/H35*1000000</f>
        <v>5.4644592538518534E-2</v>
      </c>
      <c r="U35" s="130" cm="1">
        <f t="array" ref="U35:V35">[1]!PureBendingDesign(T35)</f>
        <v>5.6225230829429866E-2</v>
      </c>
      <c r="V35" s="130">
        <v>0</v>
      </c>
      <c r="W35" s="130">
        <f t="shared" ref="W35:W59" si="6">IFERROR(U35*$G35,"")</f>
        <v>237.08305666409589</v>
      </c>
      <c r="X35" s="130" cm="1">
        <f t="array" ref="X35">_xlfn.SINGLE(IF(B35="","",-_xll.RSA_PANEL_FORCE_DATA("EXTREMUM","DETAILED_MYY","MIN","SMTH_GLOBAL","PANELS",B35,$D$25,,,)))</f>
        <v>7.5058479109157838</v>
      </c>
      <c r="Y35" s="130">
        <f t="shared" ref="Y35:Y59" si="7">X35/H35*1000000</f>
        <v>5.6862484173604434E-2</v>
      </c>
      <c r="Z35" s="130" cm="1">
        <f t="array" ref="Z35:AA35">[1]!PureBendingDesign(Y35)</f>
        <v>5.8578186118044565E-2</v>
      </c>
      <c r="AA35" s="130">
        <v>0</v>
      </c>
      <c r="AB35" s="130">
        <f t="shared" ref="AB35:AB59" si="8">IFERROR(Z35*$G35,"")</f>
        <v>247.00468479775455</v>
      </c>
      <c r="AC35" s="135">
        <f>IFERROR(ROUNDUP(MAX(M35,R35)/AD35/AD35/3.14*4,0),"")</f>
        <v>7</v>
      </c>
      <c r="AD35" s="75">
        <v>8</v>
      </c>
      <c r="AE35" s="135">
        <f>IFERROR(ROUNDUP(MAX(W35,AB35)/AF35/AF35/3.14*4,0),"")</f>
        <v>5</v>
      </c>
      <c r="AF35" s="75">
        <v>8</v>
      </c>
    </row>
    <row r="36" spans="1:32" x14ac:dyDescent="0.3">
      <c r="A36">
        <v>2</v>
      </c>
      <c r="B36" s="75">
        <v>2</v>
      </c>
      <c r="C36" s="129" t="str" cm="1">
        <f t="array" ref="C36">IF(B36="","",_xll.RSA_PANEL_DATA("NAME",B36))</f>
        <v>Floor_2</v>
      </c>
      <c r="D36" s="129" t="str" cm="1">
        <f t="array" ref="D36">IF(B36="","",_xll.RSA_PANEL_THICKNESS("THICKNESS_NAME",B36))</f>
        <v>TH12</v>
      </c>
      <c r="E36" s="129" cm="1">
        <f t="array" ref="E36">IF(B36="","",_xll.RSA_PANEL_THICKNESS("THH_TH_CONST",B36))</f>
        <v>120</v>
      </c>
      <c r="F36" s="129">
        <f t="shared" si="0"/>
        <v>100</v>
      </c>
      <c r="G36" s="129">
        <f t="shared" si="1"/>
        <v>4216.6666666666661</v>
      </c>
      <c r="H36" s="129">
        <f t="shared" si="2"/>
        <v>131999999.99999997</v>
      </c>
      <c r="I36" s="152">
        <f>IF(B36="","",_xll.RSA_PANEL_FORCE_DATA("EXTREMUM","DETAILED_MXX","MAX","SMTH_GLOBAL","PANELS",B36,$D$25,,,))</f>
        <v>16.368527362400663</v>
      </c>
      <c r="J36" s="129">
        <f t="shared" ref="J36:J59" si="9">I36/H36*1000000</f>
        <v>0.12400399516970204</v>
      </c>
      <c r="K36" s="129" cm="1">
        <f t="array" ref="K36:L36">[1]!PureBendingDesign(J36)</f>
        <v>0.13282527155097143</v>
      </c>
      <c r="L36" s="129">
        <v>0</v>
      </c>
      <c r="M36" s="129">
        <f t="shared" ref="M36:M59" si="10">IFERROR(K36*G36,"")</f>
        <v>560.0798950399294</v>
      </c>
      <c r="N36" s="152" cm="1">
        <f t="array" ref="N36">_xlfn.SINGLE(IF(B36="","",-_xll.RSA_PANEL_FORCE_DATA("EXTREMUM","DETAILED_MXX","MIN","SMTH_GLOBAL","PANELS",B36,$D$25,,,)))</f>
        <v>3.6576050302882694</v>
      </c>
      <c r="O36" s="129">
        <f t="shared" si="3"/>
        <v>2.7709129017335382E-2</v>
      </c>
      <c r="P36" s="129" cm="1">
        <f t="array" ref="P36:Q36">[1]!PureBendingDesign(O36)</f>
        <v>2.8104047767802856E-2</v>
      </c>
      <c r="Q36" s="129">
        <v>0</v>
      </c>
      <c r="R36" s="129">
        <f t="shared" si="4"/>
        <v>118.50540142090203</v>
      </c>
      <c r="S36" s="129">
        <f>IF(B36="","",_xll.RSA_PANEL_FORCE_DATA("EXTREMUM","DETAILED_MYY","MAX","SMTH_GLOBAL","PANELS",B36,$D$25,,,))</f>
        <v>20.929125571710632</v>
      </c>
      <c r="T36" s="129">
        <f t="shared" si="5"/>
        <v>0.15855398160386847</v>
      </c>
      <c r="U36" s="129" cm="1">
        <f t="array" ref="U36:V36">[1]!PureBendingDesign(T36)</f>
        <v>0.17362718050885073</v>
      </c>
      <c r="V36" s="129">
        <v>0</v>
      </c>
      <c r="W36" s="129">
        <f t="shared" si="6"/>
        <v>732.12794447898716</v>
      </c>
      <c r="X36" s="129" cm="1">
        <f t="array" ref="X36">_xlfn.SINGLE(IF(B36="","",-_xll.RSA_PANEL_FORCE_DATA("EXTREMUM","DETAILED_MYY","MIN","SMTH_GLOBAL","PANELS",B36,$D$25,,,)))</f>
        <v>2.0559029769472126</v>
      </c>
      <c r="Y36" s="129">
        <f t="shared" si="7"/>
        <v>1.5575022552630402E-2</v>
      </c>
      <c r="Z36" s="129" cm="1">
        <f t="array" ref="Z36:AA36">[1]!PureBendingDesign(Y36)</f>
        <v>1.5698239920938068E-2</v>
      </c>
      <c r="AA36" s="129">
        <v>0</v>
      </c>
      <c r="AB36" s="129">
        <f t="shared" si="8"/>
        <v>66.194244999955515</v>
      </c>
      <c r="AC36" s="135">
        <f t="shared" ref="AC36:AC59" si="11">IFERROR(ROUNDUP(MAX(M36,R36)/AD36/AD36/3.14*4,0),"")</f>
        <v>12</v>
      </c>
      <c r="AD36" s="75">
        <v>8</v>
      </c>
      <c r="AE36" s="135">
        <f t="shared" ref="AE36:AE59" si="12">IFERROR(ROUNDUP(MAX(W36,AB36)/AF36/AF36/3.14*4,0),"")</f>
        <v>15</v>
      </c>
      <c r="AF36" s="75">
        <v>8</v>
      </c>
    </row>
    <row r="37" spans="1:32" x14ac:dyDescent="0.3">
      <c r="A37">
        <v>3</v>
      </c>
      <c r="B37" s="75">
        <v>3</v>
      </c>
      <c r="C37" s="129" t="str" cm="1">
        <f t="array" ref="C37">IF(B37="","",_xll.RSA_PANEL_DATA("NAME",B37))</f>
        <v>Floor_3</v>
      </c>
      <c r="D37" s="129" t="str" cm="1">
        <f t="array" ref="D37">IF(B37="","",_xll.RSA_PANEL_THICKNESS("THICKNESS_NAME",B37))</f>
        <v>TH12</v>
      </c>
      <c r="E37" s="129" cm="1">
        <f t="array" ref="E37">IF(B37="","",_xll.RSA_PANEL_THICKNESS("THH_TH_CONST",B37))</f>
        <v>120</v>
      </c>
      <c r="F37" s="129">
        <f t="shared" si="0"/>
        <v>100</v>
      </c>
      <c r="G37" s="129">
        <f t="shared" si="1"/>
        <v>4216.6666666666661</v>
      </c>
      <c r="H37" s="129">
        <f t="shared" si="2"/>
        <v>131999999.99999997</v>
      </c>
      <c r="I37" s="152" t="str">
        <f>IF(B37="","",_xll.RSA_PANEL_FORCE_DATA("EXTREMUM","DETAILED_MXX","MAX","SMTH_GLOBAL","PANELS",B37,$D$25,,,))</f>
        <v>#No plates</v>
      </c>
      <c r="J37" s="129" t="e">
        <f t="shared" si="9"/>
        <v>#VALUE!</v>
      </c>
      <c r="K37" s="129" t="e" cm="1">
        <f t="array" ref="K37">[1]!PureBendingDesign(J37)</f>
        <v>#VALUE!</v>
      </c>
      <c r="L37" s="129"/>
      <c r="M37" s="129" t="str">
        <f t="shared" si="10"/>
        <v/>
      </c>
      <c r="N37" s="152" t="e" cm="1">
        <f t="array" ref="N37">_xlfn.SINGLE(IF(B37="","",-_xll.RSA_PANEL_FORCE_DATA("EXTREMUM","DETAILED_MXX","MIN","SMTH_GLOBAL","PANELS",B37,$D$25,,,)))</f>
        <v>#VALUE!</v>
      </c>
      <c r="O37" s="129" t="e">
        <f t="shared" si="3"/>
        <v>#VALUE!</v>
      </c>
      <c r="P37" s="129" t="e" cm="1">
        <f t="array" ref="P37">[1]!PureBendingDesign(O37)</f>
        <v>#VALUE!</v>
      </c>
      <c r="Q37" s="129"/>
      <c r="R37" s="129" t="str">
        <f t="shared" si="4"/>
        <v/>
      </c>
      <c r="S37" s="129" t="str">
        <f>IF(B37="","",_xll.RSA_PANEL_FORCE_DATA("EXTREMUM","DETAILED_MYY","MAX","SMTH_GLOBAL","PANELS",B37,$D$25,,,))</f>
        <v>#No plates</v>
      </c>
      <c r="T37" s="129" t="e">
        <f t="shared" si="5"/>
        <v>#VALUE!</v>
      </c>
      <c r="U37" s="129" t="e" cm="1">
        <f t="array" ref="U37">[1]!PureBendingDesign(T37)</f>
        <v>#VALUE!</v>
      </c>
      <c r="V37" s="129"/>
      <c r="W37" s="129" t="str">
        <f t="shared" si="6"/>
        <v/>
      </c>
      <c r="X37" s="129" t="e" cm="1">
        <f t="array" ref="X37">_xlfn.SINGLE(IF(B37="","",-_xll.RSA_PANEL_FORCE_DATA("EXTREMUM","DETAILED_MYY","MIN","SMTH_GLOBAL","PANELS",B37,$D$25,,,)))</f>
        <v>#VALUE!</v>
      </c>
      <c r="Y37" s="129" t="e">
        <f t="shared" si="7"/>
        <v>#VALUE!</v>
      </c>
      <c r="Z37" s="129" t="e" cm="1">
        <f t="array" ref="Z37">[1]!PureBendingDesign(Y37)</f>
        <v>#VALUE!</v>
      </c>
      <c r="AA37" s="129"/>
      <c r="AB37" s="129" t="str">
        <f t="shared" si="8"/>
        <v/>
      </c>
      <c r="AC37" s="135">
        <f t="shared" si="11"/>
        <v>0</v>
      </c>
      <c r="AD37" s="75">
        <v>8</v>
      </c>
      <c r="AE37" s="135">
        <f t="shared" si="12"/>
        <v>0</v>
      </c>
      <c r="AF37" s="75">
        <v>8</v>
      </c>
    </row>
    <row r="38" spans="1:32" x14ac:dyDescent="0.3">
      <c r="A38">
        <v>4</v>
      </c>
      <c r="B38" s="75">
        <v>4</v>
      </c>
      <c r="C38" s="129" t="str" cm="1">
        <f t="array" ref="C38">IF(B38="","",_xll.RSA_PANEL_DATA("NAME",B38))</f>
        <v>Floor_4</v>
      </c>
      <c r="D38" s="129" t="str" cm="1">
        <f t="array" ref="D38">IF(B38="","",_xll.RSA_PANEL_THICKNESS("THICKNESS_NAME",B38))</f>
        <v>TH12</v>
      </c>
      <c r="E38" s="129" cm="1">
        <f t="array" ref="E38">IF(B38="","",_xll.RSA_PANEL_THICKNESS("THH_TH_CONST",B38))</f>
        <v>120</v>
      </c>
      <c r="F38" s="129">
        <f t="shared" si="0"/>
        <v>100</v>
      </c>
      <c r="G38" s="129">
        <f t="shared" si="1"/>
        <v>4216.6666666666661</v>
      </c>
      <c r="H38" s="129">
        <f t="shared" si="2"/>
        <v>131999999.99999997</v>
      </c>
      <c r="I38" s="152" t="str">
        <f>IF(B38="","",_xll.RSA_PANEL_FORCE_DATA("EXTREMUM","DETAILED_MXX","MAX","SMTH_GLOBAL","PANELS",B38,$D$25,,,))</f>
        <v>#No plates</v>
      </c>
      <c r="J38" s="129" t="e">
        <f t="shared" si="9"/>
        <v>#VALUE!</v>
      </c>
      <c r="K38" s="129" t="e" cm="1">
        <f t="array" ref="K38">[1]!PureBendingDesign(J38)</f>
        <v>#VALUE!</v>
      </c>
      <c r="L38" s="129"/>
      <c r="M38" s="129" t="str">
        <f t="shared" si="10"/>
        <v/>
      </c>
      <c r="N38" s="152" t="e" cm="1">
        <f t="array" ref="N38">_xlfn.SINGLE(IF(B38="","",-_xll.RSA_PANEL_FORCE_DATA("EXTREMUM","DETAILED_MXX","MIN","SMTH_GLOBAL","PANELS",B38,$D$25,,,)))</f>
        <v>#VALUE!</v>
      </c>
      <c r="O38" s="129" t="e">
        <f t="shared" si="3"/>
        <v>#VALUE!</v>
      </c>
      <c r="P38" s="129" t="e" cm="1">
        <f t="array" ref="P38">[1]!PureBendingDesign(O38)</f>
        <v>#VALUE!</v>
      </c>
      <c r="Q38" s="129"/>
      <c r="R38" s="129" t="str">
        <f t="shared" si="4"/>
        <v/>
      </c>
      <c r="S38" s="129" t="str">
        <f>IF(B38="","",_xll.RSA_PANEL_FORCE_DATA("EXTREMUM","DETAILED_MYY","MAX","SMTH_GLOBAL","PANELS",B38,$D$25,,,))</f>
        <v>#No plates</v>
      </c>
      <c r="T38" s="129" t="e">
        <f t="shared" si="5"/>
        <v>#VALUE!</v>
      </c>
      <c r="U38" s="129" t="e" cm="1">
        <f t="array" ref="U38">[1]!PureBendingDesign(T38)</f>
        <v>#VALUE!</v>
      </c>
      <c r="V38" s="129"/>
      <c r="W38" s="129" t="str">
        <f t="shared" si="6"/>
        <v/>
      </c>
      <c r="X38" s="129" t="e" cm="1">
        <f t="array" ref="X38">_xlfn.SINGLE(IF(B38="","",-_xll.RSA_PANEL_FORCE_DATA("EXTREMUM","DETAILED_MYY","MIN","SMTH_GLOBAL","PANELS",B38,$D$25,,,)))</f>
        <v>#VALUE!</v>
      </c>
      <c r="Y38" s="129" t="e">
        <f t="shared" si="7"/>
        <v>#VALUE!</v>
      </c>
      <c r="Z38" s="129" t="e" cm="1">
        <f t="array" ref="Z38">[1]!PureBendingDesign(Y38)</f>
        <v>#VALUE!</v>
      </c>
      <c r="AA38" s="129"/>
      <c r="AB38" s="129" t="str">
        <f t="shared" si="8"/>
        <v/>
      </c>
      <c r="AC38" s="135">
        <f t="shared" si="11"/>
        <v>0</v>
      </c>
      <c r="AD38" s="75">
        <v>8</v>
      </c>
      <c r="AE38" s="135">
        <f t="shared" si="12"/>
        <v>0</v>
      </c>
      <c r="AF38" s="75">
        <v>8</v>
      </c>
    </row>
    <row r="39" spans="1:32" x14ac:dyDescent="0.3">
      <c r="A39">
        <v>5</v>
      </c>
      <c r="B39" s="75">
        <v>5</v>
      </c>
      <c r="C39" s="129" t="str" cm="1">
        <f t="array" ref="C39">IF(B39="","",_xll.RSA_PANEL_DATA("NAME",B39))</f>
        <v>Floor_5</v>
      </c>
      <c r="D39" s="129" t="str" cm="1">
        <f t="array" ref="D39">IF(B39="","",_xll.RSA_PANEL_THICKNESS("THICKNESS_NAME",B39))</f>
        <v>TH12</v>
      </c>
      <c r="E39" s="129" cm="1">
        <f t="array" ref="E39">IF(B39="","",_xll.RSA_PANEL_THICKNESS("THH_TH_CONST",B39))</f>
        <v>120</v>
      </c>
      <c r="F39" s="129">
        <f t="shared" si="0"/>
        <v>100</v>
      </c>
      <c r="G39" s="129">
        <f t="shared" si="1"/>
        <v>4216.6666666666661</v>
      </c>
      <c r="H39" s="129">
        <f t="shared" si="2"/>
        <v>131999999.99999997</v>
      </c>
      <c r="I39" s="152">
        <f>IF(B39="","",_xll.RSA_PANEL_FORCE_DATA("EXTREMUM","DETAILED_MXX","MAX","SMTH_GLOBAL","PANELS",B39,$D$25,,,))</f>
        <v>6.7003668749969272</v>
      </c>
      <c r="J39" s="129">
        <f t="shared" si="9"/>
        <v>5.0760355113613098E-2</v>
      </c>
      <c r="K39" s="129" cm="1">
        <f t="array" ref="K39:L39">[1]!PureBendingDesign(J39)</f>
        <v>5.2118525461767554E-2</v>
      </c>
      <c r="L39" s="129">
        <v>0</v>
      </c>
      <c r="M39" s="129">
        <f t="shared" si="10"/>
        <v>219.76644903045315</v>
      </c>
      <c r="N39" s="152" cm="1">
        <f t="array" ref="N39">_xlfn.SINGLE(IF(B39="","",-_xll.RSA_PANEL_FORCE_DATA("EXTREMUM","DETAILED_MXX","MIN","SMTH_GLOBAL","PANELS",B39,$D$25,,,)))</f>
        <v>3.8925194657638391</v>
      </c>
      <c r="O39" s="129">
        <f t="shared" si="3"/>
        <v>2.9488783831544241E-2</v>
      </c>
      <c r="P39" s="129" cm="1">
        <f t="array" ref="P39:Q39">[1]!PureBendingDesign(O39)</f>
        <v>2.9936892600841397E-2</v>
      </c>
      <c r="Q39" s="129">
        <v>0</v>
      </c>
      <c r="R39" s="129">
        <f t="shared" si="4"/>
        <v>126.23389713354787</v>
      </c>
      <c r="S39" s="129">
        <f>IF(B39="","",_xll.RSA_PANEL_FORCE_DATA("EXTREMUM","DETAILED_MYY","MAX","SMTH_GLOBAL","PANELS",B39,$D$25,,,))</f>
        <v>5.8427883983260376</v>
      </c>
      <c r="T39" s="129">
        <f t="shared" si="5"/>
        <v>4.4263548472166965E-2</v>
      </c>
      <c r="U39" s="129" cm="1">
        <f t="array" ref="U39:V39">[1]!PureBendingDesign(T39)</f>
        <v>4.5289099750261533E-2</v>
      </c>
      <c r="V39" s="129">
        <v>0</v>
      </c>
      <c r="W39" s="129">
        <f t="shared" si="6"/>
        <v>190.96903728026945</v>
      </c>
      <c r="X39" s="129" cm="1">
        <f t="array" ref="X39">_xlfn.SINGLE(IF(B39="","",-_xll.RSA_PANEL_FORCE_DATA("EXTREMUM","DETAILED_MYY","MIN","SMTH_GLOBAL","PANELS",B39,$D$25,,,)))</f>
        <v>3.1116421006982997</v>
      </c>
      <c r="Y39" s="129">
        <f t="shared" si="7"/>
        <v>2.3573046217411367E-2</v>
      </c>
      <c r="Z39" s="129" cm="1">
        <f t="array" ref="Z39:AA39">[1]!PureBendingDesign(Y39)</f>
        <v>2.3857639703522924E-2</v>
      </c>
      <c r="AA39" s="129">
        <v>0</v>
      </c>
      <c r="AB39" s="129">
        <f t="shared" si="8"/>
        <v>100.59971408318832</v>
      </c>
      <c r="AC39" s="135">
        <f t="shared" si="11"/>
        <v>5</v>
      </c>
      <c r="AD39" s="75">
        <v>8</v>
      </c>
      <c r="AE39" s="135">
        <f t="shared" si="12"/>
        <v>4</v>
      </c>
      <c r="AF39" s="75">
        <v>8</v>
      </c>
    </row>
    <row r="40" spans="1:32" x14ac:dyDescent="0.3">
      <c r="A40">
        <v>6</v>
      </c>
      <c r="B40" s="75">
        <v>6</v>
      </c>
      <c r="C40" s="129" t="str" cm="1">
        <f t="array" ref="C40">IF(B40="","",_xll.RSA_PANEL_DATA("NAME",B40))</f>
        <v>Floor_6</v>
      </c>
      <c r="D40" s="129" t="str" cm="1">
        <f t="array" ref="D40">IF(B40="","",_xll.RSA_PANEL_THICKNESS("THICKNESS_NAME",B40))</f>
        <v>TH12</v>
      </c>
      <c r="E40" s="129" cm="1">
        <f t="array" ref="E40">IF(B40="","",_xll.RSA_PANEL_THICKNESS("THH_TH_CONST",B40))</f>
        <v>120</v>
      </c>
      <c r="F40" s="129">
        <f t="shared" si="0"/>
        <v>100</v>
      </c>
      <c r="G40" s="129">
        <f t="shared" si="1"/>
        <v>4216.6666666666661</v>
      </c>
      <c r="H40" s="129">
        <f t="shared" si="2"/>
        <v>131999999.99999997</v>
      </c>
      <c r="I40" s="152">
        <f>IF(B40="","",_xll.RSA_PANEL_FORCE_DATA("EXTREMUM","DETAILED_MXX","MAX","SMTH_GLOBAL","PANELS",B40,$D$25,,,))</f>
        <v>6.4973467188116762</v>
      </c>
      <c r="J40" s="129">
        <f t="shared" si="9"/>
        <v>4.9222323627361196E-2</v>
      </c>
      <c r="K40" s="129" cm="1">
        <f t="array" ref="K40:L40">[1]!PureBendingDesign(J40)</f>
        <v>5.0497312934145715E-2</v>
      </c>
      <c r="L40" s="129">
        <v>0</v>
      </c>
      <c r="M40" s="129">
        <f t="shared" si="10"/>
        <v>212.93033620564773</v>
      </c>
      <c r="N40" s="152" cm="1">
        <f t="array" ref="N40">_xlfn.SINGLE(IF(B40="","",-_xll.RSA_PANEL_FORCE_DATA("EXTREMUM","DETAILED_MXX","MIN","SMTH_GLOBAL","PANELS",B40,$D$25,,,)))</f>
        <v>7.4158099785002287</v>
      </c>
      <c r="O40" s="129">
        <f t="shared" si="3"/>
        <v>5.6180378625001748E-2</v>
      </c>
      <c r="P40" s="129" cm="1">
        <f t="array" ref="P40:Q40">[1]!PureBendingDesign(O40)</f>
        <v>5.7853916449260773E-2</v>
      </c>
      <c r="Q40" s="129">
        <v>0</v>
      </c>
      <c r="R40" s="129">
        <f t="shared" si="4"/>
        <v>243.95068102771623</v>
      </c>
      <c r="S40" s="129">
        <f>IF(B40="","",_xll.RSA_PANEL_FORCE_DATA("EXTREMUM","DETAILED_MYY","MAX","SMTH_GLOBAL","PANELS",B40,$D$25,,,))</f>
        <v>5.6917690060924437</v>
      </c>
      <c r="T40" s="129">
        <f t="shared" si="5"/>
        <v>4.3119462167367006E-2</v>
      </c>
      <c r="U40" s="129" cm="1">
        <f t="array" ref="U40:V40">[1]!PureBendingDesign(T40)</f>
        <v>4.4091492000795096E-2</v>
      </c>
      <c r="V40" s="129">
        <v>0</v>
      </c>
      <c r="W40" s="129">
        <f t="shared" si="6"/>
        <v>185.91912460335263</v>
      </c>
      <c r="X40" s="129" cm="1">
        <f t="array" ref="X40">_xlfn.SINGLE(IF(B40="","",-_xll.RSA_PANEL_FORCE_DATA("EXTREMUM","DETAILED_MYY","MIN","SMTH_GLOBAL","PANELS",B40,$D$25,,,)))</f>
        <v>4.4686981700298256</v>
      </c>
      <c r="Y40" s="129">
        <f t="shared" si="7"/>
        <v>3.3853774015377473E-2</v>
      </c>
      <c r="Z40" s="129" cm="1">
        <f t="array" ref="Z40:AA40">[1]!PureBendingDesign(Y40)</f>
        <v>3.4447074485688768E-2</v>
      </c>
      <c r="AA40" s="129">
        <v>0</v>
      </c>
      <c r="AB40" s="129">
        <f t="shared" si="8"/>
        <v>145.25183074798761</v>
      </c>
      <c r="AC40" s="135">
        <f t="shared" si="11"/>
        <v>5</v>
      </c>
      <c r="AD40" s="75">
        <v>8</v>
      </c>
      <c r="AE40" s="135">
        <f t="shared" si="12"/>
        <v>4</v>
      </c>
      <c r="AF40" s="75">
        <v>8</v>
      </c>
    </row>
    <row r="41" spans="1:32" x14ac:dyDescent="0.3">
      <c r="A41">
        <v>7</v>
      </c>
      <c r="B41" s="75">
        <v>7</v>
      </c>
      <c r="C41" s="129" t="str" cm="1">
        <f t="array" ref="C41">IF(B41="","",_xll.RSA_PANEL_DATA("NAME",B41))</f>
        <v>Floor_7</v>
      </c>
      <c r="D41" s="129" t="str" cm="1">
        <f t="array" ref="D41">IF(B41="","",_xll.RSA_PANEL_THICKNESS("THICKNESS_NAME",B41))</f>
        <v>TH12</v>
      </c>
      <c r="E41" s="129" cm="1">
        <f t="array" ref="E41">IF(B41="","",_xll.RSA_PANEL_THICKNESS("THH_TH_CONST",B41))</f>
        <v>120</v>
      </c>
      <c r="F41" s="129">
        <f t="shared" si="0"/>
        <v>100</v>
      </c>
      <c r="G41" s="129">
        <f t="shared" si="1"/>
        <v>4216.6666666666661</v>
      </c>
      <c r="H41" s="129">
        <f t="shared" si="2"/>
        <v>131999999.99999997</v>
      </c>
      <c r="I41" s="152">
        <f>IF(B41="","",_xll.RSA_PANEL_FORCE_DATA("EXTREMUM","DETAILED_MXX","MAX","SMTH_GLOBAL","PANELS",B41,$D$25,,,))</f>
        <v>18.134995242346189</v>
      </c>
      <c r="J41" s="129">
        <f t="shared" si="9"/>
        <v>0.13738632759353175</v>
      </c>
      <c r="K41" s="129" cm="1">
        <f t="array" ref="K41:L41">[1]!PureBendingDesign(J41)</f>
        <v>0.14839719069677781</v>
      </c>
      <c r="L41" s="129">
        <v>0</v>
      </c>
      <c r="M41" s="129">
        <f t="shared" si="10"/>
        <v>625.74148743807973</v>
      </c>
      <c r="N41" s="152" cm="1">
        <f t="array" ref="N41">_xlfn.SINGLE(IF(B41="","",-_xll.RSA_PANEL_FORCE_DATA("EXTREMUM","DETAILED_MXX","MIN","SMTH_GLOBAL","PANELS",B41,$D$25,,,)))</f>
        <v>8.7822344251784248</v>
      </c>
      <c r="O41" s="129">
        <f t="shared" si="3"/>
        <v>6.6532078978624454E-2</v>
      </c>
      <c r="P41" s="129" cm="1">
        <f t="array" ref="P41:Q41">[1]!PureBendingDesign(O41)</f>
        <v>6.8906104604508162E-2</v>
      </c>
      <c r="Q41" s="129">
        <v>0</v>
      </c>
      <c r="R41" s="129">
        <f t="shared" si="4"/>
        <v>290.55407441567604</v>
      </c>
      <c r="S41" s="129">
        <f>IF(B41="","",_xll.RSA_PANEL_FORCE_DATA("EXTREMUM","DETAILED_MYY","MAX","SMTH_GLOBAL","PANELS",B41,$D$25,,,))</f>
        <v>10.042503711748251</v>
      </c>
      <c r="T41" s="129">
        <f t="shared" si="5"/>
        <v>7.6079573573850409E-2</v>
      </c>
      <c r="U41" s="129" cm="1">
        <f t="array" ref="U41:V41">[1]!PureBendingDesign(T41)</f>
        <v>7.9217260776300577E-2</v>
      </c>
      <c r="V41" s="129">
        <v>0</v>
      </c>
      <c r="W41" s="129">
        <f t="shared" si="6"/>
        <v>334.03278294006736</v>
      </c>
      <c r="X41" s="129" cm="1">
        <f t="array" ref="X41">_xlfn.SINGLE(IF(B41="","",-_xll.RSA_PANEL_FORCE_DATA("EXTREMUM","DETAILED_MYY","MIN","SMTH_GLOBAL","PANELS",B41,$D$25,,,)))</f>
        <v>4.6086314231176244</v>
      </c>
      <c r="Y41" s="129">
        <f t="shared" si="7"/>
        <v>3.4913874417557764E-2</v>
      </c>
      <c r="Z41" s="129" cm="1">
        <f t="array" ref="Z41:AA41">[1]!PureBendingDesign(Y41)</f>
        <v>3.5545619966976111E-2</v>
      </c>
      <c r="AA41" s="129">
        <v>0</v>
      </c>
      <c r="AB41" s="129">
        <f t="shared" si="8"/>
        <v>149.88403086074925</v>
      </c>
      <c r="AC41" s="135">
        <f t="shared" si="11"/>
        <v>13</v>
      </c>
      <c r="AD41" s="75">
        <v>8</v>
      </c>
      <c r="AE41" s="135">
        <f t="shared" si="12"/>
        <v>7</v>
      </c>
      <c r="AF41" s="75">
        <v>8</v>
      </c>
    </row>
    <row r="42" spans="1:32" x14ac:dyDescent="0.3">
      <c r="A42">
        <v>8</v>
      </c>
      <c r="B42" s="75">
        <v>8</v>
      </c>
      <c r="C42" s="129" t="str" cm="1">
        <f t="array" ref="C42">IF(B42="","",_xll.RSA_PANEL_DATA("NAME",B42))</f>
        <v>Floor_8</v>
      </c>
      <c r="D42" s="129" t="str" cm="1">
        <f t="array" ref="D42">IF(B42="","",_xll.RSA_PANEL_THICKNESS("THICKNESS_NAME",B42))</f>
        <v>TH12</v>
      </c>
      <c r="E42" s="129" cm="1">
        <f t="array" ref="E42">IF(B42="","",_xll.RSA_PANEL_THICKNESS("THH_TH_CONST",B42))</f>
        <v>120</v>
      </c>
      <c r="F42" s="129">
        <f t="shared" si="0"/>
        <v>100</v>
      </c>
      <c r="G42" s="129">
        <f t="shared" si="1"/>
        <v>4216.6666666666661</v>
      </c>
      <c r="H42" s="129">
        <f t="shared" si="2"/>
        <v>131999999.99999997</v>
      </c>
      <c r="I42" s="152">
        <f>IF(B42="","",_xll.RSA_PANEL_FORCE_DATA("EXTREMUM","DETAILED_MXX","MAX","SMTH_GLOBAL","PANELS",B42,$D$25,,,))</f>
        <v>16.943277299231926</v>
      </c>
      <c r="J42" s="129">
        <f t="shared" si="9"/>
        <v>0.12835816135781766</v>
      </c>
      <c r="K42" s="129" cm="1">
        <f t="array" ref="K42:L42">[1]!PureBendingDesign(J42)</f>
        <v>0.13786098726223664</v>
      </c>
      <c r="L42" s="129">
        <v>0</v>
      </c>
      <c r="M42" s="129">
        <f t="shared" si="10"/>
        <v>581.31382962243106</v>
      </c>
      <c r="N42" s="152" cm="1">
        <f t="array" ref="N42">_xlfn.SINGLE(IF(B42="","",-_xll.RSA_PANEL_FORCE_DATA("EXTREMUM","DETAILED_MXX","MIN","SMTH_GLOBAL","PANELS",B42,$D$25,,,)))</f>
        <v>7.6411961834843947</v>
      </c>
      <c r="O42" s="129">
        <f t="shared" si="3"/>
        <v>5.788784987488179E-2</v>
      </c>
      <c r="P42" s="129" cm="1">
        <f t="array" ref="P42:Q42">[1]!PureBendingDesign(O42)</f>
        <v>5.9667984034236753E-2</v>
      </c>
      <c r="Q42" s="129">
        <v>0</v>
      </c>
      <c r="R42" s="129">
        <f t="shared" si="4"/>
        <v>251.59999934436493</v>
      </c>
      <c r="S42" s="129">
        <f>IF(B42="","",_xll.RSA_PANEL_FORCE_DATA("EXTREMUM","DETAILED_MYY","MAX","SMTH_GLOBAL","PANELS",B42,$D$25,,,))</f>
        <v>12.202030771415867</v>
      </c>
      <c r="T42" s="129">
        <f t="shared" si="5"/>
        <v>9.2439627056180834E-2</v>
      </c>
      <c r="U42" s="129" cm="1">
        <f t="array" ref="U42:V42">[1]!PureBendingDesign(T42)</f>
        <v>9.7159623251352717E-2</v>
      </c>
      <c r="V42" s="129">
        <v>0</v>
      </c>
      <c r="W42" s="129">
        <f t="shared" si="6"/>
        <v>409.68974470987058</v>
      </c>
      <c r="X42" s="129" cm="1">
        <f t="array" ref="X42">_xlfn.SINGLE(IF(B42="","",-_xll.RSA_PANEL_FORCE_DATA("EXTREMUM","DETAILED_MYY","MIN","SMTH_GLOBAL","PANELS",B42,$D$25,,,)))</f>
        <v>11.981816270856145</v>
      </c>
      <c r="Y42" s="129">
        <f t="shared" si="7"/>
        <v>9.0771335385273849E-2</v>
      </c>
      <c r="Z42" s="129" cm="1">
        <f t="array" ref="Z42:AA42">[1]!PureBendingDesign(Y42)</f>
        <v>9.5313684623530348E-2</v>
      </c>
      <c r="AA42" s="129">
        <v>0</v>
      </c>
      <c r="AB42" s="129">
        <f t="shared" si="8"/>
        <v>401.9060368292196</v>
      </c>
      <c r="AC42" s="135">
        <f t="shared" si="11"/>
        <v>12</v>
      </c>
      <c r="AD42" s="75">
        <v>8</v>
      </c>
      <c r="AE42" s="135">
        <f t="shared" si="12"/>
        <v>9</v>
      </c>
      <c r="AF42" s="75">
        <v>8</v>
      </c>
    </row>
    <row r="43" spans="1:32" x14ac:dyDescent="0.3">
      <c r="A43">
        <v>9</v>
      </c>
      <c r="B43" s="75">
        <v>9</v>
      </c>
      <c r="C43" s="129" t="str" cm="1">
        <f t="array" ref="C43">IF(B43="","",_xll.RSA_PANEL_DATA("NAME",B43))</f>
        <v>Floor_9</v>
      </c>
      <c r="D43" s="129" t="str" cm="1">
        <f t="array" ref="D43">IF(B43="","",_xll.RSA_PANEL_THICKNESS("THICKNESS_NAME",B43))</f>
        <v>TH12</v>
      </c>
      <c r="E43" s="129" cm="1">
        <f t="array" ref="E43">IF(B43="","",_xll.RSA_PANEL_THICKNESS("THH_TH_CONST",B43))</f>
        <v>120</v>
      </c>
      <c r="F43" s="129">
        <f t="shared" si="0"/>
        <v>100</v>
      </c>
      <c r="G43" s="129">
        <f t="shared" si="1"/>
        <v>4216.6666666666661</v>
      </c>
      <c r="H43" s="129">
        <f t="shared" si="2"/>
        <v>131999999.99999997</v>
      </c>
      <c r="I43" s="152" t="str">
        <f>IF(B43="","",_xll.RSA_PANEL_FORCE_DATA("EXTREMUM","DETAILED_MXX","MAX","SMTH_GLOBAL","PANELS",B43,$D$25,,,))</f>
        <v>#No plates</v>
      </c>
      <c r="J43" s="129" t="e">
        <f t="shared" si="9"/>
        <v>#VALUE!</v>
      </c>
      <c r="K43" s="129" t="e" cm="1">
        <f t="array" ref="K43">[1]!PureBendingDesign(J43)</f>
        <v>#VALUE!</v>
      </c>
      <c r="L43" s="129"/>
      <c r="M43" s="129" t="str">
        <f t="shared" si="10"/>
        <v/>
      </c>
      <c r="N43" s="152" t="e" cm="1">
        <f t="array" ref="N43">_xlfn.SINGLE(IF(B43="","",-_xll.RSA_PANEL_FORCE_DATA("EXTREMUM","DETAILED_MXX","MIN","SMTH_GLOBAL","PANELS",B43,$D$25,,,)))</f>
        <v>#VALUE!</v>
      </c>
      <c r="O43" s="129" t="e">
        <f t="shared" si="3"/>
        <v>#VALUE!</v>
      </c>
      <c r="P43" s="129" t="e" cm="1">
        <f t="array" ref="P43">[1]!PureBendingDesign(O43)</f>
        <v>#VALUE!</v>
      </c>
      <c r="Q43" s="129"/>
      <c r="R43" s="129" t="str">
        <f t="shared" si="4"/>
        <v/>
      </c>
      <c r="S43" s="129" t="str">
        <f>IF(B43="","",_xll.RSA_PANEL_FORCE_DATA("EXTREMUM","DETAILED_MYY","MAX","SMTH_GLOBAL","PANELS",B43,$D$25,,,))</f>
        <v>#No plates</v>
      </c>
      <c r="T43" s="129" t="e">
        <f t="shared" si="5"/>
        <v>#VALUE!</v>
      </c>
      <c r="U43" s="129" t="e" cm="1">
        <f t="array" ref="U43">[1]!PureBendingDesign(T43)</f>
        <v>#VALUE!</v>
      </c>
      <c r="V43" s="129"/>
      <c r="W43" s="129" t="str">
        <f t="shared" si="6"/>
        <v/>
      </c>
      <c r="X43" s="129" t="e" cm="1">
        <f t="array" ref="X43">_xlfn.SINGLE(IF(B43="","",-_xll.RSA_PANEL_FORCE_DATA("EXTREMUM","DETAILED_MYY","MIN","SMTH_GLOBAL","PANELS",B43,$D$25,,,)))</f>
        <v>#VALUE!</v>
      </c>
      <c r="Y43" s="129" t="e">
        <f t="shared" si="7"/>
        <v>#VALUE!</v>
      </c>
      <c r="Z43" s="129" t="e" cm="1">
        <f t="array" ref="Z43">[1]!PureBendingDesign(Y43)</f>
        <v>#VALUE!</v>
      </c>
      <c r="AA43" s="129"/>
      <c r="AB43" s="129" t="str">
        <f t="shared" si="8"/>
        <v/>
      </c>
      <c r="AC43" s="135">
        <f t="shared" si="11"/>
        <v>0</v>
      </c>
      <c r="AD43" s="75">
        <v>8</v>
      </c>
      <c r="AE43" s="135">
        <f t="shared" si="12"/>
        <v>0</v>
      </c>
      <c r="AF43" s="75">
        <v>8</v>
      </c>
    </row>
    <row r="44" spans="1:32" x14ac:dyDescent="0.3">
      <c r="A44">
        <v>10</v>
      </c>
      <c r="B44" s="75">
        <v>10</v>
      </c>
      <c r="C44" s="129" t="str" cm="1">
        <f t="array" ref="C44">IF(B44="","",_xll.RSA_PANEL_DATA("NAME",B44))</f>
        <v>Floor_10</v>
      </c>
      <c r="D44" s="129" t="str" cm="1">
        <f t="array" ref="D44">IF(B44="","",_xll.RSA_PANEL_THICKNESS("THICKNESS_NAME",B44))</f>
        <v>TH12</v>
      </c>
      <c r="E44" s="129" cm="1">
        <f t="array" ref="E44">IF(B44="","",_xll.RSA_PANEL_THICKNESS("THH_TH_CONST",B44))</f>
        <v>120</v>
      </c>
      <c r="F44" s="129">
        <f t="shared" si="0"/>
        <v>100</v>
      </c>
      <c r="G44" s="129">
        <f t="shared" si="1"/>
        <v>4216.6666666666661</v>
      </c>
      <c r="H44" s="129">
        <f t="shared" si="2"/>
        <v>131999999.99999997</v>
      </c>
      <c r="I44" s="152">
        <f>IF(B44="","",_xll.RSA_PANEL_FORCE_DATA("EXTREMUM","DETAILED_MXX","MAX","SMTH_GLOBAL","PANELS",B44,$D$25,,,))</f>
        <v>13.764954511794864</v>
      </c>
      <c r="J44" s="129">
        <f t="shared" si="9"/>
        <v>0.10427995842268839</v>
      </c>
      <c r="K44" s="129" cm="1">
        <f t="array" ref="K44:L44">[1]!PureBendingDesign(J44)</f>
        <v>0.11037081705093092</v>
      </c>
      <c r="L44" s="129">
        <v>0</v>
      </c>
      <c r="M44" s="129">
        <f t="shared" si="10"/>
        <v>465.39694523142532</v>
      </c>
      <c r="N44" s="152" cm="1">
        <f t="array" ref="N44">_xlfn.SINGLE(IF(B44="","",-_xll.RSA_PANEL_FORCE_DATA("EXTREMUM","DETAILED_MXX","MIN","SMTH_GLOBAL","PANELS",B44,$D$25,,,)))</f>
        <v>10.754324047456347</v>
      </c>
      <c r="O44" s="129">
        <f t="shared" si="3"/>
        <v>8.1472151874669316E-2</v>
      </c>
      <c r="P44" s="129" cm="1">
        <f t="array" ref="P44:Q44">[1]!PureBendingDesign(O44)</f>
        <v>8.5092520387628726E-2</v>
      </c>
      <c r="Q44" s="129">
        <v>0</v>
      </c>
      <c r="R44" s="129">
        <f t="shared" si="4"/>
        <v>358.80679430116771</v>
      </c>
      <c r="S44" s="129">
        <f>IF(B44="","",_xll.RSA_PANEL_FORCE_DATA("EXTREMUM","DETAILED_MYY","MAX","SMTH_GLOBAL","PANELS",B44,$D$25,,,))</f>
        <v>36.812741777810956</v>
      </c>
      <c r="T44" s="129">
        <f t="shared" si="5"/>
        <v>0.2788844074076588</v>
      </c>
      <c r="U44" s="129" cm="1">
        <f t="array" ref="U44:V44">[1]!PureBendingDesign(T44)</f>
        <v>0.33499534364905403</v>
      </c>
      <c r="V44" s="129">
        <v>0</v>
      </c>
      <c r="W44" s="129">
        <f t="shared" si="6"/>
        <v>1412.5636990535111</v>
      </c>
      <c r="X44" s="129" cm="1">
        <f t="array" ref="X44">_xlfn.SINGLE(IF(B44="","",-_xll.RSA_PANEL_FORCE_DATA("EXTREMUM","DETAILED_MYY","MIN","SMTH_GLOBAL","PANELS",B44,$D$25,,,)))</f>
        <v>4.6086314231176244</v>
      </c>
      <c r="Y44" s="129">
        <f t="shared" si="7"/>
        <v>3.4913874417557764E-2</v>
      </c>
      <c r="Z44" s="129" cm="1">
        <f t="array" ref="Z44:AA44">[1]!PureBendingDesign(Y44)</f>
        <v>3.5545619966976111E-2</v>
      </c>
      <c r="AA44" s="129">
        <v>0</v>
      </c>
      <c r="AB44" s="129">
        <f t="shared" si="8"/>
        <v>149.88403086074925</v>
      </c>
      <c r="AC44" s="135">
        <f t="shared" si="11"/>
        <v>10</v>
      </c>
      <c r="AD44" s="75">
        <v>8</v>
      </c>
      <c r="AE44" s="135">
        <f t="shared" si="12"/>
        <v>29</v>
      </c>
      <c r="AF44" s="75">
        <v>8</v>
      </c>
    </row>
    <row r="45" spans="1:32" x14ac:dyDescent="0.3">
      <c r="A45">
        <v>11</v>
      </c>
      <c r="B45" s="75">
        <v>11</v>
      </c>
      <c r="C45" s="129" t="str" cm="1">
        <f t="array" ref="C45">IF(B45="","",_xll.RSA_PANEL_DATA("NAME",B45))</f>
        <v>Floor_11</v>
      </c>
      <c r="D45" s="129" t="str" cm="1">
        <f t="array" ref="D45">IF(B45="","",_xll.RSA_PANEL_THICKNESS("THICKNESS_NAME",B45))</f>
        <v>TH12</v>
      </c>
      <c r="E45" s="129" cm="1">
        <f t="array" ref="E45">IF(B45="","",_xll.RSA_PANEL_THICKNESS("THH_TH_CONST",B45))</f>
        <v>120</v>
      </c>
      <c r="F45" s="129">
        <f t="shared" si="0"/>
        <v>100</v>
      </c>
      <c r="G45" s="129">
        <f t="shared" si="1"/>
        <v>4216.6666666666661</v>
      </c>
      <c r="H45" s="129">
        <f t="shared" si="2"/>
        <v>131999999.99999997</v>
      </c>
      <c r="I45" s="152">
        <f>IF(B45="","",_xll.RSA_PANEL_FORCE_DATA("EXTREMUM","DETAILED_MXX","MAX","SMTH_GLOBAL","PANELS",B45,$D$25,,,))</f>
        <v>155.01894213699094</v>
      </c>
      <c r="J45" s="129">
        <f t="shared" si="9"/>
        <v>1.1743859252802347</v>
      </c>
      <c r="K45" s="129" cm="1">
        <f t="array" ref="K45:L45">[1]!PureBendingDesign(J45)</f>
        <v>1.6679824066002933</v>
      </c>
      <c r="L45" s="129">
        <v>0.86798240660029335</v>
      </c>
      <c r="M45" s="129">
        <f t="shared" si="10"/>
        <v>7033.3258144979027</v>
      </c>
      <c r="N45" s="152" cm="1">
        <f t="array" ref="N45">_xlfn.SINGLE(IF(B45="","",-_xll.RSA_PANEL_FORCE_DATA("EXTREMUM","DETAILED_MXX","MIN","SMTH_GLOBAL","PANELS",B45,$D$25,,,)))</f>
        <v>5.7184429686171221</v>
      </c>
      <c r="O45" s="129">
        <f t="shared" si="3"/>
        <v>4.3321537641038813E-2</v>
      </c>
      <c r="P45" s="129" cm="1">
        <f t="array" ref="P45:Q45">[1]!PureBendingDesign(O45)</f>
        <v>4.4302911630509166E-2</v>
      </c>
      <c r="Q45" s="129">
        <v>0</v>
      </c>
      <c r="R45" s="129">
        <f t="shared" si="4"/>
        <v>186.81061070864695</v>
      </c>
      <c r="S45" s="129">
        <f>IF(B45="","",_xll.RSA_PANEL_FORCE_DATA("EXTREMUM","DETAILED_MYY","MAX","SMTH_GLOBAL","PANELS",B45,$D$25,,,))</f>
        <v>68.670779044774335</v>
      </c>
      <c r="T45" s="129">
        <f t="shared" si="5"/>
        <v>0.52023317458162377</v>
      </c>
      <c r="U45" s="129" cm="1">
        <f t="array" ref="U45:V45">[1]!PureBendingDesign(T45)</f>
        <v>0.85029146822702972</v>
      </c>
      <c r="V45" s="129">
        <v>5.0291468227029734E-2</v>
      </c>
      <c r="W45" s="129">
        <f t="shared" si="6"/>
        <v>3585.3956910239749</v>
      </c>
      <c r="X45" s="129" cm="1">
        <f t="array" ref="X45">_xlfn.SINGLE(IF(B45="","",-_xll.RSA_PANEL_FORCE_DATA("EXTREMUM","DETAILED_MYY","MIN","SMTH_GLOBAL","PANELS",B45,$D$25,,,)))</f>
        <v>31.647704636551964</v>
      </c>
      <c r="Y45" s="129">
        <f t="shared" si="7"/>
        <v>0.23975533815569672</v>
      </c>
      <c r="Z45" s="129" cm="1">
        <f t="array" ref="Z45:AA45">[1]!PureBendingDesign(Y45)</f>
        <v>0.2785505392895497</v>
      </c>
      <c r="AA45" s="129">
        <v>0</v>
      </c>
      <c r="AB45" s="129">
        <f t="shared" si="8"/>
        <v>1174.5547740042678</v>
      </c>
      <c r="AC45" s="135">
        <f t="shared" si="11"/>
        <v>140</v>
      </c>
      <c r="AD45" s="75">
        <v>8</v>
      </c>
      <c r="AE45" s="135">
        <f t="shared" si="12"/>
        <v>72</v>
      </c>
      <c r="AF45" s="75">
        <v>8</v>
      </c>
    </row>
    <row r="46" spans="1:32" x14ac:dyDescent="0.3">
      <c r="A46">
        <v>12</v>
      </c>
      <c r="B46" s="75">
        <v>12</v>
      </c>
      <c r="C46" s="129" t="str" cm="1">
        <f t="array" ref="C46">IF(B46="","",_xll.RSA_PANEL_DATA("NAME",B46))</f>
        <v/>
      </c>
      <c r="D46" s="129" t="str" cm="1">
        <f t="array" ref="D46">IF(B46="","",_xll.RSA_PANEL_THICKNESS("THICKNESS_NAME",B46))</f>
        <v>TH12</v>
      </c>
      <c r="E46" s="129" cm="1">
        <f t="array" ref="E46">IF(B46="","",_xll.RSA_PANEL_THICKNESS("THH_TH_CONST",B46))</f>
        <v>120</v>
      </c>
      <c r="F46" s="129">
        <f t="shared" si="0"/>
        <v>100</v>
      </c>
      <c r="G46" s="129">
        <f t="shared" si="1"/>
        <v>4216.6666666666661</v>
      </c>
      <c r="H46" s="129">
        <f t="shared" si="2"/>
        <v>131999999.99999997</v>
      </c>
      <c r="I46" s="152">
        <f>IF(B46="","",_xll.RSA_PANEL_FORCE_DATA("EXTREMUM","DETAILED_MXX","MAX","SMTH_GLOBAL","PANELS",B46,$D$25,,,))</f>
        <v>84.314747968321086</v>
      </c>
      <c r="J46" s="129">
        <f t="shared" si="9"/>
        <v>0.63874809066909921</v>
      </c>
      <c r="K46" s="129" cm="1">
        <f t="array" ref="K46:L46">[1]!PureBendingDesign(J46)</f>
        <v>0.99843511333637402</v>
      </c>
      <c r="L46" s="129">
        <v>0.19843511333637404</v>
      </c>
      <c r="M46" s="129">
        <f t="shared" si="10"/>
        <v>4210.0680612350434</v>
      </c>
      <c r="N46" s="152" cm="1">
        <f t="array" ref="N46">_xlfn.SINGLE(IF(B46="","",-_xll.RSA_PANEL_FORCE_DATA("EXTREMUM","DETAILED_MXX","MIN","SMTH_GLOBAL","PANELS",B46,$D$25,,,)))</f>
        <v>8.9059529341303385</v>
      </c>
      <c r="O46" s="129">
        <f t="shared" si="3"/>
        <v>6.7469340410078335E-2</v>
      </c>
      <c r="P46" s="129" cm="1">
        <f t="array" ref="P46:Q46">[1]!PureBendingDesign(O46)</f>
        <v>6.9913273301976775E-2</v>
      </c>
      <c r="Q46" s="129">
        <v>0</v>
      </c>
      <c r="R46" s="129">
        <f t="shared" si="4"/>
        <v>294.80096909000201</v>
      </c>
      <c r="S46" s="129">
        <f>IF(B46="","",_xll.RSA_PANEL_FORCE_DATA("EXTREMUM","DETAILED_MYY","MAX","SMTH_GLOBAL","PANELS",B46,$D$25,,,))</f>
        <v>81.86162210942031</v>
      </c>
      <c r="T46" s="129">
        <f t="shared" si="5"/>
        <v>0.62016380385924497</v>
      </c>
      <c r="U46" s="129" cm="1">
        <f t="array" ref="U46:V46">[1]!PureBendingDesign(T46)</f>
        <v>0.97520475482405633</v>
      </c>
      <c r="V46" s="129">
        <v>0.17520475482405623</v>
      </c>
      <c r="W46" s="129">
        <f t="shared" si="6"/>
        <v>4112.1133828414368</v>
      </c>
      <c r="X46" s="129" cm="1">
        <f t="array" ref="X46">_xlfn.SINGLE(IF(B46="","",-_xll.RSA_PANEL_FORCE_DATA("EXTREMUM","DETAILED_MYY","MIN","SMTH_GLOBAL","PANELS",B46,$D$25,,,)))</f>
        <v>6.2994882236985825</v>
      </c>
      <c r="Y46" s="129">
        <f t="shared" si="7"/>
        <v>4.7723395634080179E-2</v>
      </c>
      <c r="Z46" s="129" cm="1">
        <f t="array" ref="Z46:AA46">[1]!PureBendingDesign(Y46)</f>
        <v>4.8919977745384646E-2</v>
      </c>
      <c r="AA46" s="129">
        <v>0</v>
      </c>
      <c r="AB46" s="129">
        <f t="shared" si="8"/>
        <v>206.27923949303857</v>
      </c>
      <c r="AC46" s="135">
        <f t="shared" si="11"/>
        <v>84</v>
      </c>
      <c r="AD46" s="75">
        <v>8</v>
      </c>
      <c r="AE46" s="135">
        <f t="shared" si="12"/>
        <v>82</v>
      </c>
      <c r="AF46" s="75">
        <v>8</v>
      </c>
    </row>
    <row r="47" spans="1:32" x14ac:dyDescent="0.3">
      <c r="A47">
        <v>13</v>
      </c>
      <c r="B47" s="75">
        <v>13</v>
      </c>
      <c r="C47" s="129" t="str" cm="1">
        <f t="array" ref="C47">IF(B47="","",_xll.RSA_PANEL_DATA("NAME",B47))</f>
        <v>Floor_13</v>
      </c>
      <c r="D47" s="129" t="str" cm="1">
        <f t="array" ref="D47">IF(B47="","",_xll.RSA_PANEL_THICKNESS("THICKNESS_NAME",B47))</f>
        <v>TH12</v>
      </c>
      <c r="E47" s="129" cm="1">
        <f t="array" ref="E47">IF(B47="","",_xll.RSA_PANEL_THICKNESS("THH_TH_CONST",B47))</f>
        <v>120</v>
      </c>
      <c r="F47" s="129">
        <f t="shared" si="0"/>
        <v>100</v>
      </c>
      <c r="G47" s="129">
        <f t="shared" si="1"/>
        <v>4216.6666666666661</v>
      </c>
      <c r="H47" s="129">
        <f t="shared" si="2"/>
        <v>131999999.99999997</v>
      </c>
      <c r="I47" s="152">
        <f>IF(B47="","",_xll.RSA_PANEL_FORCE_DATA("EXTREMUM","DETAILED_MXX","MAX","SMTH_GLOBAL","PANELS",B47,$D$25,,,))</f>
        <v>11.86346365756126</v>
      </c>
      <c r="J47" s="129">
        <f t="shared" si="9"/>
        <v>8.9874724678494416E-2</v>
      </c>
      <c r="K47" s="129" cm="1">
        <f t="array" ref="K47:L47">[1]!PureBendingDesign(J47)</f>
        <v>9.4323153303005169E-2</v>
      </c>
      <c r="L47" s="129">
        <v>0</v>
      </c>
      <c r="M47" s="129">
        <f t="shared" si="10"/>
        <v>397.72929642767173</v>
      </c>
      <c r="N47" s="152" cm="1">
        <f t="array" ref="N47">_xlfn.SINGLE(IF(B47="","",-_xll.RSA_PANEL_FORCE_DATA("EXTREMUM","DETAILED_MXX","MIN","SMTH_GLOBAL","PANELS",B47,$D$25,,,)))</f>
        <v>4.0859797373253315</v>
      </c>
      <c r="O47" s="129">
        <f t="shared" si="3"/>
        <v>3.0954391949434338E-2</v>
      </c>
      <c r="P47" s="129" cm="1">
        <f t="array" ref="P47:Q47">[1]!PureBendingDesign(O47)</f>
        <v>3.144890888444541E-2</v>
      </c>
      <c r="Q47" s="129">
        <v>0</v>
      </c>
      <c r="R47" s="129">
        <f t="shared" si="4"/>
        <v>132.60956579607813</v>
      </c>
      <c r="S47" s="129">
        <f>IF(B47="","",_xll.RSA_PANEL_FORCE_DATA("EXTREMUM","DETAILED_MYY","MAX","SMTH_GLOBAL","PANELS",B47,$D$25,,,))</f>
        <v>24.252436238134027</v>
      </c>
      <c r="T47" s="129">
        <f t="shared" si="5"/>
        <v>0.18373057756162145</v>
      </c>
      <c r="U47" s="129" cm="1">
        <f t="array" ref="U47:V47">[1]!PureBendingDesign(T47)</f>
        <v>0.20467689277316081</v>
      </c>
      <c r="V47" s="129">
        <v>0</v>
      </c>
      <c r="W47" s="129">
        <f t="shared" si="6"/>
        <v>863.05423119349462</v>
      </c>
      <c r="X47" s="129" cm="1">
        <f t="array" ref="X47">_xlfn.SINGLE(IF(B47="","",-_xll.RSA_PANEL_FORCE_DATA("EXTREMUM","DETAILED_MYY","MIN","SMTH_GLOBAL","PANELS",B47,$D$25,,,)))</f>
        <v>13.536526710186745</v>
      </c>
      <c r="Y47" s="129">
        <f t="shared" si="7"/>
        <v>0.10254944477414203</v>
      </c>
      <c r="Z47" s="129" cm="1">
        <f t="array" ref="Z47:AA47">[1]!PureBendingDesign(Y47)</f>
        <v>0.10842773122325079</v>
      </c>
      <c r="AA47" s="129">
        <v>0</v>
      </c>
      <c r="AB47" s="129">
        <f t="shared" si="8"/>
        <v>457.20359999137412</v>
      </c>
      <c r="AC47" s="135">
        <f t="shared" si="11"/>
        <v>8</v>
      </c>
      <c r="AD47" s="75">
        <v>8</v>
      </c>
      <c r="AE47" s="135">
        <f t="shared" si="12"/>
        <v>18</v>
      </c>
      <c r="AF47" s="75">
        <v>8</v>
      </c>
    </row>
    <row r="48" spans="1:32" x14ac:dyDescent="0.3">
      <c r="A48">
        <v>14</v>
      </c>
      <c r="B48" s="75">
        <v>14</v>
      </c>
      <c r="C48" s="129" t="str" cm="1">
        <f t="array" ref="C48">IF(B48="","",_xll.RSA_PANEL_DATA("NAME",B48))</f>
        <v>Floor_14</v>
      </c>
      <c r="D48" s="129" t="str" cm="1">
        <f t="array" ref="D48">IF(B48="","",_xll.RSA_PANEL_THICKNESS("THICKNESS_NAME",B48))</f>
        <v>TH12</v>
      </c>
      <c r="E48" s="129" cm="1">
        <f t="array" ref="E48">IF(B48="","",_xll.RSA_PANEL_THICKNESS("THH_TH_CONST",B48))</f>
        <v>120</v>
      </c>
      <c r="F48" s="129">
        <f t="shared" si="0"/>
        <v>100</v>
      </c>
      <c r="G48" s="129">
        <f t="shared" si="1"/>
        <v>4216.6666666666661</v>
      </c>
      <c r="H48" s="129">
        <f t="shared" si="2"/>
        <v>131999999.99999997</v>
      </c>
      <c r="I48" s="152">
        <f>IF(B48="","",_xll.RSA_PANEL_FORCE_DATA("EXTREMUM","DETAILED_MXX","MAX","SMTH_GLOBAL","PANELS",B48,$D$25,,,))</f>
        <v>15.487246896148193</v>
      </c>
      <c r="J48" s="129">
        <f t="shared" si="9"/>
        <v>0.11732762800112269</v>
      </c>
      <c r="K48" s="129" cm="1">
        <f t="array" ref="K48:L48">[1]!PureBendingDesign(J48)</f>
        <v>0.12516016094499982</v>
      </c>
      <c r="L48" s="129">
        <v>0</v>
      </c>
      <c r="M48" s="129">
        <f t="shared" si="10"/>
        <v>527.75867865141583</v>
      </c>
      <c r="N48" s="152" cm="1">
        <f t="array" ref="N48">_xlfn.SINGLE(IF(B48="","",-_xll.RSA_PANEL_FORCE_DATA("EXTREMUM","DETAILED_MXX","MIN","SMTH_GLOBAL","PANELS",B48,$D$25,,,)))</f>
        <v>6.1328160489081815</v>
      </c>
      <c r="O48" s="129">
        <f t="shared" si="3"/>
        <v>4.6460727643243813E-2</v>
      </c>
      <c r="P48" s="129" cm="1">
        <f t="array" ref="P48:Q48">[1]!PureBendingDesign(O48)</f>
        <v>4.7593288183292788E-2</v>
      </c>
      <c r="Q48" s="129">
        <v>0</v>
      </c>
      <c r="R48" s="129">
        <f t="shared" si="4"/>
        <v>200.68503183955121</v>
      </c>
      <c r="S48" s="129">
        <f>IF(B48="","",_xll.RSA_PANEL_FORCE_DATA("EXTREMUM","DETAILED_MYY","MAX","SMTH_GLOBAL","PANELS",B48,$D$25,,,))</f>
        <v>14.674652843078608</v>
      </c>
      <c r="T48" s="129">
        <f t="shared" si="5"/>
        <v>0.11117161244756524</v>
      </c>
      <c r="U48" s="129" cm="1">
        <f t="array" ref="U48:V48">[1]!PureBendingDesign(T48)</f>
        <v>0.11815150104744114</v>
      </c>
      <c r="V48" s="129">
        <v>0</v>
      </c>
      <c r="W48" s="129">
        <f t="shared" si="6"/>
        <v>498.20549608337672</v>
      </c>
      <c r="X48" s="129" cm="1">
        <f t="array" ref="X48">_xlfn.SINGLE(IF(B48="","",-_xll.RSA_PANEL_FORCE_DATA("EXTREMUM","DETAILED_MYY","MIN","SMTH_GLOBAL","PANELS",B48,$D$25,,,)))</f>
        <v>30.040254812602647</v>
      </c>
      <c r="Y48" s="129">
        <f t="shared" si="7"/>
        <v>0.22757768797426253</v>
      </c>
      <c r="Z48" s="129" cm="1">
        <f t="array" ref="Z48:AA48">[1]!PureBendingDesign(Y48)</f>
        <v>0.261864088158901</v>
      </c>
      <c r="AA48" s="129">
        <v>0</v>
      </c>
      <c r="AB48" s="129">
        <f t="shared" si="8"/>
        <v>1104.1935717366991</v>
      </c>
      <c r="AC48" s="135">
        <f t="shared" si="11"/>
        <v>11</v>
      </c>
      <c r="AD48" s="75">
        <v>8</v>
      </c>
      <c r="AE48" s="135">
        <f t="shared" si="12"/>
        <v>22</v>
      </c>
      <c r="AF48" s="75">
        <v>8</v>
      </c>
    </row>
    <row r="49" spans="1:32" x14ac:dyDescent="0.3">
      <c r="A49">
        <v>15</v>
      </c>
      <c r="B49" s="75"/>
      <c r="C49" s="129" t="str" cm="1">
        <f t="array" ref="C49">IF(B49="","",_xll.RSA_PANEL_DATA("NAME",B49))</f>
        <v/>
      </c>
      <c r="D49" s="129" t="str" cm="1">
        <f t="array" ref="D49">IF(B49="","",_xll.RSA_PANEL_THICKNESS("THICKNESS_NAME",B49))</f>
        <v/>
      </c>
      <c r="E49" s="129" t="str" cm="1">
        <f t="array" ref="E49">IF(B49="","",_xll.RSA_PANEL_THICKNESS("THH_TH_CONST",B49))</f>
        <v/>
      </c>
      <c r="F49" s="129" t="str">
        <f t="shared" si="0"/>
        <v/>
      </c>
      <c r="G49" s="129" t="e">
        <f t="shared" si="1"/>
        <v>#VALUE!</v>
      </c>
      <c r="H49" s="129" t="str">
        <f t="shared" si="2"/>
        <v/>
      </c>
      <c r="I49" s="152" t="str">
        <f>IF(B49="","",_xll.RSA_PANEL_FORCE_DATA("EXTREMUM","DETAILED_MXX","MAX","SMTH_GLOBAL","PANELS",B49,$D$25,,,))</f>
        <v/>
      </c>
      <c r="J49" s="129" t="e">
        <f t="shared" si="9"/>
        <v>#VALUE!</v>
      </c>
      <c r="K49" s="129" t="e" cm="1">
        <f t="array" ref="K49">[1]!PureBendingDesign(J49)</f>
        <v>#VALUE!</v>
      </c>
      <c r="L49" s="129"/>
      <c r="M49" s="129" t="str">
        <f t="shared" si="10"/>
        <v/>
      </c>
      <c r="N49" s="152" t="str" cm="1">
        <f t="array" ref="N49">_xlfn.SINGLE(IF(B49="","",-_xll.RSA_PANEL_FORCE_DATA("EXTREMUM","DETAILED_MXX","MIN","SMTH_GLOBAL","PANELS",B49,$D$25,,,)))</f>
        <v/>
      </c>
      <c r="O49" s="129" t="e">
        <f t="shared" si="3"/>
        <v>#VALUE!</v>
      </c>
      <c r="P49" s="129" t="e" cm="1">
        <f t="array" ref="P49">[1]!PureBendingDesign(O49)</f>
        <v>#VALUE!</v>
      </c>
      <c r="Q49" s="129"/>
      <c r="R49" s="129" t="str">
        <f t="shared" si="4"/>
        <v/>
      </c>
      <c r="S49" s="129" t="str">
        <f>IF(B49="","",_xll.RSA_PANEL_FORCE_DATA("EXTREMUM","DETAILED_MYY","MAX","SMTH_GLOBAL","PANELS",B49,$D$25,,,))</f>
        <v/>
      </c>
      <c r="T49" s="129" t="e">
        <f t="shared" si="5"/>
        <v>#VALUE!</v>
      </c>
      <c r="U49" s="129" t="e" cm="1">
        <f t="array" ref="U49">[1]!PureBendingDesign(T49)</f>
        <v>#VALUE!</v>
      </c>
      <c r="V49" s="129"/>
      <c r="W49" s="129" t="str">
        <f t="shared" si="6"/>
        <v/>
      </c>
      <c r="X49" s="129" t="str" cm="1">
        <f t="array" ref="X49">_xlfn.SINGLE(IF(B49="","",-_xll.RSA_PANEL_FORCE_DATA("EXTREMUM","DETAILED_MYY","MIN","SMTH_GLOBAL","PANELS",B49,$D$25,,,)))</f>
        <v/>
      </c>
      <c r="Y49" s="129" t="e">
        <f t="shared" si="7"/>
        <v>#VALUE!</v>
      </c>
      <c r="Z49" s="129" t="e" cm="1">
        <f t="array" ref="Z49">[1]!PureBendingDesign(Y49)</f>
        <v>#VALUE!</v>
      </c>
      <c r="AA49" s="129"/>
      <c r="AB49" s="129" t="str">
        <f t="shared" si="8"/>
        <v/>
      </c>
      <c r="AC49" s="135" t="str">
        <f>IFERROR(ROUNDUP(MAX(M49,R49)/AD49/AD49/3.14*4,0),"")</f>
        <v/>
      </c>
      <c r="AD49" s="75"/>
      <c r="AE49" s="135" t="str">
        <f t="shared" si="12"/>
        <v/>
      </c>
      <c r="AF49" s="75"/>
    </row>
    <row r="50" spans="1:32" x14ac:dyDescent="0.3">
      <c r="A50">
        <v>16</v>
      </c>
      <c r="B50" s="75"/>
      <c r="C50" s="129" t="str" cm="1">
        <f t="array" ref="C50">IF(B50="","",_xll.RSA_PANEL_DATA("NAME",B50))</f>
        <v/>
      </c>
      <c r="D50" s="129" t="str" cm="1">
        <f t="array" ref="D50">IF(B50="","",_xll.RSA_PANEL_THICKNESS("THICKNESS_NAME",B50))</f>
        <v/>
      </c>
      <c r="E50" s="129" t="str" cm="1">
        <f t="array" ref="E50">IF(B50="","",_xll.RSA_PANEL_THICKNESS("THH_TH_CONST",B50))</f>
        <v/>
      </c>
      <c r="F50" s="129" t="str">
        <f t="shared" si="0"/>
        <v/>
      </c>
      <c r="G50" s="129" t="e">
        <f t="shared" si="1"/>
        <v>#VALUE!</v>
      </c>
      <c r="H50" s="129" t="str">
        <f t="shared" si="2"/>
        <v/>
      </c>
      <c r="I50" s="152" t="str">
        <f>IF(B50="","",_xll.RSA_PANEL_FORCE_DATA("EXTREMUM","DETAILED_MXX","MAX","SMTH_GLOBAL","PANELS",B50,$D$25,,,))</f>
        <v/>
      </c>
      <c r="J50" s="129" t="e">
        <f t="shared" si="9"/>
        <v>#VALUE!</v>
      </c>
      <c r="K50" s="129" t="e" cm="1">
        <f t="array" ref="K50">[1]!PureBendingDesign(J50)</f>
        <v>#VALUE!</v>
      </c>
      <c r="L50" s="129"/>
      <c r="M50" s="129" t="str">
        <f t="shared" si="10"/>
        <v/>
      </c>
      <c r="N50" s="152" t="str" cm="1">
        <f t="array" ref="N50">_xlfn.SINGLE(IF(B50="","",-_xll.RSA_PANEL_FORCE_DATA("EXTREMUM","DETAILED_MXX","MIN","SMTH_GLOBAL","PANELS",B50,$D$25,,,)))</f>
        <v/>
      </c>
      <c r="O50" s="129" t="e">
        <f t="shared" si="3"/>
        <v>#VALUE!</v>
      </c>
      <c r="P50" s="129" t="e" cm="1">
        <f t="array" ref="P50">[1]!PureBendingDesign(O50)</f>
        <v>#VALUE!</v>
      </c>
      <c r="Q50" s="129"/>
      <c r="R50" s="129" t="str">
        <f t="shared" si="4"/>
        <v/>
      </c>
      <c r="S50" s="129" t="str">
        <f>IF(B50="","",_xll.RSA_PANEL_FORCE_DATA("EXTREMUM","DETAILED_MYY","MAX","SMTH_GLOBAL","PANELS",B50,$D$25,,,))</f>
        <v/>
      </c>
      <c r="T50" s="129" t="e">
        <f t="shared" si="5"/>
        <v>#VALUE!</v>
      </c>
      <c r="U50" s="129" t="e" cm="1">
        <f t="array" ref="U50">[1]!PureBendingDesign(T50)</f>
        <v>#VALUE!</v>
      </c>
      <c r="V50" s="129"/>
      <c r="W50" s="129" t="str">
        <f t="shared" si="6"/>
        <v/>
      </c>
      <c r="X50" s="129" t="str" cm="1">
        <f t="array" ref="X50">_xlfn.SINGLE(IF(B50="","",-_xll.RSA_PANEL_FORCE_DATA("EXTREMUM","DETAILED_MYY","MIN","SMTH_GLOBAL","PANELS",B50,$D$25,,,)))</f>
        <v/>
      </c>
      <c r="Y50" s="129" t="e">
        <f t="shared" si="7"/>
        <v>#VALUE!</v>
      </c>
      <c r="Z50" s="129" t="e" cm="1">
        <f t="array" ref="Z50">[1]!PureBendingDesign(Y50)</f>
        <v>#VALUE!</v>
      </c>
      <c r="AA50" s="129"/>
      <c r="AB50" s="129" t="str">
        <f t="shared" si="8"/>
        <v/>
      </c>
      <c r="AC50" s="135" t="str">
        <f t="shared" si="11"/>
        <v/>
      </c>
      <c r="AD50" s="75"/>
      <c r="AE50" s="135" t="str">
        <f t="shared" si="12"/>
        <v/>
      </c>
      <c r="AF50" s="75"/>
    </row>
    <row r="51" spans="1:32" x14ac:dyDescent="0.3">
      <c r="A51">
        <v>17</v>
      </c>
      <c r="B51" s="75"/>
      <c r="C51" s="129" t="str" cm="1">
        <f t="array" ref="C51">IF(B51="","",_xll.RSA_PANEL_DATA("NAME",B51))</f>
        <v/>
      </c>
      <c r="D51" s="129" t="str" cm="1">
        <f t="array" ref="D51">IF(B51="","",_xll.RSA_PANEL_THICKNESS("THICKNESS_NAME",B51))</f>
        <v/>
      </c>
      <c r="E51" s="129" t="str" cm="1">
        <f t="array" ref="E51">IF(B51="","",_xll.RSA_PANEL_THICKNESS("THH_TH_CONST",B51))</f>
        <v/>
      </c>
      <c r="F51" s="129" t="str">
        <f t="shared" si="0"/>
        <v/>
      </c>
      <c r="G51" s="129" t="e">
        <f t="shared" si="1"/>
        <v>#VALUE!</v>
      </c>
      <c r="H51" s="129" t="str">
        <f t="shared" si="2"/>
        <v/>
      </c>
      <c r="I51" s="152" t="str">
        <f>IF(B51="","",_xll.RSA_PANEL_FORCE_DATA("EXTREMUM","DETAILED_MXX","MAX","SMTH_GLOBAL","PANELS",B51,$D$25,,,))</f>
        <v/>
      </c>
      <c r="J51" s="129" t="e">
        <f t="shared" si="9"/>
        <v>#VALUE!</v>
      </c>
      <c r="K51" s="129" t="e" cm="1">
        <f t="array" ref="K51">[1]!PureBendingDesign(J51)</f>
        <v>#VALUE!</v>
      </c>
      <c r="L51" s="129"/>
      <c r="M51" s="129" t="str">
        <f t="shared" si="10"/>
        <v/>
      </c>
      <c r="N51" s="152" t="str" cm="1">
        <f t="array" ref="N51">_xlfn.SINGLE(IF(B51="","",-_xll.RSA_PANEL_FORCE_DATA("EXTREMUM","DETAILED_MXX","MIN","SMTH_GLOBAL","PANELS",B51,$D$25,,,)))</f>
        <v/>
      </c>
      <c r="O51" s="129" t="e">
        <f t="shared" si="3"/>
        <v>#VALUE!</v>
      </c>
      <c r="P51" s="129" t="e" cm="1">
        <f t="array" ref="P51">[1]!PureBendingDesign(O51)</f>
        <v>#VALUE!</v>
      </c>
      <c r="Q51" s="129"/>
      <c r="R51" s="129" t="str">
        <f t="shared" si="4"/>
        <v/>
      </c>
      <c r="S51" s="129" t="str">
        <f>IF(B51="","",_xll.RSA_PANEL_FORCE_DATA("EXTREMUM","DETAILED_MYY","MAX","SMTH_GLOBAL","PANELS",B51,$D$25,,,))</f>
        <v/>
      </c>
      <c r="T51" s="129" t="e">
        <f t="shared" si="5"/>
        <v>#VALUE!</v>
      </c>
      <c r="U51" s="129" t="e" cm="1">
        <f t="array" ref="U51">[1]!PureBendingDesign(T51)</f>
        <v>#VALUE!</v>
      </c>
      <c r="V51" s="129"/>
      <c r="W51" s="129" t="str">
        <f t="shared" si="6"/>
        <v/>
      </c>
      <c r="X51" s="129" t="str" cm="1">
        <f t="array" ref="X51">_xlfn.SINGLE(IF(B51="","",-_xll.RSA_PANEL_FORCE_DATA("EXTREMUM","DETAILED_MYY","MIN","SMTH_GLOBAL","PANELS",B51,$D$25,,,)))</f>
        <v/>
      </c>
      <c r="Y51" s="129" t="e">
        <f t="shared" si="7"/>
        <v>#VALUE!</v>
      </c>
      <c r="Z51" s="129" t="e" cm="1">
        <f t="array" ref="Z51">[1]!PureBendingDesign(Y51)</f>
        <v>#VALUE!</v>
      </c>
      <c r="AA51" s="129"/>
      <c r="AB51" s="129" t="str">
        <f t="shared" si="8"/>
        <v/>
      </c>
      <c r="AC51" s="135" t="str">
        <f t="shared" si="11"/>
        <v/>
      </c>
      <c r="AD51" s="75"/>
      <c r="AE51" s="135" t="str">
        <f t="shared" si="12"/>
        <v/>
      </c>
      <c r="AF51" s="75"/>
    </row>
    <row r="52" spans="1:32" x14ac:dyDescent="0.3">
      <c r="A52">
        <v>18</v>
      </c>
      <c r="B52" s="75"/>
      <c r="C52" s="129" t="str" cm="1">
        <f t="array" ref="C52">IF(B52="","",_xll.RSA_PANEL_DATA("NAME",B52))</f>
        <v/>
      </c>
      <c r="D52" s="129" t="str" cm="1">
        <f t="array" ref="D52">IF(B52="","",_xll.RSA_PANEL_THICKNESS("THICKNESS_NAME",B52))</f>
        <v/>
      </c>
      <c r="E52" s="129" t="str" cm="1">
        <f t="array" ref="E52">IF(B52="","",_xll.RSA_PANEL_THICKNESS("THH_TH_CONST",B52))</f>
        <v/>
      </c>
      <c r="F52" s="129" t="str">
        <f t="shared" si="0"/>
        <v/>
      </c>
      <c r="G52" s="129" t="e">
        <f t="shared" si="1"/>
        <v>#VALUE!</v>
      </c>
      <c r="H52" s="129" t="str">
        <f t="shared" si="2"/>
        <v/>
      </c>
      <c r="I52" s="152" t="str">
        <f>IF(B52="","",_xll.RSA_PANEL_FORCE_DATA("EXTREMUM","DETAILED_MXX","MAX","SMTH_GLOBAL","PANELS",B52,$D$25,,,))</f>
        <v/>
      </c>
      <c r="J52" s="129" t="e">
        <f t="shared" si="9"/>
        <v>#VALUE!</v>
      </c>
      <c r="K52" s="129" t="e" cm="1">
        <f t="array" ref="K52">[1]!PureBendingDesign(J52)</f>
        <v>#VALUE!</v>
      </c>
      <c r="L52" s="129"/>
      <c r="M52" s="129" t="str">
        <f t="shared" si="10"/>
        <v/>
      </c>
      <c r="N52" s="152" t="str" cm="1">
        <f t="array" ref="N52">_xlfn.SINGLE(IF(B52="","",-_xll.RSA_PANEL_FORCE_DATA("EXTREMUM","DETAILED_MXX","MIN","SMTH_GLOBAL","PANELS",B52,$D$25,,,)))</f>
        <v/>
      </c>
      <c r="O52" s="129" t="e">
        <f t="shared" si="3"/>
        <v>#VALUE!</v>
      </c>
      <c r="P52" s="129" t="e" cm="1">
        <f t="array" ref="P52">[1]!PureBendingDesign(O52)</f>
        <v>#VALUE!</v>
      </c>
      <c r="Q52" s="129"/>
      <c r="R52" s="129" t="str">
        <f t="shared" si="4"/>
        <v/>
      </c>
      <c r="S52" s="129" t="str">
        <f>IF(B52="","",_xll.RSA_PANEL_FORCE_DATA("EXTREMUM","DETAILED_MYY","MAX","SMTH_GLOBAL","PANELS",B52,$D$25,,,))</f>
        <v/>
      </c>
      <c r="T52" s="129" t="e">
        <f t="shared" si="5"/>
        <v>#VALUE!</v>
      </c>
      <c r="U52" s="129" t="e" cm="1">
        <f t="array" ref="U52">[1]!PureBendingDesign(T52)</f>
        <v>#VALUE!</v>
      </c>
      <c r="V52" s="129"/>
      <c r="W52" s="129" t="str">
        <f t="shared" si="6"/>
        <v/>
      </c>
      <c r="X52" s="129" t="str" cm="1">
        <f t="array" ref="X52">_xlfn.SINGLE(IF(B52="","",-_xll.RSA_PANEL_FORCE_DATA("EXTREMUM","DETAILED_MYY","MIN","SMTH_GLOBAL","PANELS",B52,$D$25,,,)))</f>
        <v/>
      </c>
      <c r="Y52" s="129" t="e">
        <f t="shared" si="7"/>
        <v>#VALUE!</v>
      </c>
      <c r="Z52" s="129" t="e" cm="1">
        <f t="array" ref="Z52">[1]!PureBendingDesign(Y52)</f>
        <v>#VALUE!</v>
      </c>
      <c r="AA52" s="129"/>
      <c r="AB52" s="129" t="str">
        <f t="shared" si="8"/>
        <v/>
      </c>
      <c r="AC52" s="135" t="str">
        <f t="shared" si="11"/>
        <v/>
      </c>
      <c r="AD52" s="75"/>
      <c r="AE52" s="135" t="str">
        <f t="shared" si="12"/>
        <v/>
      </c>
      <c r="AF52" s="75"/>
    </row>
    <row r="53" spans="1:32" x14ac:dyDescent="0.3">
      <c r="A53">
        <v>19</v>
      </c>
      <c r="B53" s="75"/>
      <c r="C53" s="129" t="str" cm="1">
        <f t="array" ref="C53">IF(B53="","",_xll.RSA_PANEL_DATA("NAME",B53))</f>
        <v/>
      </c>
      <c r="D53" s="129" t="str" cm="1">
        <f t="array" ref="D53">IF(B53="","",_xll.RSA_PANEL_THICKNESS("THICKNESS_NAME",B53))</f>
        <v/>
      </c>
      <c r="E53" s="129" t="str" cm="1">
        <f t="array" ref="E53">IF(B53="","",_xll.RSA_PANEL_THICKNESS("THH_TH_CONST",B53))</f>
        <v/>
      </c>
      <c r="F53" s="129" t="str">
        <f t="shared" si="0"/>
        <v/>
      </c>
      <c r="G53" s="129" t="e">
        <f t="shared" si="1"/>
        <v>#VALUE!</v>
      </c>
      <c r="H53" s="129" t="str">
        <f t="shared" si="2"/>
        <v/>
      </c>
      <c r="I53" s="152" t="str">
        <f>IF(B53="","",_xll.RSA_PANEL_FORCE_DATA("EXTREMUM","DETAILED_MXX","MAX","SMTH_GLOBAL","PANELS",B53,$D$25,,,))</f>
        <v/>
      </c>
      <c r="J53" s="129" t="e">
        <f t="shared" si="9"/>
        <v>#VALUE!</v>
      </c>
      <c r="K53" s="129" t="e" cm="1">
        <f t="array" ref="K53">[1]!PureBendingDesign(J53)</f>
        <v>#VALUE!</v>
      </c>
      <c r="L53" s="129"/>
      <c r="M53" s="129" t="str">
        <f t="shared" si="10"/>
        <v/>
      </c>
      <c r="N53" s="152" t="str" cm="1">
        <f t="array" ref="N53">_xlfn.SINGLE(IF(B53="","",-_xll.RSA_PANEL_FORCE_DATA("EXTREMUM","DETAILED_MXX","MIN","SMTH_GLOBAL","PANELS",B53,$D$25,,,)))</f>
        <v/>
      </c>
      <c r="O53" s="129" t="e">
        <f t="shared" si="3"/>
        <v>#VALUE!</v>
      </c>
      <c r="P53" s="129" t="e" cm="1">
        <f t="array" ref="P53">[1]!PureBendingDesign(O53)</f>
        <v>#VALUE!</v>
      </c>
      <c r="Q53" s="129"/>
      <c r="R53" s="129" t="str">
        <f t="shared" si="4"/>
        <v/>
      </c>
      <c r="S53" s="129" t="str">
        <f>IF(B53="","",_xll.RSA_PANEL_FORCE_DATA("EXTREMUM","DETAILED_MYY","MAX","SMTH_GLOBAL","PANELS",B53,$D$25,,,))</f>
        <v/>
      </c>
      <c r="T53" s="129" t="e">
        <f t="shared" si="5"/>
        <v>#VALUE!</v>
      </c>
      <c r="U53" s="129" t="e" cm="1">
        <f t="array" ref="U53">[1]!PureBendingDesign(T53)</f>
        <v>#VALUE!</v>
      </c>
      <c r="V53" s="129"/>
      <c r="W53" s="129" t="str">
        <f t="shared" si="6"/>
        <v/>
      </c>
      <c r="X53" s="129" t="str" cm="1">
        <f t="array" ref="X53">_xlfn.SINGLE(IF(B53="","",-_xll.RSA_PANEL_FORCE_DATA("EXTREMUM","DETAILED_MYY","MIN","SMTH_GLOBAL","PANELS",B53,$D$25,,,)))</f>
        <v/>
      </c>
      <c r="Y53" s="129" t="e">
        <f t="shared" si="7"/>
        <v>#VALUE!</v>
      </c>
      <c r="Z53" s="129" t="e" cm="1">
        <f t="array" ref="Z53">[1]!PureBendingDesign(Y53)</f>
        <v>#VALUE!</v>
      </c>
      <c r="AA53" s="129"/>
      <c r="AB53" s="129" t="str">
        <f t="shared" si="8"/>
        <v/>
      </c>
      <c r="AC53" s="135" t="str">
        <f t="shared" si="11"/>
        <v/>
      </c>
      <c r="AD53" s="75"/>
      <c r="AE53" s="135" t="str">
        <f t="shared" si="12"/>
        <v/>
      </c>
      <c r="AF53" s="75"/>
    </row>
    <row r="54" spans="1:32" x14ac:dyDescent="0.3">
      <c r="A54">
        <v>20</v>
      </c>
      <c r="B54" s="75"/>
      <c r="C54" s="129" t="str" cm="1">
        <f t="array" ref="C54">IF(B54="","",_xll.RSA_PANEL_DATA("NAME",B54))</f>
        <v/>
      </c>
      <c r="D54" s="129" t="str" cm="1">
        <f t="array" ref="D54">IF(B54="","",_xll.RSA_PANEL_THICKNESS("THICKNESS_NAME",B54))</f>
        <v/>
      </c>
      <c r="E54" s="129" t="str" cm="1">
        <f t="array" ref="E54">IF(B54="","",_xll.RSA_PANEL_THICKNESS("THH_TH_CONST",B54))</f>
        <v/>
      </c>
      <c r="F54" s="129" t="str">
        <f t="shared" si="0"/>
        <v/>
      </c>
      <c r="G54" s="129" t="e">
        <f t="shared" si="1"/>
        <v>#VALUE!</v>
      </c>
      <c r="H54" s="129" t="str">
        <f t="shared" si="2"/>
        <v/>
      </c>
      <c r="I54" s="152" t="str">
        <f>IF(B54="","",_xll.RSA_PANEL_FORCE_DATA("EXTREMUM","DETAILED_MXX","MAX","SMTH_GLOBAL","PANELS",B54,$D$25,,,))</f>
        <v/>
      </c>
      <c r="J54" s="129" t="e">
        <f t="shared" si="9"/>
        <v>#VALUE!</v>
      </c>
      <c r="K54" s="129" t="e" cm="1">
        <f t="array" ref="K54">[1]!PureBendingDesign(J54)</f>
        <v>#VALUE!</v>
      </c>
      <c r="L54" s="129"/>
      <c r="M54" s="129" t="str">
        <f t="shared" si="10"/>
        <v/>
      </c>
      <c r="N54" s="152" t="str" cm="1">
        <f t="array" ref="N54">_xlfn.SINGLE(IF(B54="","",-_xll.RSA_PANEL_FORCE_DATA("EXTREMUM","DETAILED_MXX","MIN","SMTH_GLOBAL","PANELS",B54,$D$25,,,)))</f>
        <v/>
      </c>
      <c r="O54" s="129" t="e">
        <f t="shared" si="3"/>
        <v>#VALUE!</v>
      </c>
      <c r="P54" s="129" t="e" cm="1">
        <f t="array" ref="P54">[1]!PureBendingDesign(O54)</f>
        <v>#VALUE!</v>
      </c>
      <c r="Q54" s="129"/>
      <c r="R54" s="129" t="str">
        <f t="shared" si="4"/>
        <v/>
      </c>
      <c r="S54" s="129" t="str">
        <f>IF(B54="","",_xll.RSA_PANEL_FORCE_DATA("EXTREMUM","DETAILED_MYY","MAX","SMTH_GLOBAL","PANELS",B54,$D$25,,,))</f>
        <v/>
      </c>
      <c r="T54" s="129" t="e">
        <f t="shared" si="5"/>
        <v>#VALUE!</v>
      </c>
      <c r="U54" s="129" t="e" cm="1">
        <f t="array" ref="U54">[1]!PureBendingDesign(T54)</f>
        <v>#VALUE!</v>
      </c>
      <c r="V54" s="129"/>
      <c r="W54" s="129" t="str">
        <f t="shared" si="6"/>
        <v/>
      </c>
      <c r="X54" s="129" t="str" cm="1">
        <f t="array" ref="X54">_xlfn.SINGLE(IF(B54="","",-_xll.RSA_PANEL_FORCE_DATA("EXTREMUM","DETAILED_MYY","MIN","SMTH_GLOBAL","PANELS",B54,$D$25,,,)))</f>
        <v/>
      </c>
      <c r="Y54" s="129" t="e">
        <f t="shared" si="7"/>
        <v>#VALUE!</v>
      </c>
      <c r="Z54" s="129" t="e" cm="1">
        <f t="array" ref="Z54">[1]!PureBendingDesign(Y54)</f>
        <v>#VALUE!</v>
      </c>
      <c r="AA54" s="129"/>
      <c r="AB54" s="129" t="str">
        <f t="shared" si="8"/>
        <v/>
      </c>
      <c r="AC54" s="135" t="str">
        <f t="shared" si="11"/>
        <v/>
      </c>
      <c r="AD54" s="75"/>
      <c r="AE54" s="135" t="str">
        <f t="shared" si="12"/>
        <v/>
      </c>
      <c r="AF54" s="75"/>
    </row>
    <row r="55" spans="1:32" x14ac:dyDescent="0.3">
      <c r="A55">
        <v>21</v>
      </c>
      <c r="B55" s="75"/>
      <c r="C55" s="129" t="str" cm="1">
        <f t="array" ref="C55">IF(B55="","",_xll.RSA_PANEL_DATA("NAME",B55))</f>
        <v/>
      </c>
      <c r="D55" s="129" t="str" cm="1">
        <f t="array" ref="D55">IF(B55="","",_xll.RSA_PANEL_THICKNESS("THICKNESS_NAME",B55))</f>
        <v/>
      </c>
      <c r="E55" s="129" t="str" cm="1">
        <f t="array" ref="E55">IF(B55="","",_xll.RSA_PANEL_THICKNESS("THH_TH_CONST",B55))</f>
        <v/>
      </c>
      <c r="F55" s="129" t="str">
        <f t="shared" si="0"/>
        <v/>
      </c>
      <c r="G55" s="129" t="e">
        <f t="shared" si="1"/>
        <v>#VALUE!</v>
      </c>
      <c r="H55" s="129" t="str">
        <f t="shared" si="2"/>
        <v/>
      </c>
      <c r="I55" s="152" t="str">
        <f>IF(B55="","",_xll.RSA_PANEL_FORCE_DATA("EXTREMUM","DETAILED_MXX","MAX","SMTH_GLOBAL","PANELS",B55,$D$25,,,))</f>
        <v/>
      </c>
      <c r="J55" s="129" t="e">
        <f t="shared" si="9"/>
        <v>#VALUE!</v>
      </c>
      <c r="K55" s="129" t="e" cm="1">
        <f t="array" ref="K55">[1]!PureBendingDesign(J55)</f>
        <v>#VALUE!</v>
      </c>
      <c r="L55" s="129"/>
      <c r="M55" s="129" t="str">
        <f t="shared" si="10"/>
        <v/>
      </c>
      <c r="N55" s="152" t="str" cm="1">
        <f t="array" ref="N55">_xlfn.SINGLE(IF(B55="","",-_xll.RSA_PANEL_FORCE_DATA("EXTREMUM","DETAILED_MXX","MIN","SMTH_GLOBAL","PANELS",B55,$D$25,,,)))</f>
        <v/>
      </c>
      <c r="O55" s="129" t="e">
        <f t="shared" si="3"/>
        <v>#VALUE!</v>
      </c>
      <c r="P55" s="129" t="e" cm="1">
        <f t="array" ref="P55">[1]!PureBendingDesign(O55)</f>
        <v>#VALUE!</v>
      </c>
      <c r="Q55" s="129"/>
      <c r="R55" s="129" t="str">
        <f t="shared" si="4"/>
        <v/>
      </c>
      <c r="S55" s="129" t="str">
        <f>IF(B55="","",_xll.RSA_PANEL_FORCE_DATA("EXTREMUM","DETAILED_MYY","MAX","SMTH_GLOBAL","PANELS",B55,$D$25,,,))</f>
        <v/>
      </c>
      <c r="T55" s="129" t="e">
        <f t="shared" si="5"/>
        <v>#VALUE!</v>
      </c>
      <c r="U55" s="129" t="e" cm="1">
        <f t="array" ref="U55">[1]!PureBendingDesign(T55)</f>
        <v>#VALUE!</v>
      </c>
      <c r="V55" s="129"/>
      <c r="W55" s="129" t="str">
        <f t="shared" si="6"/>
        <v/>
      </c>
      <c r="X55" s="129" t="str" cm="1">
        <f t="array" ref="X55">_xlfn.SINGLE(IF(B55="","",-_xll.RSA_PANEL_FORCE_DATA("EXTREMUM","DETAILED_MYY","MIN","SMTH_GLOBAL","PANELS",B55,$D$25,,,)))</f>
        <v/>
      </c>
      <c r="Y55" s="129" t="e">
        <f t="shared" si="7"/>
        <v>#VALUE!</v>
      </c>
      <c r="Z55" s="129" t="e" cm="1">
        <f t="array" ref="Z55">[1]!PureBendingDesign(Y55)</f>
        <v>#VALUE!</v>
      </c>
      <c r="AA55" s="129"/>
      <c r="AB55" s="129" t="str">
        <f t="shared" si="8"/>
        <v/>
      </c>
      <c r="AC55" s="135" t="str">
        <f t="shared" si="11"/>
        <v/>
      </c>
      <c r="AD55" s="75"/>
      <c r="AE55" s="135" t="str">
        <f t="shared" si="12"/>
        <v/>
      </c>
      <c r="AF55" s="75"/>
    </row>
    <row r="56" spans="1:32" x14ac:dyDescent="0.3">
      <c r="A56">
        <v>22</v>
      </c>
      <c r="B56" s="75"/>
      <c r="C56" s="129" t="str" cm="1">
        <f t="array" ref="C56">IF(B56="","",_xll.RSA_PANEL_DATA("NAME",B56))</f>
        <v/>
      </c>
      <c r="D56" s="129" t="str" cm="1">
        <f t="array" ref="D56">IF(B56="","",_xll.RSA_PANEL_THICKNESS("THICKNESS_NAME",B56))</f>
        <v/>
      </c>
      <c r="E56" s="129" t="str" cm="1">
        <f t="array" ref="E56">IF(B56="","",_xll.RSA_PANEL_THICKNESS("THH_TH_CONST",B56))</f>
        <v/>
      </c>
      <c r="F56" s="129" t="str">
        <f t="shared" si="0"/>
        <v/>
      </c>
      <c r="G56" s="129" t="e">
        <f t="shared" si="1"/>
        <v>#VALUE!</v>
      </c>
      <c r="H56" s="129" t="str">
        <f t="shared" si="2"/>
        <v/>
      </c>
      <c r="I56" s="152" t="str">
        <f>IF(B56="","",_xll.RSA_PANEL_FORCE_DATA("EXTREMUM","DETAILED_MXX","MAX","SMTH_GLOBAL","PANELS",B56,$D$25,,,))</f>
        <v/>
      </c>
      <c r="J56" s="129" t="e">
        <f t="shared" si="9"/>
        <v>#VALUE!</v>
      </c>
      <c r="K56" s="129" t="e" cm="1">
        <f t="array" ref="K56">[1]!PureBendingDesign(J56)</f>
        <v>#VALUE!</v>
      </c>
      <c r="L56" s="129"/>
      <c r="M56" s="129" t="str">
        <f t="shared" si="10"/>
        <v/>
      </c>
      <c r="N56" s="152" t="str" cm="1">
        <f t="array" ref="N56">_xlfn.SINGLE(IF(B56="","",-_xll.RSA_PANEL_FORCE_DATA("EXTREMUM","DETAILED_MXX","MIN","SMTH_GLOBAL","PANELS",B56,$D$25,,,)))</f>
        <v/>
      </c>
      <c r="O56" s="129" t="e">
        <f t="shared" si="3"/>
        <v>#VALUE!</v>
      </c>
      <c r="P56" s="129" t="e" cm="1">
        <f t="array" ref="P56">[1]!PureBendingDesign(O56)</f>
        <v>#VALUE!</v>
      </c>
      <c r="Q56" s="129"/>
      <c r="R56" s="129" t="str">
        <f t="shared" si="4"/>
        <v/>
      </c>
      <c r="S56" s="129" t="str">
        <f>IF(B56="","",_xll.RSA_PANEL_FORCE_DATA("EXTREMUM","DETAILED_MYY","MAX","SMTH_GLOBAL","PANELS",B56,$D$25,,,))</f>
        <v/>
      </c>
      <c r="T56" s="129" t="e">
        <f t="shared" si="5"/>
        <v>#VALUE!</v>
      </c>
      <c r="U56" s="129" t="e" cm="1">
        <f t="array" ref="U56">[1]!PureBendingDesign(T56)</f>
        <v>#VALUE!</v>
      </c>
      <c r="V56" s="129"/>
      <c r="W56" s="129" t="str">
        <f t="shared" si="6"/>
        <v/>
      </c>
      <c r="X56" s="129" t="str" cm="1">
        <f t="array" ref="X56">_xlfn.SINGLE(IF(B56="","",-_xll.RSA_PANEL_FORCE_DATA("EXTREMUM","DETAILED_MYY","MIN","SMTH_GLOBAL","PANELS",B56,$D$25,,,)))</f>
        <v/>
      </c>
      <c r="Y56" s="129" t="e">
        <f t="shared" si="7"/>
        <v>#VALUE!</v>
      </c>
      <c r="Z56" s="129" t="e" cm="1">
        <f t="array" ref="Z56">[1]!PureBendingDesign(Y56)</f>
        <v>#VALUE!</v>
      </c>
      <c r="AA56" s="129"/>
      <c r="AB56" s="129" t="str">
        <f t="shared" si="8"/>
        <v/>
      </c>
      <c r="AC56" s="135" t="str">
        <f t="shared" si="11"/>
        <v/>
      </c>
      <c r="AD56" s="75"/>
      <c r="AE56" s="135" t="str">
        <f t="shared" si="12"/>
        <v/>
      </c>
      <c r="AF56" s="75"/>
    </row>
    <row r="57" spans="1:32" x14ac:dyDescent="0.3">
      <c r="A57">
        <v>23</v>
      </c>
      <c r="B57" s="75"/>
      <c r="C57" s="129" t="str" cm="1">
        <f t="array" ref="C57">IF(B57="","",_xll.RSA_PANEL_DATA("NAME",B57))</f>
        <v/>
      </c>
      <c r="D57" s="129" t="str" cm="1">
        <f t="array" ref="D57">IF(B57="","",_xll.RSA_PANEL_THICKNESS("THICKNESS_NAME",B57))</f>
        <v/>
      </c>
      <c r="E57" s="129" t="str" cm="1">
        <f t="array" ref="E57">IF(B57="","",_xll.RSA_PANEL_THICKNESS("THH_TH_CONST",B57))</f>
        <v/>
      </c>
      <c r="F57" s="129" t="str">
        <f t="shared" si="0"/>
        <v/>
      </c>
      <c r="G57" s="129" t="e">
        <f t="shared" si="1"/>
        <v>#VALUE!</v>
      </c>
      <c r="H57" s="129" t="str">
        <f t="shared" si="2"/>
        <v/>
      </c>
      <c r="I57" s="152" t="str">
        <f>IF(B57="","",_xll.RSA_PANEL_FORCE_DATA("EXTREMUM","DETAILED_MXX","MAX","SMTH_GLOBAL","PANELS",B57,$D$25,,,))</f>
        <v/>
      </c>
      <c r="J57" s="129" t="e">
        <f t="shared" si="9"/>
        <v>#VALUE!</v>
      </c>
      <c r="K57" s="129" t="e" cm="1">
        <f t="array" ref="K57">[1]!PureBendingDesign(J57)</f>
        <v>#VALUE!</v>
      </c>
      <c r="L57" s="129"/>
      <c r="M57" s="129" t="str">
        <f t="shared" si="10"/>
        <v/>
      </c>
      <c r="N57" s="152" t="str" cm="1">
        <f t="array" ref="N57">_xlfn.SINGLE(IF(B57="","",-_xll.RSA_PANEL_FORCE_DATA("EXTREMUM","DETAILED_MXX","MIN","SMTH_GLOBAL","PANELS",B57,$D$25,,,)))</f>
        <v/>
      </c>
      <c r="O57" s="129" t="e">
        <f t="shared" si="3"/>
        <v>#VALUE!</v>
      </c>
      <c r="P57" s="129" t="e" cm="1">
        <f t="array" ref="P57">[1]!PureBendingDesign(O57)</f>
        <v>#VALUE!</v>
      </c>
      <c r="Q57" s="129"/>
      <c r="R57" s="129" t="str">
        <f t="shared" si="4"/>
        <v/>
      </c>
      <c r="S57" s="129" t="str">
        <f>IF(B57="","",_xll.RSA_PANEL_FORCE_DATA("EXTREMUM","DETAILED_MYY","MAX","SMTH_GLOBAL","PANELS",B57,$D$25,,,))</f>
        <v/>
      </c>
      <c r="T57" s="129" t="e">
        <f t="shared" si="5"/>
        <v>#VALUE!</v>
      </c>
      <c r="U57" s="129" t="e" cm="1">
        <f t="array" ref="U57">[1]!PureBendingDesign(T57)</f>
        <v>#VALUE!</v>
      </c>
      <c r="V57" s="129"/>
      <c r="W57" s="129" t="str">
        <f t="shared" si="6"/>
        <v/>
      </c>
      <c r="X57" s="129" t="str" cm="1">
        <f t="array" ref="X57">_xlfn.SINGLE(IF(B57="","",-_xll.RSA_PANEL_FORCE_DATA("EXTREMUM","DETAILED_MYY","MIN","SMTH_GLOBAL","PANELS",B57,$D$25,,,)))</f>
        <v/>
      </c>
      <c r="Y57" s="129" t="e">
        <f t="shared" si="7"/>
        <v>#VALUE!</v>
      </c>
      <c r="Z57" s="129" t="e" cm="1">
        <f t="array" ref="Z57">[1]!PureBendingDesign(Y57)</f>
        <v>#VALUE!</v>
      </c>
      <c r="AA57" s="129"/>
      <c r="AB57" s="129" t="str">
        <f t="shared" si="8"/>
        <v/>
      </c>
      <c r="AC57" s="135" t="str">
        <f t="shared" si="11"/>
        <v/>
      </c>
      <c r="AD57" s="75"/>
      <c r="AE57" s="135" t="str">
        <f t="shared" si="12"/>
        <v/>
      </c>
      <c r="AF57" s="75"/>
    </row>
    <row r="58" spans="1:32" x14ac:dyDescent="0.3">
      <c r="A58">
        <v>24</v>
      </c>
      <c r="B58" s="75"/>
      <c r="C58" s="129" t="str" cm="1">
        <f t="array" ref="C58">IF(B58="","",_xll.RSA_PANEL_DATA("NAME",B58))</f>
        <v/>
      </c>
      <c r="D58" s="129" t="str" cm="1">
        <f t="array" ref="D58">IF(B58="","",_xll.RSA_PANEL_THICKNESS("THICKNESS_NAME",B58))</f>
        <v/>
      </c>
      <c r="E58" s="129" t="str" cm="1">
        <f t="array" ref="E58">IF(B58="","",_xll.RSA_PANEL_THICKNESS("THH_TH_CONST",B58))</f>
        <v/>
      </c>
      <c r="F58" s="129" t="str">
        <f t="shared" si="0"/>
        <v/>
      </c>
      <c r="G58" s="129" t="e">
        <f t="shared" si="1"/>
        <v>#VALUE!</v>
      </c>
      <c r="H58" s="129" t="str">
        <f t="shared" si="2"/>
        <v/>
      </c>
      <c r="I58" s="152" t="str">
        <f>IF(B58="","",_xll.RSA_PANEL_FORCE_DATA("EXTREMUM","DETAILED_MXX","MAX","SMTH_GLOBAL","PANELS",B58,$D$25,,,))</f>
        <v/>
      </c>
      <c r="J58" s="129" t="e">
        <f t="shared" si="9"/>
        <v>#VALUE!</v>
      </c>
      <c r="K58" s="129" t="e" cm="1">
        <f t="array" ref="K58">[1]!PureBendingDesign(J58)</f>
        <v>#VALUE!</v>
      </c>
      <c r="L58" s="129"/>
      <c r="M58" s="129" t="str">
        <f t="shared" si="10"/>
        <v/>
      </c>
      <c r="N58" s="152" t="str" cm="1">
        <f t="array" ref="N58">_xlfn.SINGLE(IF(B58="","",-_xll.RSA_PANEL_FORCE_DATA("EXTREMUM","DETAILED_MXX","MIN","SMTH_GLOBAL","PANELS",B58,$D$25,,,)))</f>
        <v/>
      </c>
      <c r="O58" s="129" t="e">
        <f t="shared" si="3"/>
        <v>#VALUE!</v>
      </c>
      <c r="P58" s="129" t="e" cm="1">
        <f t="array" ref="P58">[1]!PureBendingDesign(O58)</f>
        <v>#VALUE!</v>
      </c>
      <c r="Q58" s="129"/>
      <c r="R58" s="129" t="str">
        <f t="shared" si="4"/>
        <v/>
      </c>
      <c r="S58" s="129" t="str">
        <f>IF(B58="","",_xll.RSA_PANEL_FORCE_DATA("EXTREMUM","DETAILED_MYY","MAX","SMTH_GLOBAL","PANELS",B58,$D$25,,,))</f>
        <v/>
      </c>
      <c r="T58" s="129" t="e">
        <f t="shared" si="5"/>
        <v>#VALUE!</v>
      </c>
      <c r="U58" s="129" t="e" cm="1">
        <f t="array" ref="U58">[1]!PureBendingDesign(T58)</f>
        <v>#VALUE!</v>
      </c>
      <c r="V58" s="129"/>
      <c r="W58" s="129" t="str">
        <f t="shared" si="6"/>
        <v/>
      </c>
      <c r="X58" s="129" t="str" cm="1">
        <f t="array" ref="X58">_xlfn.SINGLE(IF(B58="","",-_xll.RSA_PANEL_FORCE_DATA("EXTREMUM","DETAILED_MYY","MIN","SMTH_GLOBAL","PANELS",B58,$D$25,,,)))</f>
        <v/>
      </c>
      <c r="Y58" s="129" t="e">
        <f t="shared" si="7"/>
        <v>#VALUE!</v>
      </c>
      <c r="Z58" s="129" t="e" cm="1">
        <f t="array" ref="Z58">[1]!PureBendingDesign(Y58)</f>
        <v>#VALUE!</v>
      </c>
      <c r="AA58" s="129"/>
      <c r="AB58" s="129" t="str">
        <f t="shared" si="8"/>
        <v/>
      </c>
      <c r="AC58" s="135" t="str">
        <f t="shared" si="11"/>
        <v/>
      </c>
      <c r="AD58" s="75"/>
      <c r="AE58" s="135" t="str">
        <f t="shared" si="12"/>
        <v/>
      </c>
      <c r="AF58" s="75"/>
    </row>
    <row r="59" spans="1:32" x14ac:dyDescent="0.3">
      <c r="A59">
        <v>25</v>
      </c>
      <c r="B59" s="75"/>
      <c r="C59" s="129" t="str" cm="1">
        <f t="array" ref="C59">IF(B59="","",_xll.RSA_PANEL_DATA("NAME",B59))</f>
        <v/>
      </c>
      <c r="D59" s="129" t="str" cm="1">
        <f t="array" ref="D59">IF(B59="","",_xll.RSA_PANEL_THICKNESS("THICKNESS_NAME",B59))</f>
        <v/>
      </c>
      <c r="E59" s="129" t="str" cm="1">
        <f t="array" ref="E59">IF(B59="","",_xll.RSA_PANEL_THICKNESS("THH_TH_CONST",B59))</f>
        <v/>
      </c>
      <c r="F59" s="129" t="str">
        <f t="shared" si="0"/>
        <v/>
      </c>
      <c r="G59" s="129" t="e">
        <f t="shared" si="1"/>
        <v>#VALUE!</v>
      </c>
      <c r="H59" s="129" t="str">
        <f t="shared" si="2"/>
        <v/>
      </c>
      <c r="I59" s="152" t="str">
        <f>IF(B59="","",_xll.RSA_PANEL_FORCE_DATA("EXTREMUM","DETAILED_MXX","MAX","SMTH_GLOBAL","PANELS",B59,$D$25,,,))</f>
        <v/>
      </c>
      <c r="J59" s="129" t="e">
        <f t="shared" si="9"/>
        <v>#VALUE!</v>
      </c>
      <c r="K59" s="129" t="e" cm="1">
        <f t="array" ref="K59">[1]!PureBendingDesign(J59)</f>
        <v>#VALUE!</v>
      </c>
      <c r="L59" s="129"/>
      <c r="M59" s="129" t="str">
        <f t="shared" si="10"/>
        <v/>
      </c>
      <c r="N59" s="152" t="str" cm="1">
        <f t="array" ref="N59">_xlfn.SINGLE(IF(B59="","",-_xll.RSA_PANEL_FORCE_DATA("EXTREMUM","DETAILED_MXX","MIN","SMTH_GLOBAL","PANELS",B59,$D$25,,,)))</f>
        <v/>
      </c>
      <c r="O59" s="129" t="e">
        <f t="shared" si="3"/>
        <v>#VALUE!</v>
      </c>
      <c r="P59" s="129" t="e" cm="1">
        <f t="array" ref="P59">[1]!PureBendingDesign(O59)</f>
        <v>#VALUE!</v>
      </c>
      <c r="Q59" s="129"/>
      <c r="R59" s="129" t="str">
        <f t="shared" si="4"/>
        <v/>
      </c>
      <c r="S59" s="129" t="str">
        <f>IF(B59="","",_xll.RSA_PANEL_FORCE_DATA("EXTREMUM","DETAILED_MYY","MAX","SMTH_GLOBAL","PANELS",B59,$D$25,,,))</f>
        <v/>
      </c>
      <c r="T59" s="129" t="e">
        <f t="shared" si="5"/>
        <v>#VALUE!</v>
      </c>
      <c r="U59" s="129" t="e" cm="1">
        <f t="array" ref="U59">[1]!PureBendingDesign(T59)</f>
        <v>#VALUE!</v>
      </c>
      <c r="V59" s="129"/>
      <c r="W59" s="129" t="str">
        <f t="shared" si="6"/>
        <v/>
      </c>
      <c r="X59" s="129" t="str" cm="1">
        <f t="array" ref="X59">_xlfn.SINGLE(IF(B59="","",-_xll.RSA_PANEL_FORCE_DATA("EXTREMUM","DETAILED_MYY","MIN","SMTH_GLOBAL","PANELS",B59,$D$25,,,)))</f>
        <v/>
      </c>
      <c r="Y59" s="129" t="e">
        <f t="shared" si="7"/>
        <v>#VALUE!</v>
      </c>
      <c r="Z59" s="129" t="e" cm="1">
        <f t="array" ref="Z59">[1]!PureBendingDesign(Y59)</f>
        <v>#VALUE!</v>
      </c>
      <c r="AA59" s="129"/>
      <c r="AB59" s="129" t="str">
        <f t="shared" si="8"/>
        <v/>
      </c>
      <c r="AC59" s="135" t="str">
        <f t="shared" si="11"/>
        <v/>
      </c>
      <c r="AD59" s="75"/>
      <c r="AE59" s="135" t="str">
        <f t="shared" si="12"/>
        <v/>
      </c>
      <c r="AF59" s="75"/>
    </row>
    <row r="60" spans="1:32" x14ac:dyDescent="0.3">
      <c r="N60" s="148"/>
      <c r="P60"/>
      <c r="AE60" s="162"/>
    </row>
  </sheetData>
  <mergeCells count="6">
    <mergeCell ref="B33:F33"/>
    <mergeCell ref="AC5:AE5"/>
    <mergeCell ref="I33:R33"/>
    <mergeCell ref="S33:AB33"/>
    <mergeCell ref="AC33:AD33"/>
    <mergeCell ref="AE33:AF3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EC6C3-16E0-4277-B4B4-CEA75B6C5E0B}">
  <sheetPr codeName="Sheet8"/>
  <dimension ref="B2:AO73"/>
  <sheetViews>
    <sheetView topLeftCell="A19" zoomScaleNormal="100" workbookViewId="0">
      <selection activeCell="AO33" sqref="AO33"/>
    </sheetView>
  </sheetViews>
  <sheetFormatPr defaultRowHeight="14.4" x14ac:dyDescent="0.3"/>
  <cols>
    <col min="2" max="2" width="8.33203125" customWidth="1"/>
    <col min="3" max="3" width="13.21875" customWidth="1"/>
    <col min="4" max="4" width="9.88671875" customWidth="1"/>
    <col min="5" max="7" width="8.33203125" customWidth="1"/>
    <col min="8" max="9" width="8.33203125" hidden="1" customWidth="1"/>
    <col min="10" max="10" width="8.33203125" customWidth="1"/>
    <col min="11" max="12" width="12" bestFit="1" customWidth="1"/>
    <col min="13" max="13" width="4.109375" bestFit="1" customWidth="1"/>
    <col min="14" max="14" width="12" bestFit="1" customWidth="1"/>
    <col min="15" max="15" width="8.33203125" bestFit="1" customWidth="1"/>
    <col min="16" max="16" width="8.33203125" customWidth="1"/>
    <col min="17" max="22" width="8.33203125" hidden="1" customWidth="1"/>
    <col min="23" max="24" width="8.33203125" customWidth="1"/>
    <col min="25" max="25" width="8.33203125" hidden="1" customWidth="1"/>
    <col min="26" max="27" width="8.33203125" customWidth="1"/>
    <col min="28" max="28" width="8.33203125" hidden="1" customWidth="1"/>
    <col min="29" max="30" width="8.33203125" customWidth="1"/>
    <col min="31" max="32" width="8.33203125" hidden="1" customWidth="1"/>
    <col min="33" max="33" width="8.33203125" customWidth="1"/>
    <col min="34" max="35" width="8.33203125" hidden="1" customWidth="1"/>
    <col min="36" max="36" width="8.33203125" customWidth="1"/>
    <col min="37" max="37" width="8.33203125" hidden="1" customWidth="1"/>
    <col min="38" max="38" width="8.33203125" customWidth="1"/>
    <col min="39" max="40" width="8.33203125" hidden="1" customWidth="1"/>
    <col min="41" max="41" width="8.33203125" customWidth="1"/>
  </cols>
  <sheetData>
    <row r="2" spans="2:16" x14ac:dyDescent="0.3">
      <c r="F2" s="126"/>
    </row>
    <row r="3" spans="2:16" x14ac:dyDescent="0.3">
      <c r="B3" s="324" t="s">
        <v>0</v>
      </c>
      <c r="C3" s="324"/>
      <c r="D3" s="324"/>
    </row>
    <row r="4" spans="2:16" x14ac:dyDescent="0.3">
      <c r="B4" s="319" t="s">
        <v>240</v>
      </c>
      <c r="C4" s="320"/>
      <c r="D4" s="262">
        <v>0.8</v>
      </c>
      <c r="E4" s="121" t="s">
        <v>1</v>
      </c>
      <c r="P4" t="s">
        <v>254</v>
      </c>
    </row>
    <row r="5" spans="2:16" x14ac:dyDescent="0.3">
      <c r="B5" s="319" t="s">
        <v>241</v>
      </c>
      <c r="C5" s="320"/>
      <c r="D5" s="262">
        <v>0.82499999999999996</v>
      </c>
      <c r="E5" s="121" t="s">
        <v>2</v>
      </c>
      <c r="P5" t="s">
        <v>255</v>
      </c>
    </row>
    <row r="6" spans="2:16" x14ac:dyDescent="0.3">
      <c r="B6" s="319" t="s">
        <v>242</v>
      </c>
      <c r="C6" s="320"/>
      <c r="D6" s="262">
        <v>0.8</v>
      </c>
      <c r="E6" s="121" t="s">
        <v>3</v>
      </c>
    </row>
    <row r="7" spans="2:16" x14ac:dyDescent="0.3">
      <c r="B7" s="319" t="s">
        <v>243</v>
      </c>
      <c r="C7" s="320" t="s">
        <v>243</v>
      </c>
      <c r="D7" s="262">
        <v>0.66666666666666663</v>
      </c>
      <c r="E7" s="121" t="s">
        <v>4</v>
      </c>
    </row>
    <row r="8" spans="2:16" x14ac:dyDescent="0.3">
      <c r="B8" s="324" t="s">
        <v>5</v>
      </c>
      <c r="C8" s="324"/>
      <c r="D8" s="324"/>
      <c r="E8" s="121"/>
    </row>
    <row r="9" spans="2:16" x14ac:dyDescent="0.3">
      <c r="B9" s="319" t="s">
        <v>6</v>
      </c>
      <c r="C9" s="320"/>
      <c r="D9" s="262">
        <v>15</v>
      </c>
      <c r="E9" s="121" t="s">
        <v>34</v>
      </c>
      <c r="G9" s="263"/>
      <c r="H9" s="263"/>
      <c r="I9" s="121"/>
      <c r="J9" s="142"/>
    </row>
    <row r="10" spans="2:16" x14ac:dyDescent="0.3">
      <c r="B10" s="319" t="s">
        <v>7</v>
      </c>
      <c r="C10" s="320"/>
      <c r="D10" s="262">
        <v>3.0000000000000001E-3</v>
      </c>
      <c r="E10" s="121"/>
      <c r="G10" s="121"/>
      <c r="H10" s="121"/>
      <c r="I10" s="121"/>
      <c r="J10" s="264"/>
    </row>
    <row r="11" spans="2:16" x14ac:dyDescent="0.3">
      <c r="B11" s="319" t="s">
        <v>8</v>
      </c>
      <c r="C11" s="320"/>
      <c r="D11" s="262">
        <v>1.5</v>
      </c>
      <c r="E11" s="121"/>
      <c r="G11" s="121"/>
      <c r="H11" s="121"/>
      <c r="I11" s="121"/>
      <c r="J11" s="265"/>
    </row>
    <row r="12" spans="2:16" x14ac:dyDescent="0.3">
      <c r="B12" s="324" t="s">
        <v>87</v>
      </c>
      <c r="C12" s="324"/>
      <c r="D12" s="324"/>
      <c r="E12" s="121"/>
      <c r="G12" s="121"/>
      <c r="H12" s="121"/>
      <c r="I12" s="121"/>
      <c r="J12" s="264"/>
    </row>
    <row r="13" spans="2:16" x14ac:dyDescent="0.3">
      <c r="B13" s="319" t="s">
        <v>10</v>
      </c>
      <c r="C13" s="320"/>
      <c r="D13" s="262">
        <v>420</v>
      </c>
      <c r="E13" s="121" t="s">
        <v>34</v>
      </c>
      <c r="G13" s="121"/>
      <c r="H13" s="121"/>
      <c r="I13" s="121"/>
      <c r="J13" s="266"/>
    </row>
    <row r="14" spans="2:16" x14ac:dyDescent="0.3">
      <c r="B14" s="319" t="s">
        <v>86</v>
      </c>
      <c r="C14" s="320"/>
      <c r="D14" s="262">
        <v>240</v>
      </c>
      <c r="E14" s="121" t="s">
        <v>34</v>
      </c>
    </row>
    <row r="15" spans="2:16" x14ac:dyDescent="0.3">
      <c r="B15" s="319" t="s">
        <v>11</v>
      </c>
      <c r="C15" s="320"/>
      <c r="D15" s="262">
        <v>200000</v>
      </c>
      <c r="E15" s="121" t="s">
        <v>35</v>
      </c>
    </row>
    <row r="16" spans="2:16" x14ac:dyDescent="0.3">
      <c r="B16" s="319" t="s">
        <v>12</v>
      </c>
      <c r="C16" s="320"/>
      <c r="D16" s="262">
        <v>1.1499999999999999</v>
      </c>
      <c r="E16" s="121"/>
    </row>
    <row r="17" spans="2:41" x14ac:dyDescent="0.3">
      <c r="B17" s="319" t="s">
        <v>168</v>
      </c>
      <c r="C17" s="320"/>
      <c r="D17" s="267">
        <v>3.0999999999999999E-3</v>
      </c>
      <c r="E17" s="121"/>
    </row>
    <row r="18" spans="2:41" x14ac:dyDescent="0.3">
      <c r="B18" s="319" t="s">
        <v>13</v>
      </c>
      <c r="C18" s="320"/>
      <c r="D18" s="267">
        <f>D13/D16</f>
        <v>365.21739130434787</v>
      </c>
      <c r="E18" s="121" t="s">
        <v>34</v>
      </c>
    </row>
    <row r="19" spans="2:41" x14ac:dyDescent="0.3">
      <c r="B19" s="319" t="s">
        <v>9</v>
      </c>
      <c r="C19" s="320"/>
      <c r="D19" s="267">
        <f>D9*D4*D5/D11</f>
        <v>6.5999999999999988</v>
      </c>
      <c r="E19" s="121" t="s">
        <v>34</v>
      </c>
    </row>
    <row r="20" spans="2:41" x14ac:dyDescent="0.3">
      <c r="B20" s="319" t="s">
        <v>88</v>
      </c>
      <c r="C20" s="320"/>
      <c r="D20" s="267">
        <f>D14/D16</f>
        <v>208.69565217391306</v>
      </c>
      <c r="E20" s="121"/>
    </row>
    <row r="21" spans="2:41" x14ac:dyDescent="0.3">
      <c r="B21" s="319" t="s">
        <v>82</v>
      </c>
      <c r="C21" s="320"/>
      <c r="D21" s="267">
        <f>0.24*SQRT(D9/D11)</f>
        <v>0.7589466384404111</v>
      </c>
      <c r="E21" s="121" t="s">
        <v>34</v>
      </c>
    </row>
    <row r="22" spans="2:41" x14ac:dyDescent="0.3">
      <c r="B22" s="319" t="s">
        <v>83</v>
      </c>
      <c r="C22" s="320"/>
      <c r="D22" s="267">
        <f>0.7*SQRT(D9/D11)</f>
        <v>2.2135943621178655</v>
      </c>
      <c r="E22" s="121" t="s">
        <v>34</v>
      </c>
    </row>
    <row r="23" spans="2:41" x14ac:dyDescent="0.3">
      <c r="B23" s="319" t="s">
        <v>33</v>
      </c>
      <c r="C23" s="320"/>
      <c r="D23" s="267">
        <f>D7*D10/(D10+D13/D15)</f>
        <v>0.39215686274509803</v>
      </c>
      <c r="E23" s="121"/>
    </row>
    <row r="24" spans="2:41" x14ac:dyDescent="0.3">
      <c r="B24" s="319"/>
      <c r="C24" s="320"/>
      <c r="E24" s="121"/>
    </row>
    <row r="25" spans="2:41" x14ac:dyDescent="0.3">
      <c r="B25" s="319" t="s">
        <v>37</v>
      </c>
      <c r="C25" s="320"/>
      <c r="D25" s="262">
        <v>20</v>
      </c>
      <c r="E25" s="121" t="s">
        <v>38</v>
      </c>
    </row>
    <row r="26" spans="2:41" x14ac:dyDescent="0.3">
      <c r="B26" s="319" t="s">
        <v>127</v>
      </c>
      <c r="C26" s="320"/>
      <c r="D26" s="262">
        <v>105</v>
      </c>
    </row>
    <row r="27" spans="2:41" x14ac:dyDescent="0.3">
      <c r="B27" s="319" t="s">
        <v>235</v>
      </c>
      <c r="C27" s="320"/>
      <c r="D27" s="267" t="str">
        <f>_xll.RSA_CASE_DATA("NAME",D26)</f>
        <v>COMB1</v>
      </c>
    </row>
    <row r="30" spans="2:41" ht="15" thickBot="1" x14ac:dyDescent="0.35"/>
    <row r="31" spans="2:41" x14ac:dyDescent="0.3">
      <c r="B31" s="325" t="s">
        <v>226</v>
      </c>
      <c r="C31" s="323"/>
      <c r="D31" s="323" t="s">
        <v>227</v>
      </c>
      <c r="E31" s="323"/>
      <c r="F31" s="323"/>
      <c r="G31" s="323"/>
      <c r="H31" s="268"/>
      <c r="I31" s="268"/>
      <c r="J31" s="323" t="s">
        <v>42</v>
      </c>
      <c r="K31" s="323"/>
      <c r="L31" s="323"/>
      <c r="M31" s="323"/>
      <c r="N31" s="323"/>
      <c r="O31" s="323"/>
      <c r="P31" s="323" t="s">
        <v>43</v>
      </c>
      <c r="Q31" s="323"/>
      <c r="R31" s="323"/>
      <c r="S31" s="323"/>
      <c r="T31" s="323"/>
      <c r="U31" s="323"/>
      <c r="V31" s="323" t="s">
        <v>237</v>
      </c>
      <c r="W31" s="323"/>
      <c r="X31" s="323"/>
      <c r="Y31" s="323" t="s">
        <v>238</v>
      </c>
      <c r="Z31" s="323"/>
      <c r="AA31" s="323"/>
      <c r="AB31" s="323" t="s">
        <v>239</v>
      </c>
      <c r="AC31" s="323"/>
      <c r="AD31" s="315"/>
      <c r="AE31" s="321" t="s">
        <v>245</v>
      </c>
      <c r="AF31" s="321"/>
      <c r="AG31" s="321"/>
      <c r="AH31" s="321"/>
      <c r="AI31" s="321"/>
      <c r="AJ31" s="321"/>
      <c r="AK31" s="321"/>
      <c r="AL31" s="321"/>
      <c r="AM31" s="321"/>
      <c r="AN31" s="321"/>
      <c r="AO31" s="322"/>
    </row>
    <row r="32" spans="2:41" x14ac:dyDescent="0.3">
      <c r="B32" s="269" t="s">
        <v>228</v>
      </c>
      <c r="C32" s="270" t="s">
        <v>40</v>
      </c>
      <c r="D32" s="270" t="s">
        <v>40</v>
      </c>
      <c r="E32" s="270" t="s">
        <v>46</v>
      </c>
      <c r="F32" s="270" t="s">
        <v>47</v>
      </c>
      <c r="G32" s="270" t="s">
        <v>60</v>
      </c>
      <c r="H32" s="270" t="s">
        <v>244</v>
      </c>
      <c r="I32" s="270" t="s">
        <v>187</v>
      </c>
      <c r="J32" s="270" t="s">
        <v>42</v>
      </c>
      <c r="K32" s="270" t="s">
        <v>57</v>
      </c>
      <c r="L32" s="270" t="s">
        <v>229</v>
      </c>
      <c r="M32" s="270" t="s">
        <v>230</v>
      </c>
      <c r="N32" s="270" t="s">
        <v>231</v>
      </c>
      <c r="O32" s="270" t="s">
        <v>232</v>
      </c>
      <c r="P32" s="270" t="s">
        <v>43</v>
      </c>
      <c r="Q32" s="270" t="s">
        <v>57</v>
      </c>
      <c r="R32" s="270" t="s">
        <v>229</v>
      </c>
      <c r="S32" s="270" t="s">
        <v>230</v>
      </c>
      <c r="T32" s="270" t="s">
        <v>231</v>
      </c>
      <c r="U32" s="270" t="s">
        <v>232</v>
      </c>
      <c r="V32" s="270" t="s">
        <v>233</v>
      </c>
      <c r="W32" s="270" t="s">
        <v>72</v>
      </c>
      <c r="X32" s="270" t="s">
        <v>71</v>
      </c>
      <c r="Y32" s="270" t="s">
        <v>234</v>
      </c>
      <c r="Z32" s="270" t="s">
        <v>72</v>
      </c>
      <c r="AA32" s="270" t="s">
        <v>71</v>
      </c>
      <c r="AB32" s="270" t="s">
        <v>236</v>
      </c>
      <c r="AC32" s="270" t="s">
        <v>72</v>
      </c>
      <c r="AD32" s="271" t="s">
        <v>71</v>
      </c>
      <c r="AE32" s="270" t="s">
        <v>246</v>
      </c>
      <c r="AF32" s="270" t="s">
        <v>247</v>
      </c>
      <c r="AG32" s="270" t="s">
        <v>53</v>
      </c>
      <c r="AH32" s="270" t="s">
        <v>81</v>
      </c>
      <c r="AI32" s="270" t="s">
        <v>248</v>
      </c>
      <c r="AJ32" s="270" t="s">
        <v>250</v>
      </c>
      <c r="AK32" s="270" t="s">
        <v>249</v>
      </c>
      <c r="AL32" s="270" t="s">
        <v>71</v>
      </c>
      <c r="AM32" s="270" t="s">
        <v>251</v>
      </c>
      <c r="AN32" s="270" t="s">
        <v>252</v>
      </c>
      <c r="AO32" s="272" t="s">
        <v>253</v>
      </c>
    </row>
    <row r="33" spans="2:41" x14ac:dyDescent="0.3">
      <c r="B33" s="273">
        <v>46</v>
      </c>
      <c r="C33" s="163" t="str">
        <f>_xll.RSA_BAR_DATA("BAR_NAME",B33)</f>
        <v/>
      </c>
      <c r="D33" s="163" t="str">
        <f>_xll.RSA_BAR_DATA("SECTION",B33)</f>
        <v>B R25x70</v>
      </c>
      <c r="E33" s="163">
        <f>_xll.RSA_SECTION_DATA("BF",$D33)</f>
        <v>250</v>
      </c>
      <c r="F33" s="163">
        <f>_xll.RSA_SECTION_DATA("D",$D33)</f>
        <v>700</v>
      </c>
      <c r="G33" s="163">
        <f t="shared" ref="G33" si="0">F33-D$25</f>
        <v>680</v>
      </c>
      <c r="H33" s="163">
        <f>D$19*E33*G33</f>
        <v>1121999.9999999998</v>
      </c>
      <c r="I33" s="163">
        <f t="shared" ref="I33" si="1">D$19*E33*G33*G33*0.000001</f>
        <v>762.95999999999981</v>
      </c>
      <c r="J33" s="163">
        <f>_xll.RSA_BAR_FORCE_DATA("EXTREMUM","MY","MAX",B33,$D$26,21)</f>
        <v>8.5445183523501331</v>
      </c>
      <c r="K33" s="163">
        <f>MAX(J33,0)/I33</f>
        <v>1.1199169487719061E-2</v>
      </c>
      <c r="L33" s="163" cm="1">
        <f t="array" ref="L33:M33">[1]!PureBendingDesign(K33,$D$23/$D$6,$D$6)/D$18</f>
        <v>3.0838050844753529E-5</v>
      </c>
      <c r="M33" s="163">
        <v>0</v>
      </c>
      <c r="N33" s="163">
        <f>L33*H33</f>
        <v>34.600293047813452</v>
      </c>
      <c r="O33" s="163">
        <f>M33*H33</f>
        <v>0</v>
      </c>
      <c r="P33" s="163">
        <f>_xll.RSA_BAR_FORCE_DATA("EXTREMUM","MY","MIN",B33,$D$26,21)</f>
        <v>-90.583170923110728</v>
      </c>
      <c r="Q33" s="163">
        <f>-MIN(P33,0)/I33</f>
        <v>0.11872597635932519</v>
      </c>
      <c r="R33" s="163" cm="1">
        <f t="array" ref="R33:S33">[1]!PureBendingDesign(Q33,D$23/D$6,D$6)/D$18</f>
        <v>3.4708103126944938E-4</v>
      </c>
      <c r="S33" s="163">
        <v>0</v>
      </c>
      <c r="T33" s="163">
        <f>R33*H33</f>
        <v>389.42491708432215</v>
      </c>
      <c r="U33" s="163">
        <f>S33*H33</f>
        <v>0</v>
      </c>
      <c r="V33" s="163">
        <f>MAX(N33,U33)</f>
        <v>34.600293047813452</v>
      </c>
      <c r="W33" s="274">
        <f>MAX(2,ROUNDUP(V33/(3.14*X33*X33/4),0))</f>
        <v>2</v>
      </c>
      <c r="X33" s="275">
        <v>12</v>
      </c>
      <c r="Y33" s="129">
        <f>MAX(O33,T33)</f>
        <v>389.42491708432215</v>
      </c>
      <c r="Z33" s="274">
        <f>MAX(2,ROUNDUP(Y33/(3.14*AA33*AA33/4),0))</f>
        <v>4</v>
      </c>
      <c r="AA33" s="275">
        <v>12</v>
      </c>
      <c r="AB33" s="129">
        <f>0.1*V33</f>
        <v>3.4600293047813455</v>
      </c>
      <c r="AC33" s="274">
        <f>MAX(2,ROUNDUP(AB33/(3.14*AD33*AD33/4),0))</f>
        <v>2</v>
      </c>
      <c r="AD33" s="275">
        <v>12</v>
      </c>
      <c r="AE33" s="163">
        <f>_xlfn.SINGLE(MAX(0,_xll.RSA_BAR_FORCE_DATA("EXTREMUM","FZ","MAX",B33,$D$26,21)))</f>
        <v>88.406167687107484</v>
      </c>
      <c r="AF33" s="163">
        <f>_xlfn.SINGLE(MIN(0,_xll.RSA_BAR_FORCE_DATA("EXTREMUM","FZ","MIN",B33,$D$26,21)))</f>
        <v>-40.732044139035729</v>
      </c>
      <c r="AG33" s="163">
        <f>MAX(AE33,-AF33)</f>
        <v>88.406167687107484</v>
      </c>
      <c r="AH33" s="163">
        <f>AG33*1000/E33/G33</f>
        <v>0.52003628051239692</v>
      </c>
      <c r="AI33" s="163">
        <f>MAX(0,AH33-D$21)</f>
        <v>0</v>
      </c>
      <c r="AJ33" s="273">
        <v>2</v>
      </c>
      <c r="AK33" s="163">
        <f>AI33*E33/AJ33/D$20</f>
        <v>0</v>
      </c>
      <c r="AL33" s="273">
        <v>8</v>
      </c>
      <c r="AM33" s="163">
        <f>3.14*AL33*AL33/4</f>
        <v>50.24</v>
      </c>
      <c r="AN33" s="163">
        <f t="shared" ref="AN33" si="2">MIN(200,IFERROR(AM33/AK33,200))</f>
        <v>200</v>
      </c>
      <c r="AO33" s="276">
        <f>ROUNDUP(1000/AN33,0)</f>
        <v>5</v>
      </c>
    </row>
    <row r="34" spans="2:41" x14ac:dyDescent="0.3">
      <c r="B34" s="277">
        <v>60</v>
      </c>
      <c r="C34" s="163" t="str">
        <f>_xll.RSA_BAR_DATA("BAR_NAME",B34)</f>
        <v/>
      </c>
      <c r="D34" s="163" t="str">
        <f>_xll.RSA_BAR_DATA("SECTION",B34)</f>
        <v>B R25x70</v>
      </c>
      <c r="E34" s="163">
        <f>_xll.RSA_SECTION_DATA("BF",$D34)</f>
        <v>250</v>
      </c>
      <c r="F34" s="163">
        <f>_xll.RSA_SECTION_DATA("D",$D34)</f>
        <v>700</v>
      </c>
      <c r="G34" s="163">
        <f t="shared" ref="G34:G35" si="3">F34-D$25</f>
        <v>680</v>
      </c>
      <c r="H34" s="163">
        <f>D$19*E34*G34</f>
        <v>1121999.9999999998</v>
      </c>
      <c r="I34" s="163">
        <f t="shared" ref="I34:I35" si="4">D$19*E34*G34*G34*0.000001</f>
        <v>762.95999999999981</v>
      </c>
      <c r="J34" s="163">
        <f>_xll.RSA_BAR_FORCE_DATA("EXTREMUM","MY","MAX",B34,$D$26,21)</f>
        <v>18.494214806050483</v>
      </c>
      <c r="K34" s="163">
        <f>MAX(J34,0)/I34</f>
        <v>2.4240084416025071E-2</v>
      </c>
      <c r="L34" s="163" cm="1">
        <f t="array" ref="L34:M34">[1]!PureBendingDesign(K34,$D$23/$D$6,$D$6)/D$18</f>
        <v>6.7196198055727755E-5</v>
      </c>
      <c r="M34" s="163">
        <v>0</v>
      </c>
      <c r="N34" s="163">
        <f>L34*H34</f>
        <v>75.394134218526531</v>
      </c>
      <c r="O34" s="163">
        <f>M34*H34</f>
        <v>0</v>
      </c>
      <c r="P34" s="163">
        <f>_xll.RSA_BAR_FORCE_DATA("EXTREMUM","MY","MIN",B34,$D$26,21)</f>
        <v>-49.906180178551359</v>
      </c>
      <c r="Q34" s="163">
        <f>-MIN(P34,0)/I34</f>
        <v>6.5411266879720265E-2</v>
      </c>
      <c r="R34" s="163" cm="1">
        <f t="array" ref="R34:S34">[1]!PureBendingDesign(Q34,D$23/D$6,D$6)/D$18</f>
        <v>1.8537759960590944E-4</v>
      </c>
      <c r="S34" s="163">
        <v>0</v>
      </c>
      <c r="T34" s="163">
        <f>R34*H34</f>
        <v>207.99366675783034</v>
      </c>
      <c r="U34" s="163">
        <f>S34*H34</f>
        <v>0</v>
      </c>
      <c r="V34" s="163">
        <f>MAX(N34,U34)</f>
        <v>75.394134218526531</v>
      </c>
      <c r="W34" s="274">
        <f>MAX(2,ROUNDUP(V34/(3.14*X34*X34/4),0))</f>
        <v>2</v>
      </c>
      <c r="X34" s="275">
        <v>12</v>
      </c>
      <c r="Y34" s="129">
        <f>MAX(O34,T34)</f>
        <v>207.99366675783034</v>
      </c>
      <c r="Z34" s="274">
        <f>MAX(2,ROUNDUP(Y34/(3.14*AA34*AA34/4),0))</f>
        <v>2</v>
      </c>
      <c r="AA34" s="275">
        <v>12</v>
      </c>
      <c r="AB34" s="129">
        <f>0.1*V34</f>
        <v>7.5394134218526538</v>
      </c>
      <c r="AC34" s="274">
        <f>MAX(2,ROUNDUP(AB34/(3.14*AD34*AD34/4),0))</f>
        <v>2</v>
      </c>
      <c r="AD34" s="275">
        <v>12</v>
      </c>
      <c r="AE34" s="163">
        <f>_xlfn.SINGLE(MAX(0,_xll.RSA_BAR_FORCE_DATA("EXTREMUM","FZ","MAX",B34,$D$26,21)))</f>
        <v>58.645631063880039</v>
      </c>
      <c r="AF34" s="163">
        <f>_xlfn.SINGLE(MIN(0,_xll.RSA_BAR_FORCE_DATA("EXTREMUM","FZ","MIN",B34,$D$26,21)))</f>
        <v>-56.986381526924653</v>
      </c>
      <c r="AG34" s="163">
        <f>MAX(AE34,-AF34)</f>
        <v>58.645631063880039</v>
      </c>
      <c r="AH34" s="163">
        <f>AG34*1000/E34/G34</f>
        <v>0.34497430037576493</v>
      </c>
      <c r="AI34" s="163">
        <f>MAX(0,AH34-D$21)</f>
        <v>0</v>
      </c>
      <c r="AJ34" s="273">
        <v>3</v>
      </c>
      <c r="AK34" s="163">
        <f>AI34*E34/AJ34/D$20</f>
        <v>0</v>
      </c>
      <c r="AL34" s="273">
        <v>6</v>
      </c>
      <c r="AM34" s="163">
        <f>3.14*AL34*AL34/4</f>
        <v>28.259999999999998</v>
      </c>
      <c r="AN34" s="163">
        <f t="shared" ref="AN34:AN35" si="5">MIN(200,IFERROR(AM34/AK34,200))</f>
        <v>200</v>
      </c>
      <c r="AO34" s="276">
        <f>ROUNDUP(1000/AN34,0)</f>
        <v>5</v>
      </c>
    </row>
    <row r="35" spans="2:41" x14ac:dyDescent="0.3">
      <c r="B35" s="273">
        <v>61</v>
      </c>
      <c r="C35" s="163" t="str">
        <f>_xll.RSA_BAR_DATA("BAR_NAME",B35)</f>
        <v/>
      </c>
      <c r="D35" s="163" t="str">
        <f>_xll.RSA_BAR_DATA("SECTION",B35)</f>
        <v>B R25x70</v>
      </c>
      <c r="E35" s="163">
        <f>_xll.RSA_SECTION_DATA("BF",$D35)</f>
        <v>250</v>
      </c>
      <c r="F35" s="163">
        <f>_xll.RSA_SECTION_DATA("D",$D35)</f>
        <v>700</v>
      </c>
      <c r="G35" s="163">
        <f t="shared" si="3"/>
        <v>680</v>
      </c>
      <c r="H35" s="163">
        <f t="shared" ref="H35:H40" si="6">D$19*E35*G35</f>
        <v>1121999.9999999998</v>
      </c>
      <c r="I35" s="163">
        <f t="shared" si="4"/>
        <v>762.95999999999981</v>
      </c>
      <c r="J35" s="163">
        <f>_xll.RSA_BAR_FORCE_DATA("EXTREMUM","MY","MAX",B35,$D$26,21)</f>
        <v>115.11612767202605</v>
      </c>
      <c r="K35" s="163">
        <f t="shared" ref="K35:K40" si="7">MAX(J35,0)/I35</f>
        <v>0.15088094745730588</v>
      </c>
      <c r="L35" s="163" cm="1">
        <f t="array" ref="L35:M35">[1]!PureBendingDesign(K35,$D$23/$D$6,$D$6)/D$18</f>
        <v>4.5012525245402243E-4</v>
      </c>
      <c r="M35" s="163">
        <v>0</v>
      </c>
      <c r="N35" s="163">
        <f t="shared" ref="N35:N40" si="8">L35*H35</f>
        <v>505.04053325341306</v>
      </c>
      <c r="O35" s="163">
        <f t="shared" ref="O35:O40" si="9">M35*H35</f>
        <v>0</v>
      </c>
      <c r="P35" s="163">
        <f>_xll.RSA_BAR_FORCE_DATA("EXTREMUM","MY","MIN",B35,$D$26,21)</f>
        <v>-78.292196849685766</v>
      </c>
      <c r="Q35" s="163">
        <f t="shared" ref="Q35:Q40" si="10">-MIN(P35,0)/I35</f>
        <v>0.10261638467244126</v>
      </c>
      <c r="R35" s="163" cm="1">
        <f t="array" ref="R35:S35">[1]!PureBendingDesign(Q35,D$23/D$6,D$6)/D$18</f>
        <v>2.9709104139054543E-4</v>
      </c>
      <c r="S35" s="163">
        <v>0</v>
      </c>
      <c r="T35" s="163">
        <f t="shared" ref="T35:T40" si="11">R35*H35</f>
        <v>333.33614844019189</v>
      </c>
      <c r="U35" s="163">
        <f t="shared" ref="U35:U40" si="12">S35*H35</f>
        <v>0</v>
      </c>
      <c r="V35" s="163">
        <f t="shared" ref="V35:V40" si="13">MAX(N35,U35)</f>
        <v>505.04053325341306</v>
      </c>
      <c r="W35" s="274">
        <f t="shared" ref="W35:W40" si="14">MAX(2,ROUNDUP(V35/(3.14*X35*X35/4),0))</f>
        <v>5</v>
      </c>
      <c r="X35" s="275">
        <v>12</v>
      </c>
      <c r="Y35" s="129">
        <f t="shared" ref="Y35:Y40" si="15">MAX(O35,T35)</f>
        <v>333.33614844019189</v>
      </c>
      <c r="Z35" s="274">
        <f t="shared" ref="Z35:Z40" si="16">MAX(2,ROUNDUP(Y35/(3.14*AA35*AA35/4),0))</f>
        <v>3</v>
      </c>
      <c r="AA35" s="275">
        <v>12</v>
      </c>
      <c r="AB35" s="129">
        <f t="shared" ref="AB35:AB40" si="17">0.1*V35</f>
        <v>50.50405332534131</v>
      </c>
      <c r="AC35" s="274">
        <f t="shared" ref="AC35:AC40" si="18">MAX(2,ROUNDUP(AB35/(3.14*AD35*AD35/4),0))</f>
        <v>2</v>
      </c>
      <c r="AD35" s="275">
        <v>12</v>
      </c>
      <c r="AE35" s="163">
        <f>_xlfn.SINGLE(MAX(0,_xll.RSA_BAR_FORCE_DATA("EXTREMUM","FZ","MAX",B35,$D$26,21)))</f>
        <v>0</v>
      </c>
      <c r="AF35" s="163">
        <f>_xlfn.SINGLE(MIN(0,_xll.RSA_BAR_FORCE_DATA("EXTREMUM","FZ","MIN",B35,$D$26,21)))</f>
        <v>-96.534685483429314</v>
      </c>
      <c r="AG35" s="163">
        <f t="shared" ref="AG35:AG40" si="19">MAX(AE35,-AF35)</f>
        <v>96.534685483429314</v>
      </c>
      <c r="AH35" s="163">
        <f t="shared" ref="AH35:AH40" si="20">AG35*1000/E35/G35</f>
        <v>0.56785109107899601</v>
      </c>
      <c r="AI35" s="163">
        <f t="shared" ref="AI35:AI40" si="21">MAX(0,AH35-D$21)</f>
        <v>0</v>
      </c>
      <c r="AJ35" s="273">
        <v>3</v>
      </c>
      <c r="AK35" s="163">
        <f t="shared" ref="AK35:AK40" si="22">AI35*E35/AJ35/D$20</f>
        <v>0</v>
      </c>
      <c r="AL35" s="273">
        <v>6</v>
      </c>
      <c r="AM35" s="163">
        <f t="shared" ref="AM35:AM40" si="23">3.14*AL35*AL35/4</f>
        <v>28.259999999999998</v>
      </c>
      <c r="AN35" s="163">
        <f t="shared" si="5"/>
        <v>200</v>
      </c>
      <c r="AO35" s="276">
        <f t="shared" ref="AO35:AO40" si="24">ROUNDUP(1000/AN35,0)</f>
        <v>5</v>
      </c>
    </row>
    <row r="36" spans="2:41" x14ac:dyDescent="0.3">
      <c r="B36" s="277">
        <v>62</v>
      </c>
      <c r="C36" s="163" t="str">
        <f>_xll.RSA_BAR_DATA("BAR_NAME",B36)</f>
        <v/>
      </c>
      <c r="D36" s="163" t="str">
        <f>_xll.RSA_BAR_DATA("SECTION",B36)</f>
        <v>B R25x70</v>
      </c>
      <c r="E36" s="163">
        <f>_xll.RSA_SECTION_DATA("BF",$D36)</f>
        <v>250</v>
      </c>
      <c r="F36" s="163">
        <f>_xll.RSA_SECTION_DATA("D",$D36)</f>
        <v>700</v>
      </c>
      <c r="G36" s="163">
        <f t="shared" ref="G36:G40" si="25">F36-D$25</f>
        <v>680</v>
      </c>
      <c r="H36" s="163">
        <f t="shared" si="6"/>
        <v>1121999.9999999998</v>
      </c>
      <c r="I36" s="163">
        <f t="shared" ref="I36:I40" si="26">D$19*E36*G36*G36*0.000001</f>
        <v>762.95999999999981</v>
      </c>
      <c r="J36" s="163">
        <f>_xll.RSA_BAR_FORCE_DATA("EXTREMUM","MY","MAX",B36,$D$26,21)</f>
        <v>18.61831868557778</v>
      </c>
      <c r="K36" s="163">
        <f t="shared" si="7"/>
        <v>2.4402745472341648E-2</v>
      </c>
      <c r="L36" s="163" cm="1">
        <f t="array" ref="L36:M36">[1]!PureBendingDesign(K36,$D$23/$D$6,$D$6)/D$18</f>
        <v>6.7652823746248441E-5</v>
      </c>
      <c r="M36" s="163">
        <v>0</v>
      </c>
      <c r="N36" s="163">
        <f t="shared" si="8"/>
        <v>75.906468243290732</v>
      </c>
      <c r="O36" s="163">
        <f t="shared" si="9"/>
        <v>0</v>
      </c>
      <c r="P36" s="163">
        <f>_xll.RSA_BAR_FORCE_DATA("EXTREMUM","MY","MIN",B36,$D$26,21)</f>
        <v>-48.90501988426648</v>
      </c>
      <c r="Q36" s="163">
        <f t="shared" si="10"/>
        <v>6.4099061398063456E-2</v>
      </c>
      <c r="R36" s="163" cm="1">
        <f t="array" ref="R36:S36">[1]!PureBendingDesign(Q36,D$23/D$6,D$6)/D$18</f>
        <v>1.8152664224790554E-4</v>
      </c>
      <c r="S36" s="163">
        <v>0</v>
      </c>
      <c r="T36" s="163">
        <f t="shared" si="11"/>
        <v>203.67289260214997</v>
      </c>
      <c r="U36" s="163">
        <f t="shared" si="12"/>
        <v>0</v>
      </c>
      <c r="V36" s="163">
        <f t="shared" si="13"/>
        <v>75.906468243290732</v>
      </c>
      <c r="W36" s="274">
        <f t="shared" si="14"/>
        <v>2</v>
      </c>
      <c r="X36" s="275">
        <v>12</v>
      </c>
      <c r="Y36" s="129">
        <f t="shared" si="15"/>
        <v>203.67289260214997</v>
      </c>
      <c r="Z36" s="274">
        <f t="shared" si="16"/>
        <v>2</v>
      </c>
      <c r="AA36" s="275">
        <v>12</v>
      </c>
      <c r="AB36" s="129">
        <f t="shared" si="17"/>
        <v>7.5906468243290739</v>
      </c>
      <c r="AC36" s="274">
        <f t="shared" si="18"/>
        <v>2</v>
      </c>
      <c r="AD36" s="275">
        <v>12</v>
      </c>
      <c r="AE36" s="163">
        <f>_xlfn.SINGLE(MAX(0,_xll.RSA_BAR_FORCE_DATA("EXTREMUM","FZ","MAX",B36,$D$26,21)))</f>
        <v>57.410903330623754</v>
      </c>
      <c r="AF36" s="163">
        <f>_xlfn.SINGLE(MIN(0,_xll.RSA_BAR_FORCE_DATA("EXTREMUM","FZ","MIN",B36,$D$26,21)))</f>
        <v>-58.531733479752162</v>
      </c>
      <c r="AG36" s="163">
        <f t="shared" si="19"/>
        <v>58.531733479752162</v>
      </c>
      <c r="AH36" s="163">
        <f t="shared" si="20"/>
        <v>0.3443043145867774</v>
      </c>
      <c r="AI36" s="163">
        <f t="shared" si="21"/>
        <v>0</v>
      </c>
      <c r="AJ36" s="273">
        <v>3</v>
      </c>
      <c r="AK36" s="163">
        <f t="shared" si="22"/>
        <v>0</v>
      </c>
      <c r="AL36" s="273">
        <v>6</v>
      </c>
      <c r="AM36" s="163">
        <f t="shared" si="23"/>
        <v>28.259999999999998</v>
      </c>
      <c r="AN36" s="163">
        <f t="shared" ref="AN36:AN40" si="27">MIN(200,IFERROR(AM36/AK36,200))</f>
        <v>200</v>
      </c>
      <c r="AO36" s="276">
        <f t="shared" si="24"/>
        <v>5</v>
      </c>
    </row>
    <row r="37" spans="2:41" x14ac:dyDescent="0.3">
      <c r="B37" s="273">
        <v>63</v>
      </c>
      <c r="C37" s="163" t="str">
        <f>_xll.RSA_BAR_DATA("BAR_NAME",B37)</f>
        <v>#No bars selected</v>
      </c>
      <c r="D37" s="163" t="str">
        <f>_xll.RSA_BAR_DATA("SECTION",B37)</f>
        <v>#No bars selected</v>
      </c>
      <c r="E37" s="163" t="str">
        <f>_xll.RSA_SECTION_DATA("BF",$D37)</f>
        <v>#Wrong section name</v>
      </c>
      <c r="F37" s="163" t="str">
        <f>_xll.RSA_SECTION_DATA("D",$D37)</f>
        <v>#Wrong section name</v>
      </c>
      <c r="G37" s="163" t="e">
        <f t="shared" si="25"/>
        <v>#VALUE!</v>
      </c>
      <c r="H37" s="163" t="e">
        <f t="shared" si="6"/>
        <v>#VALUE!</v>
      </c>
      <c r="I37" s="163" t="e">
        <f t="shared" si="26"/>
        <v>#VALUE!</v>
      </c>
      <c r="J37" s="163" t="str">
        <f>_xll.RSA_BAR_FORCE_DATA("EXTREMUM","MY","MAX",B37,$D$26,21)</f>
        <v>#No bars selected</v>
      </c>
      <c r="K37" s="163" t="e">
        <f t="shared" si="7"/>
        <v>#VALUE!</v>
      </c>
      <c r="L37" s="163" t="e" cm="1">
        <f t="array" ref="L37">[1]!PureBendingDesign(K37,$D$23/$D$6,$D$6)/D$18</f>
        <v>#VALUE!</v>
      </c>
      <c r="M37" s="163"/>
      <c r="N37" s="163" t="e">
        <f t="shared" si="8"/>
        <v>#VALUE!</v>
      </c>
      <c r="O37" s="163" t="e">
        <f t="shared" si="9"/>
        <v>#VALUE!</v>
      </c>
      <c r="P37" s="163" t="str">
        <f>_xll.RSA_BAR_FORCE_DATA("EXTREMUM","MY","MIN",B37,$D$26,21)</f>
        <v>#No bars selected</v>
      </c>
      <c r="Q37" s="163" t="e">
        <f t="shared" si="10"/>
        <v>#VALUE!</v>
      </c>
      <c r="R37" s="163" t="e" cm="1">
        <f t="array" ref="R37">[1]!PureBendingDesign(Q37,D$23/D$6,D$6)/D$18</f>
        <v>#VALUE!</v>
      </c>
      <c r="S37" s="163"/>
      <c r="T37" s="163" t="e">
        <f t="shared" si="11"/>
        <v>#VALUE!</v>
      </c>
      <c r="U37" s="163" t="e">
        <f t="shared" si="12"/>
        <v>#VALUE!</v>
      </c>
      <c r="V37" s="163" t="e">
        <f t="shared" si="13"/>
        <v>#VALUE!</v>
      </c>
      <c r="W37" s="274" t="e">
        <f t="shared" si="14"/>
        <v>#VALUE!</v>
      </c>
      <c r="X37" s="275">
        <v>12</v>
      </c>
      <c r="Y37" s="129" t="e">
        <f t="shared" si="15"/>
        <v>#VALUE!</v>
      </c>
      <c r="Z37" s="274" t="e">
        <f t="shared" si="16"/>
        <v>#VALUE!</v>
      </c>
      <c r="AA37" s="275">
        <v>12</v>
      </c>
      <c r="AB37" s="129" t="e">
        <f t="shared" si="17"/>
        <v>#VALUE!</v>
      </c>
      <c r="AC37" s="274" t="e">
        <f t="shared" si="18"/>
        <v>#VALUE!</v>
      </c>
      <c r="AD37" s="275">
        <v>12</v>
      </c>
      <c r="AE37" s="163" t="e">
        <f>_xlfn.SINGLE(MAX(0,_xll.RSA_BAR_FORCE_DATA("EXTREMUM","FZ","MAX",B37,$D$26,21)))</f>
        <v>#VALUE!</v>
      </c>
      <c r="AF37" s="163" t="e">
        <f>_xlfn.SINGLE(MIN(0,_xll.RSA_BAR_FORCE_DATA("EXTREMUM","FZ","MIN",B37,$D$26,21)))</f>
        <v>#VALUE!</v>
      </c>
      <c r="AG37" s="163" t="e">
        <f t="shared" si="19"/>
        <v>#VALUE!</v>
      </c>
      <c r="AH37" s="163" t="e">
        <f t="shared" si="20"/>
        <v>#VALUE!</v>
      </c>
      <c r="AI37" s="163" t="e">
        <f t="shared" si="21"/>
        <v>#VALUE!</v>
      </c>
      <c r="AJ37" s="273">
        <v>3</v>
      </c>
      <c r="AK37" s="163" t="e">
        <f t="shared" si="22"/>
        <v>#VALUE!</v>
      </c>
      <c r="AL37" s="273">
        <v>6</v>
      </c>
      <c r="AM37" s="163">
        <f t="shared" si="23"/>
        <v>28.259999999999998</v>
      </c>
      <c r="AN37" s="163">
        <f t="shared" si="27"/>
        <v>200</v>
      </c>
      <c r="AO37" s="276">
        <f t="shared" si="24"/>
        <v>5</v>
      </c>
    </row>
    <row r="38" spans="2:41" x14ac:dyDescent="0.3">
      <c r="B38" s="277">
        <v>64</v>
      </c>
      <c r="C38" s="163" t="str">
        <f>_xll.RSA_BAR_DATA("BAR_NAME",B38)</f>
        <v/>
      </c>
      <c r="D38" s="163" t="str">
        <f>_xll.RSA_BAR_DATA("SECTION",B38)</f>
        <v>B R25x70</v>
      </c>
      <c r="E38" s="163">
        <f>_xll.RSA_SECTION_DATA("BF",$D38)</f>
        <v>250</v>
      </c>
      <c r="F38" s="163">
        <f>_xll.RSA_SECTION_DATA("D",$D38)</f>
        <v>700</v>
      </c>
      <c r="G38" s="163">
        <f t="shared" si="25"/>
        <v>680</v>
      </c>
      <c r="H38" s="163">
        <f t="shared" si="6"/>
        <v>1121999.9999999998</v>
      </c>
      <c r="I38" s="163">
        <f t="shared" si="26"/>
        <v>762.95999999999981</v>
      </c>
      <c r="J38" s="163">
        <f>_xll.RSA_BAR_FORCE_DATA("EXTREMUM","MY","MAX",B38,$D$26,21)</f>
        <v>100.74578135482918</v>
      </c>
      <c r="K38" s="163">
        <f t="shared" si="7"/>
        <v>0.1320459543813951</v>
      </c>
      <c r="L38" s="163" cm="1">
        <f t="array" ref="L38:M38">[1]!PureBendingDesign(K38,$D$23/$D$6,$D$6)/D$18</f>
        <v>3.8921789413028031E-4</v>
      </c>
      <c r="M38" s="163">
        <v>0</v>
      </c>
      <c r="N38" s="163">
        <f t="shared" si="8"/>
        <v>436.70247721417439</v>
      </c>
      <c r="O38" s="163">
        <f t="shared" si="9"/>
        <v>0</v>
      </c>
      <c r="P38" s="163">
        <f>_xll.RSA_BAR_FORCE_DATA("EXTREMUM","MY","MIN",B38,$D$26,21)</f>
        <v>-71.656836299014628</v>
      </c>
      <c r="Q38" s="163">
        <f t="shared" si="10"/>
        <v>9.3919519108491459E-2</v>
      </c>
      <c r="R38" s="163" cm="1">
        <f t="array" ref="R38:S38">[1]!PureBendingDesign(Q38,D$23/D$6,D$6)/D$18</f>
        <v>2.7052453600174615E-4</v>
      </c>
      <c r="S38" s="163">
        <v>0</v>
      </c>
      <c r="T38" s="163">
        <f t="shared" si="11"/>
        <v>303.5285293939591</v>
      </c>
      <c r="U38" s="163">
        <f t="shared" si="12"/>
        <v>0</v>
      </c>
      <c r="V38" s="163">
        <f t="shared" si="13"/>
        <v>436.70247721417439</v>
      </c>
      <c r="W38" s="274">
        <f t="shared" si="14"/>
        <v>4</v>
      </c>
      <c r="X38" s="275">
        <v>12</v>
      </c>
      <c r="Y38" s="129">
        <f t="shared" si="15"/>
        <v>303.5285293939591</v>
      </c>
      <c r="Z38" s="274">
        <f t="shared" si="16"/>
        <v>3</v>
      </c>
      <c r="AA38" s="275">
        <v>12</v>
      </c>
      <c r="AB38" s="129">
        <f t="shared" si="17"/>
        <v>43.670247721417439</v>
      </c>
      <c r="AC38" s="274">
        <f t="shared" si="18"/>
        <v>2</v>
      </c>
      <c r="AD38" s="275">
        <v>12</v>
      </c>
      <c r="AE38" s="163">
        <f>_xlfn.SINGLE(MAX(0,_xll.RSA_BAR_FORCE_DATA("EXTREMUM","FZ","MAX",B38,$D$26,21)))</f>
        <v>88.107944226158892</v>
      </c>
      <c r="AF38" s="163">
        <f>_xlfn.SINGLE(MIN(0,_xll.RSA_BAR_FORCE_DATA("EXTREMUM","FZ","MIN",B38,$D$26,21)))</f>
        <v>0</v>
      </c>
      <c r="AG38" s="163">
        <f t="shared" si="19"/>
        <v>88.107944226158892</v>
      </c>
      <c r="AH38" s="163">
        <f t="shared" si="20"/>
        <v>0.51828202485975816</v>
      </c>
      <c r="AI38" s="163">
        <f t="shared" si="21"/>
        <v>0</v>
      </c>
      <c r="AJ38" s="273">
        <v>3</v>
      </c>
      <c r="AK38" s="163">
        <f t="shared" si="22"/>
        <v>0</v>
      </c>
      <c r="AL38" s="273">
        <v>6</v>
      </c>
      <c r="AM38" s="163">
        <f t="shared" si="23"/>
        <v>28.259999999999998</v>
      </c>
      <c r="AN38" s="163">
        <f t="shared" si="27"/>
        <v>200</v>
      </c>
      <c r="AO38" s="276">
        <f t="shared" si="24"/>
        <v>5</v>
      </c>
    </row>
    <row r="39" spans="2:41" x14ac:dyDescent="0.3">
      <c r="B39" s="273">
        <v>65</v>
      </c>
      <c r="C39" s="163" t="str">
        <f>_xll.RSA_BAR_DATA("BAR_NAME",B39)</f>
        <v/>
      </c>
      <c r="D39" s="163" t="str">
        <f>_xll.RSA_BAR_DATA("SECTION",B39)</f>
        <v>B R25x70</v>
      </c>
      <c r="E39" s="163">
        <f>_xll.RSA_SECTION_DATA("BF",$D39)</f>
        <v>250</v>
      </c>
      <c r="F39" s="163">
        <f>_xll.RSA_SECTION_DATA("D",$D39)</f>
        <v>700</v>
      </c>
      <c r="G39" s="163">
        <f t="shared" si="25"/>
        <v>680</v>
      </c>
      <c r="H39" s="163">
        <f t="shared" si="6"/>
        <v>1121999.9999999998</v>
      </c>
      <c r="I39" s="163">
        <f t="shared" si="26"/>
        <v>762.95999999999981</v>
      </c>
      <c r="J39" s="163">
        <f>_xll.RSA_BAR_FORCE_DATA("EXTREMUM","MY","MAX",B39,$D$26,21)</f>
        <v>98.619296118810666</v>
      </c>
      <c r="K39" s="163">
        <f t="shared" si="7"/>
        <v>0.12925880271417989</v>
      </c>
      <c r="L39" s="163" cm="1">
        <f t="array" ref="L39:M39">[1]!PureBendingDesign(K39,$D$23/$D$6,$D$6)/D$18</f>
        <v>3.8033862389173643E-4</v>
      </c>
      <c r="M39" s="163">
        <v>0</v>
      </c>
      <c r="N39" s="163">
        <f t="shared" si="8"/>
        <v>426.73993600652818</v>
      </c>
      <c r="O39" s="163">
        <f t="shared" si="9"/>
        <v>0</v>
      </c>
      <c r="P39" s="163">
        <f>_xll.RSA_BAR_FORCE_DATA("EXTREMUM","MY","MIN",B39,$D$26,21)</f>
        <v>-78.893346484355533</v>
      </c>
      <c r="Q39" s="163">
        <f t="shared" si="10"/>
        <v>0.10340430230202835</v>
      </c>
      <c r="R39" s="163" cm="1">
        <f t="array" ref="R39:S39">[1]!PureBendingDesign(Q39,D$23/D$6,D$6)/D$18</f>
        <v>2.9951220884662385E-4</v>
      </c>
      <c r="S39" s="163">
        <v>0</v>
      </c>
      <c r="T39" s="163">
        <f t="shared" si="11"/>
        <v>336.05269832591188</v>
      </c>
      <c r="U39" s="163">
        <f t="shared" si="12"/>
        <v>0</v>
      </c>
      <c r="V39" s="163">
        <f t="shared" si="13"/>
        <v>426.73993600652818</v>
      </c>
      <c r="W39" s="274">
        <f t="shared" si="14"/>
        <v>4</v>
      </c>
      <c r="X39" s="275">
        <v>12</v>
      </c>
      <c r="Y39" s="129">
        <f t="shared" si="15"/>
        <v>336.05269832591188</v>
      </c>
      <c r="Z39" s="274">
        <f t="shared" si="16"/>
        <v>3</v>
      </c>
      <c r="AA39" s="275">
        <v>12</v>
      </c>
      <c r="AB39" s="129">
        <f t="shared" si="17"/>
        <v>42.673993600652821</v>
      </c>
      <c r="AC39" s="274">
        <f t="shared" si="18"/>
        <v>2</v>
      </c>
      <c r="AD39" s="275">
        <v>12</v>
      </c>
      <c r="AE39" s="163">
        <f>_xlfn.SINGLE(MAX(0,_xll.RSA_BAR_FORCE_DATA("EXTREMUM","FZ","MAX",B39,$D$26,21)))</f>
        <v>0</v>
      </c>
      <c r="AF39" s="163">
        <f>_xlfn.SINGLE(MIN(0,_xll.RSA_BAR_FORCE_DATA("EXTREMUM","FZ","MIN",B39,$D$26,21)))</f>
        <v>-84.272337904302617</v>
      </c>
      <c r="AG39" s="163">
        <f t="shared" si="19"/>
        <v>84.272337904302617</v>
      </c>
      <c r="AH39" s="163">
        <f t="shared" si="20"/>
        <v>0.49571963473119185</v>
      </c>
      <c r="AI39" s="163">
        <f t="shared" si="21"/>
        <v>0</v>
      </c>
      <c r="AJ39" s="273">
        <v>3</v>
      </c>
      <c r="AK39" s="163">
        <f t="shared" si="22"/>
        <v>0</v>
      </c>
      <c r="AL39" s="273">
        <v>6</v>
      </c>
      <c r="AM39" s="163">
        <f t="shared" si="23"/>
        <v>28.259999999999998</v>
      </c>
      <c r="AN39" s="163">
        <f t="shared" si="27"/>
        <v>200</v>
      </c>
      <c r="AO39" s="276">
        <f t="shared" si="24"/>
        <v>5</v>
      </c>
    </row>
    <row r="40" spans="2:41" x14ac:dyDescent="0.3">
      <c r="B40" s="277">
        <v>66</v>
      </c>
      <c r="C40" s="163" t="str">
        <f>_xll.RSA_BAR_DATA("BAR_NAME",B40)</f>
        <v>#No bars selected</v>
      </c>
      <c r="D40" s="163" t="str">
        <f>_xll.RSA_BAR_DATA("SECTION",B40)</f>
        <v>#No bars selected</v>
      </c>
      <c r="E40" s="163" t="str">
        <f>_xll.RSA_SECTION_DATA("BF",$D40)</f>
        <v>#Wrong section name</v>
      </c>
      <c r="F40" s="163" t="str">
        <f>_xll.RSA_SECTION_DATA("D",$D40)</f>
        <v>#Wrong section name</v>
      </c>
      <c r="G40" s="163" t="e">
        <f t="shared" si="25"/>
        <v>#VALUE!</v>
      </c>
      <c r="H40" s="163" t="e">
        <f t="shared" si="6"/>
        <v>#VALUE!</v>
      </c>
      <c r="I40" s="163" t="e">
        <f t="shared" si="26"/>
        <v>#VALUE!</v>
      </c>
      <c r="J40" s="163" t="str">
        <f>_xll.RSA_BAR_FORCE_DATA("EXTREMUM","MY","MAX",B40,$D$26,21)</f>
        <v>#No bars selected</v>
      </c>
      <c r="K40" s="163" t="e">
        <f t="shared" si="7"/>
        <v>#VALUE!</v>
      </c>
      <c r="L40" s="163" t="e" cm="1">
        <f t="array" ref="L40">[1]!PureBendingDesign(K40,$D$23/$D$6,$D$6)/D$18</f>
        <v>#VALUE!</v>
      </c>
      <c r="M40" s="163"/>
      <c r="N40" s="163" t="e">
        <f t="shared" si="8"/>
        <v>#VALUE!</v>
      </c>
      <c r="O40" s="163" t="e">
        <f t="shared" si="9"/>
        <v>#VALUE!</v>
      </c>
      <c r="P40" s="163" t="str">
        <f>_xll.RSA_BAR_FORCE_DATA("EXTREMUM","MY","MIN",B40,$D$26,21)</f>
        <v>#No bars selected</v>
      </c>
      <c r="Q40" s="163" t="e">
        <f t="shared" si="10"/>
        <v>#VALUE!</v>
      </c>
      <c r="R40" s="163" t="e" cm="1">
        <f t="array" ref="R40">[1]!PureBendingDesign(Q40,D$23/D$6,D$6)/D$18</f>
        <v>#VALUE!</v>
      </c>
      <c r="S40" s="163"/>
      <c r="T40" s="163" t="e">
        <f t="shared" si="11"/>
        <v>#VALUE!</v>
      </c>
      <c r="U40" s="163" t="e">
        <f t="shared" si="12"/>
        <v>#VALUE!</v>
      </c>
      <c r="V40" s="163" t="e">
        <f t="shared" si="13"/>
        <v>#VALUE!</v>
      </c>
      <c r="W40" s="274" t="e">
        <f t="shared" si="14"/>
        <v>#VALUE!</v>
      </c>
      <c r="X40" s="275">
        <v>12</v>
      </c>
      <c r="Y40" s="129" t="e">
        <f t="shared" si="15"/>
        <v>#VALUE!</v>
      </c>
      <c r="Z40" s="274" t="e">
        <f t="shared" si="16"/>
        <v>#VALUE!</v>
      </c>
      <c r="AA40" s="275">
        <v>12</v>
      </c>
      <c r="AB40" s="129" t="e">
        <f t="shared" si="17"/>
        <v>#VALUE!</v>
      </c>
      <c r="AC40" s="274" t="e">
        <f t="shared" si="18"/>
        <v>#VALUE!</v>
      </c>
      <c r="AD40" s="275">
        <v>12</v>
      </c>
      <c r="AE40" s="163" t="e">
        <f>_xlfn.SINGLE(MAX(0,_xll.RSA_BAR_FORCE_DATA("EXTREMUM","FZ","MAX",B40,$D$26,21)))</f>
        <v>#VALUE!</v>
      </c>
      <c r="AF40" s="163" t="e">
        <f>_xlfn.SINGLE(MIN(0,_xll.RSA_BAR_FORCE_DATA("EXTREMUM","FZ","MIN",B40,$D$26,21)))</f>
        <v>#VALUE!</v>
      </c>
      <c r="AG40" s="163" t="e">
        <f t="shared" si="19"/>
        <v>#VALUE!</v>
      </c>
      <c r="AH40" s="163" t="e">
        <f t="shared" si="20"/>
        <v>#VALUE!</v>
      </c>
      <c r="AI40" s="163" t="e">
        <f t="shared" si="21"/>
        <v>#VALUE!</v>
      </c>
      <c r="AJ40" s="273">
        <v>3</v>
      </c>
      <c r="AK40" s="163" t="e">
        <f t="shared" si="22"/>
        <v>#VALUE!</v>
      </c>
      <c r="AL40" s="273">
        <v>6</v>
      </c>
      <c r="AM40" s="163">
        <f t="shared" si="23"/>
        <v>28.259999999999998</v>
      </c>
      <c r="AN40" s="163">
        <f t="shared" si="27"/>
        <v>200</v>
      </c>
      <c r="AO40" s="276">
        <f t="shared" si="24"/>
        <v>5</v>
      </c>
    </row>
    <row r="41" spans="2:41" x14ac:dyDescent="0.3">
      <c r="B41" s="27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274"/>
      <c r="X41" s="275"/>
      <c r="Y41" s="129"/>
      <c r="Z41" s="274"/>
      <c r="AA41" s="275"/>
      <c r="AB41" s="129"/>
      <c r="AC41" s="274"/>
      <c r="AD41" s="275"/>
      <c r="AE41" s="163"/>
      <c r="AF41" s="163"/>
      <c r="AG41" s="163"/>
      <c r="AH41" s="163"/>
      <c r="AI41" s="163"/>
      <c r="AJ41" s="273"/>
      <c r="AK41" s="163"/>
      <c r="AL41" s="273"/>
      <c r="AM41" s="163"/>
      <c r="AN41" s="163"/>
      <c r="AO41" s="276"/>
    </row>
    <row r="42" spans="2:41" x14ac:dyDescent="0.3">
      <c r="B42" s="277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274"/>
      <c r="X42" s="275"/>
      <c r="Y42" s="129"/>
      <c r="Z42" s="274"/>
      <c r="AA42" s="275"/>
      <c r="AB42" s="129"/>
      <c r="AC42" s="274"/>
      <c r="AD42" s="275"/>
      <c r="AE42" s="163"/>
      <c r="AF42" s="163"/>
      <c r="AG42" s="163"/>
      <c r="AH42" s="163"/>
      <c r="AI42" s="163"/>
      <c r="AJ42" s="273"/>
      <c r="AK42" s="163"/>
      <c r="AL42" s="273"/>
      <c r="AM42" s="163"/>
      <c r="AN42" s="163"/>
      <c r="AO42" s="276"/>
    </row>
    <row r="43" spans="2:41" x14ac:dyDescent="0.3">
      <c r="B43" s="27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274"/>
      <c r="X43" s="275"/>
      <c r="Y43" s="129"/>
      <c r="Z43" s="274"/>
      <c r="AA43" s="275"/>
      <c r="AB43" s="129"/>
      <c r="AC43" s="274"/>
      <c r="AD43" s="275"/>
      <c r="AE43" s="163"/>
      <c r="AF43" s="163"/>
      <c r="AG43" s="163"/>
      <c r="AH43" s="163"/>
      <c r="AI43" s="163"/>
      <c r="AJ43" s="273"/>
      <c r="AK43" s="163"/>
      <c r="AL43" s="273"/>
      <c r="AM43" s="163"/>
      <c r="AN43" s="163"/>
      <c r="AO43" s="276"/>
    </row>
    <row r="44" spans="2:41" x14ac:dyDescent="0.3">
      <c r="B44" s="277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274"/>
      <c r="X44" s="275"/>
      <c r="Y44" s="129"/>
      <c r="Z44" s="274"/>
      <c r="AA44" s="275"/>
      <c r="AB44" s="129"/>
      <c r="AC44" s="274"/>
      <c r="AD44" s="275"/>
      <c r="AE44" s="163"/>
      <c r="AF44" s="163"/>
      <c r="AG44" s="163"/>
      <c r="AH44" s="163"/>
      <c r="AI44" s="163"/>
      <c r="AJ44" s="273"/>
      <c r="AK44" s="163"/>
      <c r="AL44" s="273"/>
      <c r="AM44" s="163"/>
      <c r="AN44" s="163"/>
      <c r="AO44" s="276"/>
    </row>
    <row r="45" spans="2:41" x14ac:dyDescent="0.3">
      <c r="B45" s="27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274"/>
      <c r="X45" s="275"/>
      <c r="Y45" s="129"/>
      <c r="Z45" s="274"/>
      <c r="AA45" s="275"/>
      <c r="AB45" s="129"/>
      <c r="AC45" s="274"/>
      <c r="AD45" s="275"/>
      <c r="AE45" s="163"/>
      <c r="AF45" s="163"/>
      <c r="AG45" s="163"/>
      <c r="AH45" s="163"/>
      <c r="AI45" s="163"/>
      <c r="AJ45" s="273"/>
      <c r="AK45" s="163"/>
      <c r="AL45" s="273"/>
      <c r="AM45" s="163"/>
      <c r="AN45" s="163"/>
      <c r="AO45" s="276"/>
    </row>
    <row r="46" spans="2:41" x14ac:dyDescent="0.3">
      <c r="B46" s="277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274"/>
      <c r="X46" s="275"/>
      <c r="Y46" s="129"/>
      <c r="Z46" s="274"/>
      <c r="AA46" s="275"/>
      <c r="AB46" s="129"/>
      <c r="AC46" s="274"/>
      <c r="AD46" s="275"/>
      <c r="AE46" s="163"/>
      <c r="AF46" s="163"/>
      <c r="AG46" s="163"/>
      <c r="AH46" s="163"/>
      <c r="AI46" s="163"/>
      <c r="AJ46" s="273"/>
      <c r="AK46" s="163"/>
      <c r="AL46" s="273"/>
      <c r="AM46" s="163"/>
      <c r="AN46" s="163"/>
      <c r="AO46" s="276"/>
    </row>
    <row r="47" spans="2:41" x14ac:dyDescent="0.3">
      <c r="B47" s="27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274"/>
      <c r="X47" s="275"/>
      <c r="Y47" s="129"/>
      <c r="Z47" s="274"/>
      <c r="AA47" s="275"/>
      <c r="AB47" s="129"/>
      <c r="AC47" s="274"/>
      <c r="AD47" s="275"/>
      <c r="AE47" s="163"/>
      <c r="AF47" s="163"/>
      <c r="AG47" s="163"/>
      <c r="AH47" s="163"/>
      <c r="AI47" s="163"/>
      <c r="AJ47" s="273"/>
      <c r="AK47" s="163"/>
      <c r="AL47" s="273"/>
      <c r="AM47" s="163"/>
      <c r="AN47" s="163"/>
      <c r="AO47" s="276"/>
    </row>
    <row r="48" spans="2:41" x14ac:dyDescent="0.3">
      <c r="B48" s="277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274"/>
      <c r="X48" s="275"/>
      <c r="Y48" s="129"/>
      <c r="Z48" s="274"/>
      <c r="AA48" s="275"/>
      <c r="AB48" s="129"/>
      <c r="AC48" s="274"/>
      <c r="AD48" s="275"/>
      <c r="AE48" s="163"/>
      <c r="AF48" s="163"/>
      <c r="AG48" s="163"/>
      <c r="AH48" s="163"/>
      <c r="AI48" s="163"/>
      <c r="AJ48" s="273"/>
      <c r="AK48" s="163"/>
      <c r="AL48" s="273"/>
      <c r="AM48" s="163"/>
      <c r="AN48" s="163"/>
      <c r="AO48" s="276"/>
    </row>
    <row r="49" spans="2:41" x14ac:dyDescent="0.3">
      <c r="B49" s="27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274"/>
      <c r="X49" s="275"/>
      <c r="Y49" s="129"/>
      <c r="Z49" s="274"/>
      <c r="AA49" s="275"/>
      <c r="AB49" s="129"/>
      <c r="AC49" s="274"/>
      <c r="AD49" s="275"/>
      <c r="AE49" s="163"/>
      <c r="AF49" s="163"/>
      <c r="AG49" s="163"/>
      <c r="AH49" s="163"/>
      <c r="AI49" s="163"/>
      <c r="AJ49" s="273"/>
      <c r="AK49" s="163"/>
      <c r="AL49" s="273"/>
      <c r="AM49" s="163"/>
      <c r="AN49" s="163"/>
      <c r="AO49" s="276"/>
    </row>
    <row r="50" spans="2:41" x14ac:dyDescent="0.3">
      <c r="B50" s="277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274"/>
      <c r="X50" s="275"/>
      <c r="Y50" s="129"/>
      <c r="Z50" s="274"/>
      <c r="AA50" s="275"/>
      <c r="AB50" s="129"/>
      <c r="AC50" s="274"/>
      <c r="AD50" s="275"/>
      <c r="AE50" s="163"/>
      <c r="AF50" s="163"/>
      <c r="AG50" s="163"/>
      <c r="AH50" s="163"/>
      <c r="AI50" s="163"/>
      <c r="AJ50" s="273"/>
      <c r="AK50" s="163"/>
      <c r="AL50" s="273"/>
      <c r="AM50" s="163"/>
      <c r="AN50" s="163"/>
      <c r="AO50" s="276"/>
    </row>
    <row r="51" spans="2:41" x14ac:dyDescent="0.3">
      <c r="B51" s="27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274"/>
      <c r="X51" s="275"/>
      <c r="Y51" s="129"/>
      <c r="Z51" s="274"/>
      <c r="AA51" s="275"/>
      <c r="AB51" s="129"/>
      <c r="AC51" s="274"/>
      <c r="AD51" s="275"/>
      <c r="AE51" s="163"/>
      <c r="AF51" s="163"/>
      <c r="AG51" s="163"/>
      <c r="AH51" s="163"/>
      <c r="AI51" s="163"/>
      <c r="AJ51" s="273"/>
      <c r="AK51" s="163"/>
      <c r="AL51" s="273"/>
      <c r="AM51" s="163"/>
      <c r="AN51" s="163"/>
      <c r="AO51" s="276"/>
    </row>
    <row r="52" spans="2:41" x14ac:dyDescent="0.3">
      <c r="B52" s="277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274"/>
      <c r="X52" s="275"/>
      <c r="Y52" s="129"/>
      <c r="Z52" s="274"/>
      <c r="AA52" s="275"/>
      <c r="AB52" s="129"/>
      <c r="AC52" s="274"/>
      <c r="AD52" s="275"/>
      <c r="AE52" s="163"/>
      <c r="AF52" s="163"/>
      <c r="AG52" s="163"/>
      <c r="AH52" s="163"/>
      <c r="AI52" s="163"/>
      <c r="AJ52" s="273"/>
      <c r="AK52" s="163"/>
      <c r="AL52" s="273"/>
      <c r="AM52" s="163"/>
      <c r="AN52" s="163"/>
      <c r="AO52" s="276"/>
    </row>
    <row r="53" spans="2:41" x14ac:dyDescent="0.3">
      <c r="B53" s="27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274"/>
      <c r="X53" s="275"/>
      <c r="Y53" s="129"/>
      <c r="Z53" s="274"/>
      <c r="AA53" s="275"/>
      <c r="AB53" s="129"/>
      <c r="AC53" s="274"/>
      <c r="AD53" s="275"/>
      <c r="AE53" s="163"/>
      <c r="AF53" s="163"/>
      <c r="AG53" s="163"/>
      <c r="AH53" s="163"/>
      <c r="AI53" s="163"/>
      <c r="AJ53" s="273"/>
      <c r="AK53" s="163"/>
      <c r="AL53" s="273"/>
      <c r="AM53" s="163"/>
      <c r="AN53" s="163"/>
      <c r="AO53" s="276"/>
    </row>
    <row r="54" spans="2:41" x14ac:dyDescent="0.3">
      <c r="B54" s="277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274"/>
      <c r="X54" s="275"/>
      <c r="Y54" s="129"/>
      <c r="Z54" s="274"/>
      <c r="AA54" s="275"/>
      <c r="AB54" s="129"/>
      <c r="AC54" s="274"/>
      <c r="AD54" s="275"/>
      <c r="AE54" s="163"/>
      <c r="AF54" s="163"/>
      <c r="AG54" s="163"/>
      <c r="AH54" s="163"/>
      <c r="AI54" s="163"/>
      <c r="AJ54" s="273"/>
      <c r="AK54" s="163"/>
      <c r="AL54" s="273"/>
      <c r="AM54" s="163"/>
      <c r="AN54" s="163"/>
      <c r="AO54" s="276"/>
    </row>
    <row r="55" spans="2:41" x14ac:dyDescent="0.3">
      <c r="B55" s="27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274"/>
      <c r="X55" s="275"/>
      <c r="Y55" s="129"/>
      <c r="Z55" s="274"/>
      <c r="AA55" s="275"/>
      <c r="AB55" s="129"/>
      <c r="AC55" s="274"/>
      <c r="AD55" s="275"/>
      <c r="AE55" s="163"/>
      <c r="AF55" s="163"/>
      <c r="AG55" s="163"/>
      <c r="AH55" s="163"/>
      <c r="AI55" s="163"/>
      <c r="AJ55" s="273"/>
      <c r="AK55" s="163"/>
      <c r="AL55" s="273"/>
      <c r="AM55" s="163"/>
      <c r="AN55" s="163"/>
      <c r="AO55" s="276"/>
    </row>
    <row r="56" spans="2:41" x14ac:dyDescent="0.3">
      <c r="B56" s="277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274"/>
      <c r="X56" s="275"/>
      <c r="Y56" s="129"/>
      <c r="Z56" s="274"/>
      <c r="AA56" s="275"/>
      <c r="AB56" s="129"/>
      <c r="AC56" s="274"/>
      <c r="AD56" s="275"/>
      <c r="AE56" s="163"/>
      <c r="AF56" s="163"/>
      <c r="AG56" s="163"/>
      <c r="AH56" s="163"/>
      <c r="AI56" s="163"/>
      <c r="AJ56" s="273"/>
      <c r="AK56" s="163"/>
      <c r="AL56" s="273"/>
      <c r="AM56" s="163"/>
      <c r="AN56" s="163"/>
      <c r="AO56" s="276"/>
    </row>
    <row r="57" spans="2:41" x14ac:dyDescent="0.3">
      <c r="B57" s="27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274"/>
      <c r="X57" s="275"/>
      <c r="Y57" s="129"/>
      <c r="Z57" s="274"/>
      <c r="AA57" s="275"/>
      <c r="AB57" s="129"/>
      <c r="AC57" s="274"/>
      <c r="AD57" s="275"/>
      <c r="AE57" s="163"/>
      <c r="AF57" s="163"/>
      <c r="AG57" s="163"/>
      <c r="AH57" s="163"/>
      <c r="AI57" s="163"/>
      <c r="AJ57" s="273"/>
      <c r="AK57" s="163"/>
      <c r="AL57" s="273"/>
      <c r="AM57" s="163"/>
      <c r="AN57" s="163"/>
      <c r="AO57" s="276"/>
    </row>
    <row r="58" spans="2:41" x14ac:dyDescent="0.3">
      <c r="B58" s="277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274"/>
      <c r="X58" s="275"/>
      <c r="Y58" s="129"/>
      <c r="Z58" s="274"/>
      <c r="AA58" s="275"/>
      <c r="AB58" s="129"/>
      <c r="AC58" s="274"/>
      <c r="AD58" s="275"/>
      <c r="AE58" s="163"/>
      <c r="AF58" s="163"/>
      <c r="AG58" s="163"/>
      <c r="AH58" s="163"/>
      <c r="AI58" s="163"/>
      <c r="AJ58" s="273"/>
      <c r="AK58" s="163"/>
      <c r="AL58" s="273"/>
      <c r="AM58" s="163"/>
      <c r="AN58" s="163"/>
      <c r="AO58" s="276"/>
    </row>
    <row r="59" spans="2:41" x14ac:dyDescent="0.3">
      <c r="B59" s="27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274"/>
      <c r="X59" s="275"/>
      <c r="Y59" s="129"/>
      <c r="Z59" s="274"/>
      <c r="AA59" s="275"/>
      <c r="AB59" s="129"/>
      <c r="AC59" s="274"/>
      <c r="AD59" s="275"/>
      <c r="AE59" s="163"/>
      <c r="AF59" s="163"/>
      <c r="AG59" s="163"/>
      <c r="AH59" s="163"/>
      <c r="AI59" s="163"/>
      <c r="AJ59" s="273"/>
      <c r="AK59" s="163"/>
      <c r="AL59" s="273"/>
      <c r="AM59" s="163"/>
      <c r="AN59" s="163"/>
      <c r="AO59" s="276"/>
    </row>
    <row r="60" spans="2:41" x14ac:dyDescent="0.3">
      <c r="B60" s="277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274"/>
      <c r="X60" s="275"/>
      <c r="Y60" s="129"/>
      <c r="Z60" s="274"/>
      <c r="AA60" s="275"/>
      <c r="AB60" s="129"/>
      <c r="AC60" s="274"/>
      <c r="AD60" s="275"/>
      <c r="AE60" s="163"/>
      <c r="AF60" s="163"/>
      <c r="AG60" s="163"/>
      <c r="AH60" s="163"/>
      <c r="AI60" s="163"/>
      <c r="AJ60" s="273"/>
      <c r="AK60" s="163"/>
      <c r="AL60" s="273"/>
      <c r="AM60" s="163"/>
      <c r="AN60" s="163"/>
      <c r="AO60" s="276"/>
    </row>
    <row r="61" spans="2:41" x14ac:dyDescent="0.3">
      <c r="B61" s="27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274"/>
      <c r="X61" s="275"/>
      <c r="Y61" s="129"/>
      <c r="Z61" s="274"/>
      <c r="AA61" s="275"/>
      <c r="AB61" s="129"/>
      <c r="AC61" s="274"/>
      <c r="AD61" s="275"/>
      <c r="AE61" s="163"/>
      <c r="AF61" s="163"/>
      <c r="AG61" s="163"/>
      <c r="AH61" s="163"/>
      <c r="AI61" s="163"/>
      <c r="AJ61" s="273"/>
      <c r="AK61" s="163"/>
      <c r="AL61" s="273"/>
      <c r="AM61" s="163"/>
      <c r="AN61" s="163"/>
      <c r="AO61" s="276"/>
    </row>
    <row r="62" spans="2:41" x14ac:dyDescent="0.3">
      <c r="B62" s="277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274"/>
      <c r="X62" s="275"/>
      <c r="Y62" s="129"/>
      <c r="Z62" s="274"/>
      <c r="AA62" s="275"/>
      <c r="AB62" s="129"/>
      <c r="AC62" s="274"/>
      <c r="AD62" s="275"/>
      <c r="AE62" s="163"/>
      <c r="AF62" s="163"/>
      <c r="AG62" s="163"/>
      <c r="AH62" s="163"/>
      <c r="AI62" s="163"/>
      <c r="AJ62" s="273"/>
      <c r="AK62" s="163"/>
      <c r="AL62" s="273"/>
      <c r="AM62" s="163"/>
      <c r="AN62" s="163"/>
      <c r="AO62" s="276"/>
    </row>
    <row r="63" spans="2:41" x14ac:dyDescent="0.3">
      <c r="B63" s="27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274"/>
      <c r="X63" s="275"/>
      <c r="Y63" s="129"/>
      <c r="Z63" s="274"/>
      <c r="AA63" s="275"/>
      <c r="AB63" s="129"/>
      <c r="AC63" s="274"/>
      <c r="AD63" s="275"/>
      <c r="AE63" s="163"/>
      <c r="AF63" s="163"/>
      <c r="AG63" s="163"/>
      <c r="AH63" s="163"/>
      <c r="AI63" s="163"/>
      <c r="AJ63" s="273"/>
      <c r="AK63" s="163"/>
      <c r="AL63" s="273"/>
      <c r="AM63" s="163"/>
      <c r="AN63" s="163"/>
      <c r="AO63" s="276"/>
    </row>
    <row r="64" spans="2:41" x14ac:dyDescent="0.3">
      <c r="B64" s="277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274"/>
      <c r="X64" s="275"/>
      <c r="Y64" s="129"/>
      <c r="Z64" s="274"/>
      <c r="AA64" s="275"/>
      <c r="AB64" s="129"/>
      <c r="AC64" s="274"/>
      <c r="AD64" s="275"/>
      <c r="AE64" s="163"/>
      <c r="AF64" s="163"/>
      <c r="AG64" s="163"/>
      <c r="AH64" s="163"/>
      <c r="AI64" s="163"/>
      <c r="AJ64" s="273"/>
      <c r="AK64" s="163"/>
      <c r="AL64" s="273"/>
      <c r="AM64" s="163"/>
      <c r="AN64" s="163"/>
      <c r="AO64" s="276"/>
    </row>
    <row r="65" spans="2:41" x14ac:dyDescent="0.3">
      <c r="B65" s="27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274"/>
      <c r="X65" s="275"/>
      <c r="Y65" s="129"/>
      <c r="Z65" s="274"/>
      <c r="AA65" s="275"/>
      <c r="AB65" s="129"/>
      <c r="AC65" s="274"/>
      <c r="AD65" s="275"/>
      <c r="AE65" s="163"/>
      <c r="AF65" s="163"/>
      <c r="AG65" s="163"/>
      <c r="AH65" s="163"/>
      <c r="AI65" s="163"/>
      <c r="AJ65" s="273"/>
      <c r="AK65" s="163"/>
      <c r="AL65" s="273"/>
      <c r="AM65" s="163"/>
      <c r="AN65" s="163"/>
      <c r="AO65" s="276"/>
    </row>
    <row r="66" spans="2:41" x14ac:dyDescent="0.3">
      <c r="B66" s="277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274"/>
      <c r="X66" s="275"/>
      <c r="Y66" s="129"/>
      <c r="Z66" s="274"/>
      <c r="AA66" s="275"/>
      <c r="AB66" s="129"/>
      <c r="AC66" s="274"/>
      <c r="AD66" s="275"/>
      <c r="AE66" s="163"/>
      <c r="AF66" s="163"/>
      <c r="AG66" s="163"/>
      <c r="AH66" s="163"/>
      <c r="AI66" s="163"/>
      <c r="AJ66" s="273"/>
      <c r="AK66" s="163"/>
      <c r="AL66" s="273"/>
      <c r="AM66" s="163"/>
      <c r="AN66" s="163"/>
      <c r="AO66" s="276"/>
    </row>
    <row r="67" spans="2:41" x14ac:dyDescent="0.3">
      <c r="B67" s="27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274"/>
      <c r="X67" s="275"/>
      <c r="Y67" s="129"/>
      <c r="Z67" s="274"/>
      <c r="AA67" s="275"/>
      <c r="AB67" s="129"/>
      <c r="AC67" s="274"/>
      <c r="AD67" s="275"/>
      <c r="AE67" s="163"/>
      <c r="AF67" s="163"/>
      <c r="AG67" s="163"/>
      <c r="AH67" s="163"/>
      <c r="AI67" s="163"/>
      <c r="AJ67" s="273"/>
      <c r="AK67" s="163"/>
      <c r="AL67" s="273"/>
      <c r="AM67" s="163"/>
      <c r="AN67" s="163"/>
      <c r="AO67" s="276"/>
    </row>
    <row r="68" spans="2:41" x14ac:dyDescent="0.3">
      <c r="B68" s="277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274"/>
      <c r="X68" s="275"/>
      <c r="Y68" s="129"/>
      <c r="Z68" s="274"/>
      <c r="AA68" s="275"/>
      <c r="AB68" s="129"/>
      <c r="AC68" s="274"/>
      <c r="AD68" s="275"/>
      <c r="AE68" s="163"/>
      <c r="AF68" s="163"/>
      <c r="AG68" s="163"/>
      <c r="AH68" s="163"/>
      <c r="AI68" s="163"/>
      <c r="AJ68" s="273"/>
      <c r="AK68" s="163"/>
      <c r="AL68" s="273"/>
      <c r="AM68" s="163"/>
      <c r="AN68" s="163"/>
      <c r="AO68" s="276"/>
    </row>
    <row r="69" spans="2:41" x14ac:dyDescent="0.3">
      <c r="B69" s="27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274"/>
      <c r="X69" s="275"/>
      <c r="Y69" s="129"/>
      <c r="Z69" s="274"/>
      <c r="AA69" s="275"/>
      <c r="AB69" s="129"/>
      <c r="AC69" s="274"/>
      <c r="AD69" s="275"/>
      <c r="AE69" s="163"/>
      <c r="AF69" s="163"/>
      <c r="AG69" s="163"/>
      <c r="AH69" s="163"/>
      <c r="AI69" s="163"/>
      <c r="AJ69" s="273"/>
      <c r="AK69" s="163"/>
      <c r="AL69" s="273"/>
      <c r="AM69" s="163"/>
      <c r="AN69" s="163"/>
      <c r="AO69" s="276"/>
    </row>
    <row r="70" spans="2:41" x14ac:dyDescent="0.3">
      <c r="B70" s="277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274"/>
      <c r="X70" s="275"/>
      <c r="Y70" s="129"/>
      <c r="Z70" s="274"/>
      <c r="AA70" s="275"/>
      <c r="AB70" s="129"/>
      <c r="AC70" s="274"/>
      <c r="AD70" s="275"/>
      <c r="AE70" s="163"/>
      <c r="AF70" s="163"/>
      <c r="AG70" s="163"/>
      <c r="AH70" s="163"/>
      <c r="AI70" s="163"/>
      <c r="AJ70" s="273"/>
      <c r="AK70" s="163"/>
      <c r="AL70" s="273"/>
      <c r="AM70" s="163"/>
      <c r="AN70" s="163"/>
      <c r="AO70" s="276"/>
    </row>
    <row r="71" spans="2:41" x14ac:dyDescent="0.3">
      <c r="B71" s="27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274"/>
      <c r="X71" s="275"/>
      <c r="Y71" s="129"/>
      <c r="Z71" s="274"/>
      <c r="AA71" s="275"/>
      <c r="AB71" s="129"/>
      <c r="AC71" s="274"/>
      <c r="AD71" s="275"/>
      <c r="AE71" s="163"/>
      <c r="AF71" s="163"/>
      <c r="AG71" s="163"/>
      <c r="AH71" s="163"/>
      <c r="AI71" s="163"/>
      <c r="AJ71" s="273"/>
      <c r="AK71" s="163"/>
      <c r="AL71" s="273"/>
      <c r="AM71" s="163"/>
      <c r="AN71" s="163"/>
      <c r="AO71" s="276"/>
    </row>
    <row r="72" spans="2:41" x14ac:dyDescent="0.3">
      <c r="B72" s="277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274"/>
      <c r="X72" s="275"/>
      <c r="Y72" s="129"/>
      <c r="Z72" s="274"/>
      <c r="AA72" s="275"/>
      <c r="AB72" s="129"/>
      <c r="AC72" s="274"/>
      <c r="AD72" s="275"/>
      <c r="AE72" s="163"/>
      <c r="AF72" s="163"/>
      <c r="AG72" s="163"/>
      <c r="AH72" s="163"/>
      <c r="AI72" s="163"/>
      <c r="AJ72" s="273"/>
      <c r="AK72" s="163"/>
      <c r="AL72" s="273"/>
      <c r="AM72" s="163"/>
      <c r="AN72" s="163"/>
      <c r="AO72" s="276"/>
    </row>
    <row r="73" spans="2:41" x14ac:dyDescent="0.3">
      <c r="B73" s="27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274"/>
      <c r="X73" s="275"/>
      <c r="Y73" s="129"/>
      <c r="Z73" s="274"/>
      <c r="AA73" s="275"/>
      <c r="AB73" s="129"/>
      <c r="AC73" s="274"/>
      <c r="AD73" s="275"/>
      <c r="AE73" s="163"/>
      <c r="AF73" s="163"/>
      <c r="AG73" s="163"/>
      <c r="AH73" s="163"/>
      <c r="AI73" s="163"/>
      <c r="AJ73" s="273"/>
      <c r="AK73" s="163"/>
      <c r="AL73" s="273"/>
      <c r="AM73" s="163"/>
      <c r="AN73" s="163"/>
      <c r="AO73" s="276"/>
    </row>
  </sheetData>
  <sheetProtection sheet="1" objects="1" scenarios="1"/>
  <protectedRanges>
    <protectedRange sqref="D4:D7 D9:D11 D13:D16 D25:D26" name="Range6"/>
    <protectedRange sqref="B33:B73" name="Range1"/>
    <protectedRange sqref="X33:X73" name="Range2"/>
    <protectedRange sqref="AA33:AA73" name="Range3"/>
    <protectedRange sqref="AD33:AD73" name="Range4"/>
    <protectedRange sqref="AJ33:AL73" name="Range5"/>
  </protectedRanges>
  <mergeCells count="33">
    <mergeCell ref="B9:C9"/>
    <mergeCell ref="J31:O31"/>
    <mergeCell ref="D31:G31"/>
    <mergeCell ref="B31:C31"/>
    <mergeCell ref="P31:U31"/>
    <mergeCell ref="B21:C21"/>
    <mergeCell ref="B10:C10"/>
    <mergeCell ref="B11:C11"/>
    <mergeCell ref="B13:C13"/>
    <mergeCell ref="B14:C14"/>
    <mergeCell ref="B15:C15"/>
    <mergeCell ref="B12:D12"/>
    <mergeCell ref="B16:C16"/>
    <mergeCell ref="B17:C17"/>
    <mergeCell ref="B18:C18"/>
    <mergeCell ref="B19:C19"/>
    <mergeCell ref="B8:D8"/>
    <mergeCell ref="B3:D3"/>
    <mergeCell ref="B4:C4"/>
    <mergeCell ref="B5:C5"/>
    <mergeCell ref="B6:C6"/>
    <mergeCell ref="B7:C7"/>
    <mergeCell ref="B20:C20"/>
    <mergeCell ref="AE31:AO31"/>
    <mergeCell ref="B22:C22"/>
    <mergeCell ref="B23:C23"/>
    <mergeCell ref="B24:C24"/>
    <mergeCell ref="B25:C25"/>
    <mergeCell ref="B26:C26"/>
    <mergeCell ref="B27:C27"/>
    <mergeCell ref="Y31:AA31"/>
    <mergeCell ref="AB31:AD31"/>
    <mergeCell ref="V31:X31"/>
  </mergeCells>
  <phoneticPr fontId="1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B62B-AE84-4440-92AB-0462E0DD89FA}">
  <sheetPr codeName="Sheet9"/>
  <dimension ref="B4:AE59"/>
  <sheetViews>
    <sheetView topLeftCell="A14" workbookViewId="0">
      <selection activeCell="K10" sqref="K10"/>
    </sheetView>
  </sheetViews>
  <sheetFormatPr defaultColWidth="9.109375" defaultRowHeight="14.4" x14ac:dyDescent="0.3"/>
  <cols>
    <col min="1" max="1" width="7.77734375" style="227" customWidth="1"/>
    <col min="2" max="3" width="7.77734375" style="234" customWidth="1"/>
    <col min="4" max="4" width="7.77734375" style="243" customWidth="1"/>
    <col min="5" max="13" width="7.77734375" style="227" customWidth="1"/>
    <col min="14" max="15" width="7.77734375" style="227" hidden="1" customWidth="1"/>
    <col min="16" max="16" width="7.77734375" style="255" customWidth="1"/>
    <col min="17" max="17" width="7.77734375" style="227" hidden="1" customWidth="1"/>
    <col min="18" max="19" width="7.77734375" style="227" customWidth="1"/>
    <col min="20" max="20" width="5.6640625" style="227" bestFit="1" customWidth="1"/>
    <col min="21" max="21" width="12.21875" style="252" bestFit="1" customWidth="1"/>
    <col min="22" max="22" width="5.21875" style="231" hidden="1" customWidth="1"/>
    <col min="23" max="23" width="5.21875" style="227" hidden="1" customWidth="1"/>
    <col min="24" max="24" width="9.6640625" style="227" bestFit="1" customWidth="1"/>
    <col min="25" max="25" width="7.77734375" style="227" bestFit="1" customWidth="1"/>
    <col min="26" max="26" width="7.21875" style="227" hidden="1" customWidth="1"/>
    <col min="27" max="27" width="7" style="227" bestFit="1" customWidth="1"/>
    <col min="28" max="28" width="7.21875" style="227" bestFit="1" customWidth="1"/>
    <col min="29" max="29" width="5.6640625" style="227" bestFit="1" customWidth="1"/>
    <col min="30" max="30" width="8.88671875" style="227" customWidth="1"/>
    <col min="31" max="31" width="7.109375" style="227" customWidth="1"/>
    <col min="32" max="16384" width="9.109375" style="227"/>
  </cols>
  <sheetData>
    <row r="4" spans="2:10" x14ac:dyDescent="0.3">
      <c r="B4" s="229" t="s">
        <v>0</v>
      </c>
      <c r="C4" s="229"/>
      <c r="D4" s="242"/>
      <c r="E4" s="230"/>
      <c r="F4" s="148"/>
      <c r="G4" s="148"/>
    </row>
    <row r="5" spans="2:10" x14ac:dyDescent="0.3">
      <c r="B5" s="148" t="s">
        <v>298</v>
      </c>
      <c r="C5" s="232"/>
      <c r="E5" s="233">
        <v>0.8</v>
      </c>
      <c r="F5" s="232" t="s">
        <v>1</v>
      </c>
      <c r="G5" s="148"/>
      <c r="H5" s="148"/>
    </row>
    <row r="6" spans="2:10" x14ac:dyDescent="0.3">
      <c r="B6" s="148" t="s">
        <v>299</v>
      </c>
      <c r="C6" s="232"/>
      <c r="E6" s="233">
        <v>0.82499999999999996</v>
      </c>
      <c r="F6" s="232" t="s">
        <v>2</v>
      </c>
      <c r="G6" s="148"/>
      <c r="H6" s="148"/>
    </row>
    <row r="7" spans="2:10" x14ac:dyDescent="0.3">
      <c r="B7" s="148" t="s">
        <v>300</v>
      </c>
      <c r="C7" s="232"/>
      <c r="E7" s="233">
        <v>0.8</v>
      </c>
      <c r="F7" s="232" t="s">
        <v>3</v>
      </c>
      <c r="G7" s="148"/>
      <c r="H7" s="148"/>
    </row>
    <row r="8" spans="2:10" x14ac:dyDescent="0.3">
      <c r="B8" s="148" t="s">
        <v>301</v>
      </c>
      <c r="C8" s="232"/>
      <c r="E8" s="233">
        <v>0.66666666666666663</v>
      </c>
      <c r="F8" s="232" t="s">
        <v>4</v>
      </c>
      <c r="G8" s="148"/>
      <c r="H8" s="148"/>
    </row>
    <row r="10" spans="2:10" x14ac:dyDescent="0.3">
      <c r="B10" s="326" t="s">
        <v>312</v>
      </c>
      <c r="C10" s="326"/>
      <c r="D10" s="326"/>
      <c r="E10" s="326"/>
      <c r="F10" s="326"/>
    </row>
    <row r="11" spans="2:10" x14ac:dyDescent="0.3">
      <c r="B11" s="234" t="s">
        <v>313</v>
      </c>
      <c r="D11" s="243" t="s">
        <v>6</v>
      </c>
      <c r="E11" s="235">
        <v>25</v>
      </c>
      <c r="F11" s="227" t="s">
        <v>34</v>
      </c>
    </row>
    <row r="12" spans="2:10" x14ac:dyDescent="0.3">
      <c r="B12" s="234" t="s">
        <v>368</v>
      </c>
      <c r="D12" s="245" t="s">
        <v>8</v>
      </c>
      <c r="E12" s="233">
        <v>1.5</v>
      </c>
    </row>
    <row r="13" spans="2:10" x14ac:dyDescent="0.3">
      <c r="B13" s="234" t="s">
        <v>314</v>
      </c>
      <c r="D13" s="243" t="s">
        <v>367</v>
      </c>
      <c r="E13" s="44">
        <f>E11*E5*E6*E7/E12</f>
        <v>8.8000000000000007</v>
      </c>
      <c r="F13" s="227" t="s">
        <v>34</v>
      </c>
    </row>
    <row r="14" spans="2:10" x14ac:dyDescent="0.3">
      <c r="B14" s="234" t="s">
        <v>315</v>
      </c>
      <c r="D14" s="243" t="s">
        <v>316</v>
      </c>
      <c r="E14" s="44">
        <f>0.024*SQRT(E11/E12)</f>
        <v>9.7979589711327128E-2</v>
      </c>
      <c r="F14" s="227" t="s">
        <v>34</v>
      </c>
      <c r="J14" s="227" t="s">
        <v>386</v>
      </c>
    </row>
    <row r="15" spans="2:10" x14ac:dyDescent="0.3">
      <c r="B15" s="234" t="s">
        <v>317</v>
      </c>
      <c r="D15" s="243" t="s">
        <v>318</v>
      </c>
      <c r="E15" s="44">
        <f>MIN(1.7,0.316*SQRT(E11/1.5))</f>
        <v>1.2900645978658072</v>
      </c>
      <c r="F15" s="227" t="s">
        <v>34</v>
      </c>
    </row>
    <row r="16" spans="2:10" x14ac:dyDescent="0.3">
      <c r="B16" s="234" t="s">
        <v>380</v>
      </c>
      <c r="D16" s="243" t="s">
        <v>383</v>
      </c>
      <c r="E16" s="44">
        <f>0.3*SQRT(E11/E12)</f>
        <v>1.2247448713915892</v>
      </c>
      <c r="F16" s="227" t="s">
        <v>34</v>
      </c>
    </row>
    <row r="18" spans="2:6" x14ac:dyDescent="0.3">
      <c r="B18" s="326" t="s">
        <v>320</v>
      </c>
      <c r="C18" s="326"/>
      <c r="D18" s="326"/>
      <c r="E18" s="326"/>
      <c r="F18" s="326"/>
    </row>
    <row r="19" spans="2:6" x14ac:dyDescent="0.3">
      <c r="B19" s="234" t="s">
        <v>321</v>
      </c>
      <c r="D19" s="243" t="s">
        <v>10</v>
      </c>
      <c r="E19" s="235">
        <v>360</v>
      </c>
      <c r="F19" s="227" t="s">
        <v>34</v>
      </c>
    </row>
    <row r="20" spans="2:6" x14ac:dyDescent="0.3">
      <c r="B20" s="234" t="s">
        <v>368</v>
      </c>
      <c r="D20" s="243" t="s">
        <v>12</v>
      </c>
      <c r="E20" s="259">
        <v>1.1499999999999999</v>
      </c>
    </row>
    <row r="21" spans="2:6" x14ac:dyDescent="0.3">
      <c r="B21" s="234" t="s">
        <v>322</v>
      </c>
      <c r="D21" s="243" t="s">
        <v>13</v>
      </c>
      <c r="E21" s="257">
        <f>E19/E20</f>
        <v>313.04347826086956</v>
      </c>
      <c r="F21" s="227" t="s">
        <v>34</v>
      </c>
    </row>
    <row r="23" spans="2:6" x14ac:dyDescent="0.3">
      <c r="B23" s="326" t="s">
        <v>303</v>
      </c>
      <c r="C23" s="326"/>
      <c r="D23" s="326"/>
      <c r="E23" s="326"/>
      <c r="F23" s="326"/>
    </row>
    <row r="24" spans="2:6" x14ac:dyDescent="0.3">
      <c r="B24" s="234" t="s">
        <v>304</v>
      </c>
      <c r="D24" s="243" t="s">
        <v>305</v>
      </c>
      <c r="E24" s="235">
        <v>250</v>
      </c>
      <c r="F24" s="227" t="s">
        <v>352</v>
      </c>
    </row>
    <row r="25" spans="2:6" x14ac:dyDescent="0.3">
      <c r="B25" s="234" t="s">
        <v>306</v>
      </c>
      <c r="D25" s="243" t="s">
        <v>307</v>
      </c>
      <c r="E25" s="235">
        <v>5</v>
      </c>
      <c r="F25" s="227" t="s">
        <v>352</v>
      </c>
    </row>
    <row r="26" spans="2:6" x14ac:dyDescent="0.3">
      <c r="B26" s="234" t="s">
        <v>308</v>
      </c>
      <c r="D26" s="243" t="s">
        <v>309</v>
      </c>
      <c r="E26" s="235">
        <v>3</v>
      </c>
      <c r="F26" s="227" t="s">
        <v>310</v>
      </c>
    </row>
    <row r="27" spans="2:6" x14ac:dyDescent="0.3">
      <c r="B27" s="234" t="s">
        <v>311</v>
      </c>
      <c r="D27" s="243" t="s">
        <v>71</v>
      </c>
      <c r="E27" s="235">
        <v>1.5</v>
      </c>
      <c r="F27" s="227" t="s">
        <v>310</v>
      </c>
    </row>
    <row r="29" spans="2:6" x14ac:dyDescent="0.3">
      <c r="B29" s="234" t="s">
        <v>374</v>
      </c>
      <c r="D29" s="243" t="s">
        <v>324</v>
      </c>
      <c r="E29" s="235">
        <v>550</v>
      </c>
      <c r="F29" s="227" t="s">
        <v>38</v>
      </c>
    </row>
    <row r="30" spans="2:6" x14ac:dyDescent="0.3">
      <c r="B30" s="234" t="s">
        <v>375</v>
      </c>
      <c r="E30" s="235">
        <v>70</v>
      </c>
      <c r="F30" s="227" t="s">
        <v>38</v>
      </c>
    </row>
    <row r="31" spans="2:6" x14ac:dyDescent="0.3">
      <c r="B31" s="234" t="s">
        <v>373</v>
      </c>
      <c r="D31" s="243" t="s">
        <v>60</v>
      </c>
      <c r="E31" s="257">
        <f>E29-E30</f>
        <v>480</v>
      </c>
      <c r="F31" s="227" t="s">
        <v>38</v>
      </c>
    </row>
    <row r="32" spans="2:6" x14ac:dyDescent="0.3">
      <c r="D32" s="243" t="s">
        <v>195</v>
      </c>
      <c r="E32" s="258">
        <f>1000*E13*E31*E31</f>
        <v>2027520000</v>
      </c>
    </row>
    <row r="33" spans="2:31" x14ac:dyDescent="0.3">
      <c r="D33" s="243" t="s">
        <v>371</v>
      </c>
      <c r="E33" s="258">
        <f>E14*1000*E31</f>
        <v>47030.203061437016</v>
      </c>
    </row>
    <row r="34" spans="2:31" x14ac:dyDescent="0.3">
      <c r="B34" s="234" t="s">
        <v>376</v>
      </c>
      <c r="E34" s="235">
        <v>1</v>
      </c>
      <c r="F34" s="236" t="s">
        <v>377</v>
      </c>
    </row>
    <row r="35" spans="2:31" x14ac:dyDescent="0.3">
      <c r="B35" s="234" t="s">
        <v>378</v>
      </c>
      <c r="E35" s="235">
        <v>0.75</v>
      </c>
      <c r="F35" s="237" t="s">
        <v>379</v>
      </c>
    </row>
    <row r="36" spans="2:31" x14ac:dyDescent="0.3">
      <c r="B36" s="234" t="s">
        <v>381</v>
      </c>
      <c r="D36" s="243" t="s">
        <v>382</v>
      </c>
      <c r="E36" s="257">
        <f>E34*E35*1*E21/4/E16</f>
        <v>47.92479931532305</v>
      </c>
    </row>
    <row r="39" spans="2:31" x14ac:dyDescent="0.3">
      <c r="B39" s="234" t="s">
        <v>362</v>
      </c>
      <c r="E39" s="235">
        <v>105</v>
      </c>
    </row>
    <row r="40" spans="2:31" x14ac:dyDescent="0.3">
      <c r="B40" s="234" t="s">
        <v>235</v>
      </c>
      <c r="E40" s="227" t="str">
        <f>_xll.RSA_CASE_DATA("NAME",E39)</f>
        <v>COMB1</v>
      </c>
    </row>
    <row r="41" spans="2:31" x14ac:dyDescent="0.3">
      <c r="B41" s="234" t="s">
        <v>363</v>
      </c>
      <c r="E41" s="235">
        <v>105</v>
      </c>
    </row>
    <row r="42" spans="2:31" x14ac:dyDescent="0.3">
      <c r="B42" s="234" t="s">
        <v>235</v>
      </c>
      <c r="E42" s="227" t="str">
        <f>_xll.RSA_CASE_DATA("NAME",E41)</f>
        <v>COMB1</v>
      </c>
    </row>
    <row r="45" spans="2:31" s="231" customFormat="1" x14ac:dyDescent="0.3">
      <c r="B45" s="327" t="s">
        <v>142</v>
      </c>
      <c r="C45" s="327"/>
      <c r="D45" s="327"/>
      <c r="E45" s="327" t="s">
        <v>325</v>
      </c>
      <c r="F45" s="327"/>
      <c r="G45" s="327"/>
      <c r="H45" s="327"/>
      <c r="I45" s="327" t="s">
        <v>326</v>
      </c>
      <c r="J45" s="327"/>
      <c r="K45" s="327"/>
      <c r="L45" s="327"/>
      <c r="M45" s="327"/>
      <c r="N45" s="327" t="s">
        <v>327</v>
      </c>
      <c r="O45" s="327"/>
      <c r="P45" s="327"/>
      <c r="Q45" s="327"/>
      <c r="R45" s="327"/>
      <c r="S45" s="327"/>
      <c r="T45" s="327"/>
      <c r="U45" s="327" t="s">
        <v>328</v>
      </c>
      <c r="V45" s="327"/>
      <c r="W45" s="327"/>
      <c r="X45" s="327"/>
      <c r="Y45" s="327"/>
      <c r="Z45" s="327"/>
      <c r="AA45" s="327"/>
      <c r="AB45" s="327" t="s">
        <v>329</v>
      </c>
      <c r="AC45" s="327"/>
      <c r="AD45" s="327" t="s">
        <v>330</v>
      </c>
      <c r="AE45" s="327"/>
    </row>
    <row r="46" spans="2:31" x14ac:dyDescent="0.3">
      <c r="B46" s="228" t="s">
        <v>226</v>
      </c>
      <c r="C46" s="327" t="s">
        <v>361</v>
      </c>
      <c r="D46" s="327"/>
      <c r="E46" s="238" t="s">
        <v>331</v>
      </c>
      <c r="F46" s="330" t="s">
        <v>364</v>
      </c>
      <c r="G46" s="228" t="s">
        <v>332</v>
      </c>
      <c r="H46" s="228" t="s">
        <v>110</v>
      </c>
      <c r="I46" s="228" t="s">
        <v>333</v>
      </c>
      <c r="J46" s="228" t="s">
        <v>264</v>
      </c>
      <c r="K46" s="239" t="s">
        <v>334</v>
      </c>
      <c r="L46" s="239" t="s">
        <v>111</v>
      </c>
      <c r="M46" s="228" t="s">
        <v>335</v>
      </c>
      <c r="N46" s="327" t="s">
        <v>336</v>
      </c>
      <c r="O46" s="327"/>
      <c r="P46" s="256" t="s">
        <v>337</v>
      </c>
      <c r="Q46" s="228"/>
      <c r="R46" s="228" t="s">
        <v>335</v>
      </c>
      <c r="S46" s="228" t="s">
        <v>338</v>
      </c>
      <c r="T46" s="228" t="s">
        <v>339</v>
      </c>
      <c r="U46" s="253" t="s">
        <v>340</v>
      </c>
      <c r="V46" s="228"/>
      <c r="W46" s="228"/>
      <c r="X46" s="228" t="s">
        <v>341</v>
      </c>
      <c r="Y46" s="228" t="s">
        <v>370</v>
      </c>
      <c r="Z46" s="228"/>
      <c r="AA46" s="228" t="s">
        <v>372</v>
      </c>
      <c r="AB46" s="228" t="s">
        <v>342</v>
      </c>
      <c r="AC46" s="251" t="s">
        <v>339</v>
      </c>
      <c r="AD46" s="328" t="s">
        <v>381</v>
      </c>
      <c r="AE46" s="329"/>
    </row>
    <row r="47" spans="2:31" x14ac:dyDescent="0.3">
      <c r="B47" s="228" t="s">
        <v>358</v>
      </c>
      <c r="C47" s="228" t="s">
        <v>360</v>
      </c>
      <c r="D47" s="247" t="s">
        <v>359</v>
      </c>
      <c r="E47" s="238" t="s">
        <v>353</v>
      </c>
      <c r="F47" s="330"/>
      <c r="G47" s="228" t="s">
        <v>354</v>
      </c>
      <c r="H47" s="228" t="s">
        <v>355</v>
      </c>
      <c r="I47" s="228" t="s">
        <v>356</v>
      </c>
      <c r="J47" s="228" t="s">
        <v>343</v>
      </c>
      <c r="K47" s="239" t="s">
        <v>344</v>
      </c>
      <c r="L47" s="239" t="s">
        <v>345</v>
      </c>
      <c r="M47" s="228" t="s">
        <v>357</v>
      </c>
      <c r="N47" s="228" t="s">
        <v>365</v>
      </c>
      <c r="O47" s="228" t="s">
        <v>366</v>
      </c>
      <c r="P47" s="256" t="s">
        <v>346</v>
      </c>
      <c r="Q47" s="228" t="s">
        <v>347</v>
      </c>
      <c r="R47" s="228" t="s">
        <v>319</v>
      </c>
      <c r="S47" s="228" t="s">
        <v>348</v>
      </c>
      <c r="T47" s="228" t="s">
        <v>349</v>
      </c>
      <c r="U47" s="253" t="s">
        <v>369</v>
      </c>
      <c r="V47" s="228" t="s">
        <v>57</v>
      </c>
      <c r="W47" s="228" t="s">
        <v>323</v>
      </c>
      <c r="X47" s="228" t="s">
        <v>73</v>
      </c>
      <c r="Y47" s="228" t="s">
        <v>350</v>
      </c>
      <c r="Z47" s="228" t="s">
        <v>351</v>
      </c>
      <c r="AA47" s="228" t="s">
        <v>253</v>
      </c>
      <c r="AB47" s="228" t="s">
        <v>53</v>
      </c>
      <c r="AC47" s="228" t="s">
        <v>349</v>
      </c>
      <c r="AD47" s="228" t="s">
        <v>385</v>
      </c>
      <c r="AE47" s="228" t="s">
        <v>384</v>
      </c>
    </row>
    <row r="48" spans="2:31" x14ac:dyDescent="0.3">
      <c r="B48" s="235">
        <v>151</v>
      </c>
      <c r="C48">
        <f>_xll.RSA_BAR_DATA("NODE_START",B48)</f>
        <v>1</v>
      </c>
      <c r="D48">
        <f>_xll.RSA_BAR_DATA("NODE_END",B48)</f>
        <v>137</v>
      </c>
      <c r="E48" s="260">
        <f>_xlfn.SINGLE(MAX(_xll.RSA_SUPPORT_REACTION("FZ",C48,$E$39,1),_xll.RSA_SUPPORT_REACTION("FZ",D48,$E$39,1)))</f>
        <v>858.76333086026386</v>
      </c>
      <c r="F48" t="str">
        <f>_xll.RSA_BAR_DATA("SECTION",B48)</f>
        <v>C R30x65</v>
      </c>
      <c r="G48">
        <f>_xll.RSA_SECTION_DATA("BF",F48)/1000</f>
        <v>0.3</v>
      </c>
      <c r="H48">
        <f>_xll.RSA_SECTION_DATA("D",F48)/1000</f>
        <v>0.65</v>
      </c>
      <c r="I48">
        <f t="shared" ref="I48:I57" si="0">E48/E$24</f>
        <v>3.4350533234410556</v>
      </c>
      <c r="J48">
        <f>(-H48-G48+SQRT(G48*G48+H48*H48+4*I48+3*H48*G48))/4</f>
        <v>0.72549381143404235</v>
      </c>
      <c r="K48" s="240">
        <f>CEILING(2*J48+G48,0.25)</f>
        <v>2</v>
      </c>
      <c r="L48" s="240">
        <f>CEILING(2*J48+H48,0.25)</f>
        <v>2.25</v>
      </c>
      <c r="M48" s="225">
        <f t="shared" ref="M48:M57" si="1">E48/K48/L48</f>
        <v>190.83629574672531</v>
      </c>
      <c r="N48" s="225">
        <f t="shared" ref="N48:N57" si="2">G48*1000+E$31</f>
        <v>780</v>
      </c>
      <c r="O48" s="225">
        <f t="shared" ref="O48:O57" si="3">H48*1000+E$31</f>
        <v>1130</v>
      </c>
      <c r="P48" s="226">
        <f>E48*1000-N48*O48*M48/1000</f>
        <v>690560.21978910023</v>
      </c>
      <c r="Q48" s="225">
        <f t="shared" ref="Q48:Q57" si="4">2*(N48+O48)*E$31</f>
        <v>1833600</v>
      </c>
      <c r="R48" s="225">
        <f>P48/Q48</f>
        <v>0.37661443051325272</v>
      </c>
      <c r="S48" s="225">
        <f t="shared" ref="S48:S57" si="5">E$15*MIN(1,0.5+N48/O48)</f>
        <v>1.2900645978658072</v>
      </c>
      <c r="T48" s="225">
        <f>S48/R48</f>
        <v>3.4254252979836655</v>
      </c>
      <c r="U48" s="254">
        <f>M48*J48*J48/2*1000000</f>
        <v>50222509.173656836</v>
      </c>
      <c r="V48" s="227">
        <f>U48/E$32</f>
        <v>2.4770413694393562E-2</v>
      </c>
      <c r="W48" s="227" cm="1">
        <f t="array" ref="W48">[1]!PureBendingDesign_j(V48)</f>
        <v>0.98745747830226505</v>
      </c>
      <c r="X48" s="225">
        <f>U48/W48/E$31/E$21</f>
        <v>338.48085221620676</v>
      </c>
      <c r="Y48" s="250">
        <v>12</v>
      </c>
      <c r="Z48" s="225">
        <f>3.14*Y48*Y48/4</f>
        <v>113.03999999999999</v>
      </c>
      <c r="AA48" s="240">
        <f>MAX(5,ROUNDUP(X48/Z48,0))</f>
        <v>5</v>
      </c>
      <c r="AB48" s="225">
        <f t="shared" ref="AB48:AB57" si="6">M48*J48</f>
        <v>138.45055156124587</v>
      </c>
      <c r="AC48" s="225">
        <f>AB48*1000/E$33</f>
        <v>2.9438646348259141</v>
      </c>
      <c r="AD48" s="227">
        <f>Y48*E$36</f>
        <v>575.09759178387662</v>
      </c>
      <c r="AE48" s="225">
        <f>J48*1000/AD48</f>
        <v>1.2615142574039591</v>
      </c>
    </row>
    <row r="49" spans="2:31" x14ac:dyDescent="0.3">
      <c r="B49" s="235">
        <v>152</v>
      </c>
      <c r="C49">
        <f>_xll.RSA_BAR_DATA("NODE_START",B49)</f>
        <v>2</v>
      </c>
      <c r="D49">
        <f>_xll.RSA_BAR_DATA("NODE_END",B49)</f>
        <v>139</v>
      </c>
      <c r="E49" s="260">
        <f>_xlfn.SINGLE(MAX(_xll.RSA_SUPPORT_REACTION("FZ",C49,$E$39,1),_xll.RSA_SUPPORT_REACTION("FZ",D49,$E$39,1)))</f>
        <v>1729.0204399617073</v>
      </c>
      <c r="F49" t="str">
        <f>_xll.RSA_BAR_DATA("SECTION",B49)</f>
        <v>C R30x85</v>
      </c>
      <c r="G49">
        <f>_xll.RSA_SECTION_DATA("BF",F49)/1000</f>
        <v>0.3</v>
      </c>
      <c r="H49">
        <f>_xll.RSA_SECTION_DATA("D",F49)/1000</f>
        <v>0.85</v>
      </c>
      <c r="I49">
        <f t="shared" si="0"/>
        <v>6.9160817598468292</v>
      </c>
      <c r="J49">
        <f t="shared" ref="J49:J57" si="7">(-H49-G49+SQRT(G49*G49+H49*H49+4*I49+3*H49*G49))/4</f>
        <v>1.0643928174828461</v>
      </c>
      <c r="K49" s="240">
        <f t="shared" ref="K49:K57" si="8">CEILING(2*J49+G49,0.25)</f>
        <v>2.5</v>
      </c>
      <c r="L49" s="240">
        <f t="shared" ref="L49:L57" si="9">CEILING(2*J49+H49,0.25)</f>
        <v>3</v>
      </c>
      <c r="M49" s="225">
        <f t="shared" si="1"/>
        <v>230.53605866156099</v>
      </c>
      <c r="N49" s="225">
        <f t="shared" si="2"/>
        <v>780</v>
      </c>
      <c r="O49" s="225">
        <f t="shared" si="3"/>
        <v>1330</v>
      </c>
      <c r="P49" s="226">
        <f t="shared" ref="P49:P57" si="10">E49*1000-N49*O49*M49/1000</f>
        <v>1489862.3327062039</v>
      </c>
      <c r="Q49" s="225">
        <f t="shared" si="4"/>
        <v>2025600</v>
      </c>
      <c r="R49" s="225">
        <f t="shared" ref="R49:R57" si="11">P49/Q49</f>
        <v>0.73551655445606434</v>
      </c>
      <c r="S49" s="225">
        <f t="shared" si="5"/>
        <v>1.2900645978658072</v>
      </c>
      <c r="T49" s="225">
        <f t="shared" ref="T49:T54" si="12">S49/R49</f>
        <v>1.7539572563663739</v>
      </c>
      <c r="U49" s="254">
        <f t="shared" ref="U49:U57" si="13">M49*J49*J49/2*1000000</f>
        <v>130590847.06406069</v>
      </c>
      <c r="V49" s="227">
        <f t="shared" ref="V49:V57" si="14">U49/E$32</f>
        <v>6.4409153578786252E-2</v>
      </c>
      <c r="W49" s="227" cm="1">
        <f t="array" ref="W49">[1]!PureBendingDesign_j(V49)</f>
        <v>0.9666855721046097</v>
      </c>
      <c r="X49" s="225">
        <f t="shared" ref="X49:X57" si="15">U49/W49/E$31/E$21</f>
        <v>899.04536080359901</v>
      </c>
      <c r="Y49" s="241">
        <v>16</v>
      </c>
      <c r="Z49" s="225">
        <f t="shared" ref="Z49:Z57" si="16">3.14*Y49*Y49/4</f>
        <v>200.96</v>
      </c>
      <c r="AA49" s="240">
        <f t="shared" ref="AA49:AA54" si="17">MAX(5,ROUNDUP(X49/Z49,0))</f>
        <v>5</v>
      </c>
      <c r="AB49" s="225">
        <f t="shared" si="6"/>
        <v>245.38092501016959</v>
      </c>
      <c r="AC49" s="225">
        <f t="shared" ref="AC49:AC57" si="18">AB49*1000/E$33</f>
        <v>5.2175178722834952</v>
      </c>
      <c r="AD49" s="227">
        <f t="shared" ref="AD49:AD57" si="19">Y49*E$36</f>
        <v>766.79678904516879</v>
      </c>
      <c r="AE49" s="225">
        <f t="shared" ref="AE49:AE57" si="20">J49*1000/AD49</f>
        <v>1.3881028620480402</v>
      </c>
    </row>
    <row r="50" spans="2:31" x14ac:dyDescent="0.3">
      <c r="B50" s="235">
        <v>153</v>
      </c>
      <c r="C50">
        <f>_xll.RSA_BAR_DATA("NODE_START",B50)</f>
        <v>3</v>
      </c>
      <c r="D50">
        <f>_xll.RSA_BAR_DATA("NODE_END",B50)</f>
        <v>5353</v>
      </c>
      <c r="E50" s="260">
        <f>_xlfn.SINGLE(MAX(_xll.RSA_SUPPORT_REACTION("FZ",C50,$E$39,1),_xll.RSA_SUPPORT_REACTION("FZ",D50,$E$39,1)))</f>
        <v>2422.0790771911747</v>
      </c>
      <c r="F50" t="str">
        <f>_xll.RSA_BAR_DATA("SECTION",B50)</f>
        <v>C R30x85</v>
      </c>
      <c r="G50">
        <f>_xll.RSA_SECTION_DATA("BF",F50)/1000</f>
        <v>0.3</v>
      </c>
      <c r="H50">
        <f>_xll.RSA_SECTION_DATA("D",F50)/1000</f>
        <v>0.85</v>
      </c>
      <c r="I50">
        <f t="shared" si="0"/>
        <v>9.6883163087646995</v>
      </c>
      <c r="J50">
        <f t="shared" si="7"/>
        <v>1.3001626931408241</v>
      </c>
      <c r="K50" s="240">
        <f t="shared" si="8"/>
        <v>3</v>
      </c>
      <c r="L50" s="240">
        <f t="shared" si="9"/>
        <v>3.5</v>
      </c>
      <c r="M50" s="225">
        <f t="shared" si="1"/>
        <v>230.67419782773092</v>
      </c>
      <c r="N50" s="225">
        <f t="shared" si="2"/>
        <v>780</v>
      </c>
      <c r="O50" s="225">
        <f t="shared" si="3"/>
        <v>1330</v>
      </c>
      <c r="P50" s="226">
        <f t="shared" si="10"/>
        <v>2182777.6643646867</v>
      </c>
      <c r="Q50" s="225">
        <f t="shared" si="4"/>
        <v>2025600</v>
      </c>
      <c r="R50" s="225">
        <f t="shared" si="11"/>
        <v>1.0775956083948888</v>
      </c>
      <c r="S50" s="225">
        <f t="shared" si="5"/>
        <v>1.2900645978658072</v>
      </c>
      <c r="T50" s="225">
        <f t="shared" si="12"/>
        <v>1.1971695020058568</v>
      </c>
      <c r="U50" s="254">
        <f t="shared" si="13"/>
        <v>194968488.05997416</v>
      </c>
      <c r="V50" s="227">
        <f t="shared" si="14"/>
        <v>9.61610677379134E-2</v>
      </c>
      <c r="W50" s="227" cm="1">
        <f t="array" ref="W50">[1]!PureBendingDesign_j(V50)</f>
        <v>0.94935449940002081</v>
      </c>
      <c r="X50" s="225">
        <f t="shared" si="15"/>
        <v>1366.7532428581051</v>
      </c>
      <c r="Y50" s="241">
        <v>16</v>
      </c>
      <c r="Z50" s="225">
        <f t="shared" si="16"/>
        <v>200.96</v>
      </c>
      <c r="AA50" s="240">
        <f t="shared" si="17"/>
        <v>7</v>
      </c>
      <c r="AB50" s="225">
        <f t="shared" si="6"/>
        <v>299.91398628580185</v>
      </c>
      <c r="AC50" s="225">
        <f t="shared" si="18"/>
        <v>6.3770506347594313</v>
      </c>
      <c r="AD50" s="227">
        <f t="shared" si="19"/>
        <v>766.79678904516879</v>
      </c>
      <c r="AE50" s="225">
        <f t="shared" si="20"/>
        <v>1.6955766008877182</v>
      </c>
    </row>
    <row r="51" spans="2:31" x14ac:dyDescent="0.3">
      <c r="B51" s="235">
        <v>154</v>
      </c>
      <c r="C51">
        <f>_xll.RSA_BAR_DATA("NODE_START",B51)</f>
        <v>4</v>
      </c>
      <c r="D51">
        <f>_xll.RSA_BAR_DATA("NODE_END",B51)</f>
        <v>5354</v>
      </c>
      <c r="E51" s="260">
        <f>_xlfn.SINGLE(MAX(_xll.RSA_SUPPORT_REACTION("FZ",C51,$E$39,1),_xll.RSA_SUPPORT_REACTION("FZ",D51,$E$39,1)))</f>
        <v>2172.7027218962285</v>
      </c>
      <c r="F51" t="str">
        <f>_xll.RSA_BAR_DATA("SECTION",B51)</f>
        <v>C R30x85</v>
      </c>
      <c r="G51">
        <f>_xll.RSA_SECTION_DATA("BF",F51)/1000</f>
        <v>0.3</v>
      </c>
      <c r="H51">
        <f>_xll.RSA_SECTION_DATA("D",F51)/1000</f>
        <v>0.85</v>
      </c>
      <c r="I51">
        <f t="shared" si="0"/>
        <v>8.690810887584913</v>
      </c>
      <c r="J51">
        <f t="shared" si="7"/>
        <v>1.2195821052272593</v>
      </c>
      <c r="K51" s="240">
        <f t="shared" si="8"/>
        <v>2.75</v>
      </c>
      <c r="L51" s="240">
        <f t="shared" si="9"/>
        <v>3.5</v>
      </c>
      <c r="M51" s="225">
        <f t="shared" si="1"/>
        <v>225.73534772947826</v>
      </c>
      <c r="N51" s="225">
        <f t="shared" si="2"/>
        <v>780</v>
      </c>
      <c r="O51" s="225">
        <f t="shared" si="3"/>
        <v>1330</v>
      </c>
      <c r="P51" s="226">
        <f t="shared" si="10"/>
        <v>1938524.8721616676</v>
      </c>
      <c r="Q51" s="225">
        <f t="shared" si="4"/>
        <v>2025600</v>
      </c>
      <c r="R51" s="225">
        <f t="shared" si="11"/>
        <v>0.95701267385548361</v>
      </c>
      <c r="S51" s="225">
        <f t="shared" si="5"/>
        <v>1.2900645978658072</v>
      </c>
      <c r="T51" s="225">
        <f t="shared" si="12"/>
        <v>1.3480120306751726</v>
      </c>
      <c r="U51" s="254">
        <f t="shared" si="13"/>
        <v>167877178.47239795</v>
      </c>
      <c r="V51" s="227">
        <f t="shared" si="14"/>
        <v>8.2799271263611682E-2</v>
      </c>
      <c r="W51" s="227" cm="1">
        <f t="array" ref="W51">[1]!PureBendingDesign_j(V51)</f>
        <v>0.95672788875674564</v>
      </c>
      <c r="X51" s="225">
        <f t="shared" si="15"/>
        <v>1167.7700420846259</v>
      </c>
      <c r="Y51" s="241">
        <v>16</v>
      </c>
      <c r="Z51" s="225">
        <f t="shared" si="16"/>
        <v>200.96</v>
      </c>
      <c r="AA51" s="240">
        <f t="shared" si="17"/>
        <v>6</v>
      </c>
      <c r="AB51" s="225">
        <f t="shared" si="6"/>
        <v>275.30279060812455</v>
      </c>
      <c r="AC51" s="225">
        <f t="shared" si="18"/>
        <v>5.8537444596717556</v>
      </c>
      <c r="AD51" s="227">
        <f t="shared" si="19"/>
        <v>766.79678904516879</v>
      </c>
      <c r="AE51" s="225">
        <f t="shared" si="20"/>
        <v>1.5904893221395828</v>
      </c>
    </row>
    <row r="52" spans="2:31" x14ac:dyDescent="0.3">
      <c r="B52" s="235">
        <v>155</v>
      </c>
      <c r="C52">
        <f>_xll.RSA_BAR_DATA("NODE_START",B52)</f>
        <v>5</v>
      </c>
      <c r="D52">
        <f>_xll.RSA_BAR_DATA("NODE_END",B52)</f>
        <v>5355</v>
      </c>
      <c r="E52" s="260">
        <f>_xlfn.SINGLE(MAX(_xll.RSA_SUPPORT_REACTION("FZ",C52,$E$39,1),_xll.RSA_SUPPORT_REACTION("FZ",D52,$E$39,1)))</f>
        <v>1547.9687257788789</v>
      </c>
      <c r="F52" t="str">
        <f>_xll.RSA_BAR_DATA("SECTION",B52)</f>
        <v>C R30x85</v>
      </c>
      <c r="G52">
        <f>_xll.RSA_SECTION_DATA("BF",F52)/1000</f>
        <v>0.3</v>
      </c>
      <c r="H52">
        <f>_xll.RSA_SECTION_DATA("D",F52)/1000</f>
        <v>0.85</v>
      </c>
      <c r="I52">
        <f t="shared" si="0"/>
        <v>6.191874903115516</v>
      </c>
      <c r="J52">
        <f t="shared" si="7"/>
        <v>0.99568450574298895</v>
      </c>
      <c r="K52" s="240">
        <f t="shared" si="8"/>
        <v>2.5</v>
      </c>
      <c r="L52" s="240">
        <f t="shared" si="9"/>
        <v>3</v>
      </c>
      <c r="M52" s="225">
        <f t="shared" si="1"/>
        <v>206.3958301038505</v>
      </c>
      <c r="N52" s="225">
        <f t="shared" si="2"/>
        <v>780</v>
      </c>
      <c r="O52" s="225">
        <f t="shared" si="3"/>
        <v>1330</v>
      </c>
      <c r="P52" s="226">
        <f t="shared" si="10"/>
        <v>1333853.6916291444</v>
      </c>
      <c r="Q52" s="225">
        <f t="shared" si="4"/>
        <v>2025600</v>
      </c>
      <c r="R52" s="225">
        <f t="shared" si="11"/>
        <v>0.65849807051201836</v>
      </c>
      <c r="S52" s="225">
        <f t="shared" si="5"/>
        <v>1.2900645978658072</v>
      </c>
      <c r="T52" s="225">
        <f t="shared" si="12"/>
        <v>1.9591015610155262</v>
      </c>
      <c r="U52" s="254">
        <f t="shared" si="13"/>
        <v>102309136.93785046</v>
      </c>
      <c r="V52" s="227">
        <f t="shared" si="14"/>
        <v>5.0460235626701815E-2</v>
      </c>
      <c r="W52" s="227" cm="1">
        <f t="array" ref="W52">[1]!PureBendingDesign_j(V52)</f>
        <v>0.97409902149935834</v>
      </c>
      <c r="X52" s="225">
        <f t="shared" si="15"/>
        <v>698.98107313731487</v>
      </c>
      <c r="Y52" s="241">
        <v>16</v>
      </c>
      <c r="Z52" s="225">
        <f t="shared" si="16"/>
        <v>200.96</v>
      </c>
      <c r="AA52" s="240">
        <f t="shared" si="17"/>
        <v>5</v>
      </c>
      <c r="AB52" s="225">
        <f t="shared" si="6"/>
        <v>205.5051300843663</v>
      </c>
      <c r="AC52" s="225">
        <f t="shared" si="18"/>
        <v>4.3696415645050175</v>
      </c>
      <c r="AD52" s="227">
        <f t="shared" si="19"/>
        <v>766.79678904516879</v>
      </c>
      <c r="AE52" s="225">
        <f t="shared" si="20"/>
        <v>1.298498533076587</v>
      </c>
    </row>
    <row r="53" spans="2:31" x14ac:dyDescent="0.3">
      <c r="B53" s="235">
        <v>156</v>
      </c>
      <c r="C53">
        <f>_xll.RSA_BAR_DATA("NODE_START",B53)</f>
        <v>6</v>
      </c>
      <c r="D53">
        <f>_xll.RSA_BAR_DATA("NODE_END",B53)</f>
        <v>5356</v>
      </c>
      <c r="E53" s="260">
        <f>_xlfn.SINGLE(MAX(_xll.RSA_SUPPORT_REACTION("FZ",C53,$E$39,1),_xll.RSA_SUPPORT_REACTION("FZ",D53,$E$39,1)))</f>
        <v>2163.6508855673328</v>
      </c>
      <c r="F53" t="str">
        <f>_xll.RSA_BAR_DATA("SECTION",B53)</f>
        <v>C R30x85</v>
      </c>
      <c r="G53">
        <f>_xll.RSA_SECTION_DATA("BF",F53)/1000</f>
        <v>0.3</v>
      </c>
      <c r="H53">
        <f>_xll.RSA_SECTION_DATA("D",F53)/1000</f>
        <v>0.85</v>
      </c>
      <c r="I53">
        <f t="shared" si="0"/>
        <v>8.6546035422693315</v>
      </c>
      <c r="J53">
        <f t="shared" si="7"/>
        <v>1.2165760072440932</v>
      </c>
      <c r="K53" s="240">
        <f t="shared" si="8"/>
        <v>2.75</v>
      </c>
      <c r="L53" s="240">
        <f t="shared" si="9"/>
        <v>3.5</v>
      </c>
      <c r="M53" s="225">
        <f t="shared" si="1"/>
        <v>224.79489720180081</v>
      </c>
      <c r="N53" s="225">
        <f t="shared" si="2"/>
        <v>780</v>
      </c>
      <c r="O53" s="225">
        <f t="shared" si="3"/>
        <v>1330</v>
      </c>
      <c r="P53" s="226">
        <f t="shared" si="10"/>
        <v>1930448.6592101844</v>
      </c>
      <c r="Q53" s="225">
        <f t="shared" si="4"/>
        <v>2025600</v>
      </c>
      <c r="R53" s="225">
        <f t="shared" si="11"/>
        <v>0.95302560190076246</v>
      </c>
      <c r="S53" s="225">
        <f t="shared" si="5"/>
        <v>1.2900645978658072</v>
      </c>
      <c r="T53" s="225">
        <f t="shared" si="12"/>
        <v>1.3536515653859005</v>
      </c>
      <c r="U53" s="254">
        <f t="shared" si="13"/>
        <v>166354650.97302255</v>
      </c>
      <c r="V53" s="227">
        <f t="shared" si="14"/>
        <v>8.2048340323657751E-2</v>
      </c>
      <c r="W53" s="227" cm="1">
        <f t="array" ref="W53">[1]!PureBendingDesign_j(V53)</f>
        <v>0.95713874243841013</v>
      </c>
      <c r="X53" s="225">
        <f t="shared" si="15"/>
        <v>1156.6824707287706</v>
      </c>
      <c r="Y53" s="241">
        <v>16</v>
      </c>
      <c r="Z53" s="225">
        <f t="shared" si="16"/>
        <v>200.96</v>
      </c>
      <c r="AA53" s="240">
        <f t="shared" si="17"/>
        <v>6</v>
      </c>
      <c r="AB53" s="225">
        <f t="shared" si="6"/>
        <v>273.48007848661319</v>
      </c>
      <c r="AC53" s="225">
        <f t="shared" si="18"/>
        <v>5.8149882561501522</v>
      </c>
      <c r="AD53" s="227">
        <f t="shared" si="19"/>
        <v>766.79678904516879</v>
      </c>
      <c r="AE53" s="225">
        <f t="shared" si="20"/>
        <v>1.586568990147962</v>
      </c>
    </row>
    <row r="54" spans="2:31" x14ac:dyDescent="0.3">
      <c r="B54" s="235">
        <v>157</v>
      </c>
      <c r="C54">
        <f>_xll.RSA_BAR_DATA("NODE_START",B54)</f>
        <v>7</v>
      </c>
      <c r="D54">
        <f>_xll.RSA_BAR_DATA("NODE_END",B54)</f>
        <v>5357</v>
      </c>
      <c r="E54" s="260">
        <f>_xlfn.SINGLE(MAX(_xll.RSA_SUPPORT_REACTION("FZ",C54,$E$39,1),_xll.RSA_SUPPORT_REACTION("FZ",D54,$E$39,1)))</f>
        <v>2415.0577037293992</v>
      </c>
      <c r="F54" t="str">
        <f>_xll.RSA_BAR_DATA("SECTION",B54)</f>
        <v>C R30x85</v>
      </c>
      <c r="G54">
        <f>_xll.RSA_SECTION_DATA("BF",F54)/1000</f>
        <v>0.3</v>
      </c>
      <c r="H54">
        <f>_xll.RSA_SECTION_DATA("D",F54)/1000</f>
        <v>0.85</v>
      </c>
      <c r="I54">
        <f t="shared" si="0"/>
        <v>9.6602308149175968</v>
      </c>
      <c r="J54">
        <f t="shared" si="7"/>
        <v>1.297949921545742</v>
      </c>
      <c r="K54" s="240">
        <f t="shared" si="8"/>
        <v>3</v>
      </c>
      <c r="L54" s="240">
        <f t="shared" si="9"/>
        <v>3.5</v>
      </c>
      <c r="M54" s="225">
        <f t="shared" si="1"/>
        <v>230.00549559327609</v>
      </c>
      <c r="N54" s="225">
        <f t="shared" si="2"/>
        <v>780</v>
      </c>
      <c r="O54" s="225">
        <f t="shared" si="3"/>
        <v>1330</v>
      </c>
      <c r="P54" s="226">
        <f t="shared" si="10"/>
        <v>2176450.0026009344</v>
      </c>
      <c r="Q54" s="225">
        <f t="shared" si="4"/>
        <v>2025600</v>
      </c>
      <c r="R54" s="225">
        <f t="shared" si="11"/>
        <v>1.0744717627374281</v>
      </c>
      <c r="S54" s="225">
        <f t="shared" si="5"/>
        <v>1.2900645978658072</v>
      </c>
      <c r="T54" s="225">
        <f t="shared" si="12"/>
        <v>1.2006500706720427</v>
      </c>
      <c r="U54" s="254">
        <f t="shared" si="13"/>
        <v>193742139.00821894</v>
      </c>
      <c r="V54" s="227">
        <f t="shared" si="14"/>
        <v>9.5556215972330202E-2</v>
      </c>
      <c r="W54" s="227" cm="1">
        <f t="array" ref="W54">[1]!PureBendingDesign_j(V54)</f>
        <v>0.94969088495747256</v>
      </c>
      <c r="X54" s="225">
        <f t="shared" si="15"/>
        <v>1357.6753179476716</v>
      </c>
      <c r="Y54" s="241">
        <v>16</v>
      </c>
      <c r="Z54" s="225">
        <f t="shared" si="16"/>
        <v>200.96</v>
      </c>
      <c r="AA54" s="240">
        <f t="shared" si="17"/>
        <v>7</v>
      </c>
      <c r="AB54" s="225">
        <f t="shared" si="6"/>
        <v>298.53561496038219</v>
      </c>
      <c r="AC54" s="225">
        <f t="shared" si="18"/>
        <v>6.3477424192788581</v>
      </c>
      <c r="AD54" s="227">
        <f t="shared" si="19"/>
        <v>766.79678904516879</v>
      </c>
      <c r="AE54" s="225">
        <f t="shared" si="20"/>
        <v>1.6926908668487983</v>
      </c>
    </row>
    <row r="55" spans="2:31" x14ac:dyDescent="0.3">
      <c r="B55" s="235">
        <v>158</v>
      </c>
      <c r="C55">
        <f>_xll.RSA_BAR_DATA("NODE_START",B55)</f>
        <v>8</v>
      </c>
      <c r="D55">
        <f>_xll.RSA_BAR_DATA("NODE_END",B55)</f>
        <v>16642</v>
      </c>
      <c r="E55" s="260">
        <f>_xlfn.SINGLE(MAX(_xll.RSA_SUPPORT_REACTION("FZ",C55,$E$39,1),_xll.RSA_SUPPORT_REACTION("FZ",D55,$E$39,1)))</f>
        <v>1736.2770527828466</v>
      </c>
      <c r="F55" t="str">
        <f>_xll.RSA_BAR_DATA("SECTION",B55)</f>
        <v>C R30x85</v>
      </c>
      <c r="G55">
        <f>_xll.RSA_SECTION_DATA("BF",F55)/1000</f>
        <v>0.3</v>
      </c>
      <c r="H55">
        <f>_xll.RSA_SECTION_DATA("D",F55)/1000</f>
        <v>0.85</v>
      </c>
      <c r="I55">
        <f t="shared" si="0"/>
        <v>6.9451082111313864</v>
      </c>
      <c r="J55">
        <f t="shared" si="7"/>
        <v>1.0670740300119617</v>
      </c>
      <c r="K55" s="240">
        <f t="shared" si="8"/>
        <v>2.5</v>
      </c>
      <c r="L55" s="240">
        <f t="shared" si="9"/>
        <v>3</v>
      </c>
      <c r="M55" s="225">
        <f t="shared" si="1"/>
        <v>231.50360703771287</v>
      </c>
      <c r="N55" s="225">
        <f t="shared" si="2"/>
        <v>780</v>
      </c>
      <c r="O55" s="225">
        <f t="shared" si="3"/>
        <v>1330</v>
      </c>
      <c r="P55" s="226">
        <f t="shared" si="10"/>
        <v>1496115.2108419233</v>
      </c>
      <c r="Q55" s="225">
        <f t="shared" si="4"/>
        <v>2025600</v>
      </c>
      <c r="R55" s="225">
        <f t="shared" si="11"/>
        <v>0.73860348086587835</v>
      </c>
      <c r="S55" s="225">
        <f t="shared" si="5"/>
        <v>1.2900645978658072</v>
      </c>
      <c r="T55" s="225">
        <f t="shared" ref="T55:T57" si="21">S55/R55</f>
        <v>1.7466267507342923</v>
      </c>
      <c r="U55" s="254">
        <f t="shared" si="13"/>
        <v>131800442.14594011</v>
      </c>
      <c r="V55" s="227">
        <f t="shared" si="14"/>
        <v>6.5005742062194269E-2</v>
      </c>
      <c r="W55" s="227" cm="1">
        <f t="array" ref="W55">[1]!PureBendingDesign_j(V55)</f>
        <v>0.96636587457585588</v>
      </c>
      <c r="X55" s="225">
        <f t="shared" si="15"/>
        <v>907.67293144623784</v>
      </c>
      <c r="Y55" s="241">
        <v>16</v>
      </c>
      <c r="Z55" s="225">
        <f t="shared" si="16"/>
        <v>200.96</v>
      </c>
      <c r="AA55" s="240">
        <f t="shared" ref="AA55:AA57" si="22">MAX(5,ROUNDUP(X55/Z55,0))</f>
        <v>5</v>
      </c>
      <c r="AB55" s="225">
        <f t="shared" si="6"/>
        <v>247.03148692403781</v>
      </c>
      <c r="AC55" s="225">
        <f t="shared" si="18"/>
        <v>5.2526136576814881</v>
      </c>
      <c r="AD55" s="227">
        <f t="shared" si="19"/>
        <v>766.79678904516879</v>
      </c>
      <c r="AE55" s="225">
        <f t="shared" si="20"/>
        <v>1.3915995023149541</v>
      </c>
    </row>
    <row r="56" spans="2:31" x14ac:dyDescent="0.3">
      <c r="B56" s="235">
        <v>159</v>
      </c>
      <c r="C56">
        <f>_xll.RSA_BAR_DATA("NODE_START",B56)</f>
        <v>9</v>
      </c>
      <c r="D56">
        <f>_xll.RSA_BAR_DATA("NODE_END",B56)</f>
        <v>16643</v>
      </c>
      <c r="E56" s="260">
        <f>_xlfn.SINGLE(MAX(_xll.RSA_SUPPORT_REACTION("FZ",C56,$E$39,1),_xll.RSA_SUPPORT_REACTION("FZ",D56,$E$39,1)))</f>
        <v>853.2269127105842</v>
      </c>
      <c r="F56" t="str">
        <f>_xll.RSA_BAR_DATA("SECTION",B56)</f>
        <v>C R30x65</v>
      </c>
      <c r="G56">
        <f>_xll.RSA_SECTION_DATA("BF",F56)/1000</f>
        <v>0.3</v>
      </c>
      <c r="H56">
        <f>_xll.RSA_SECTION_DATA("D",F56)/1000</f>
        <v>0.65</v>
      </c>
      <c r="I56">
        <f t="shared" si="0"/>
        <v>3.4129076508423366</v>
      </c>
      <c r="J56">
        <f t="shared" si="7"/>
        <v>0.72261492161646168</v>
      </c>
      <c r="K56" s="240">
        <f t="shared" si="8"/>
        <v>1.75</v>
      </c>
      <c r="L56" s="240">
        <f t="shared" si="9"/>
        <v>2.25</v>
      </c>
      <c r="M56" s="225">
        <f t="shared" si="1"/>
        <v>216.69254925983091</v>
      </c>
      <c r="N56" s="225">
        <f t="shared" si="2"/>
        <v>780</v>
      </c>
      <c r="O56" s="225">
        <f t="shared" si="3"/>
        <v>1130</v>
      </c>
      <c r="P56" s="226">
        <f t="shared" si="10"/>
        <v>662234.0997929693</v>
      </c>
      <c r="Q56" s="225">
        <f t="shared" si="4"/>
        <v>1833600</v>
      </c>
      <c r="R56" s="225">
        <f t="shared" si="11"/>
        <v>0.3611660666410173</v>
      </c>
      <c r="S56" s="225">
        <f t="shared" si="5"/>
        <v>1.2900645978658072</v>
      </c>
      <c r="T56" s="225">
        <f t="shared" si="21"/>
        <v>3.5719429841897989</v>
      </c>
      <c r="U56" s="254">
        <f t="shared" si="13"/>
        <v>56575426.122390278</v>
      </c>
      <c r="V56" s="227">
        <f t="shared" si="14"/>
        <v>2.7903757359922603E-2</v>
      </c>
      <c r="W56" s="227" cm="1">
        <f t="array" ref="W56">[1]!PureBendingDesign_j(V56)</f>
        <v>0.98584783762000905</v>
      </c>
      <c r="X56" s="225">
        <f t="shared" si="15"/>
        <v>381.9196887613553</v>
      </c>
      <c r="Y56" s="241">
        <v>12</v>
      </c>
      <c r="Z56" s="225">
        <f t="shared" si="16"/>
        <v>113.03999999999999</v>
      </c>
      <c r="AA56" s="240">
        <f t="shared" si="22"/>
        <v>5</v>
      </c>
      <c r="AB56" s="225">
        <f t="shared" si="6"/>
        <v>156.58526949826398</v>
      </c>
      <c r="AC56" s="225">
        <f t="shared" si="18"/>
        <v>3.3294619054421641</v>
      </c>
      <c r="AD56" s="227">
        <f t="shared" si="19"/>
        <v>575.09759178387662</v>
      </c>
      <c r="AE56" s="225">
        <f t="shared" si="20"/>
        <v>1.2565083421319949</v>
      </c>
    </row>
    <row r="57" spans="2:31" x14ac:dyDescent="0.3">
      <c r="B57" s="235">
        <v>160</v>
      </c>
      <c r="C57">
        <f>_xll.RSA_BAR_DATA("NODE_START",B57)</f>
        <v>10</v>
      </c>
      <c r="D57">
        <f>_xll.RSA_BAR_DATA("NODE_END",B57)</f>
        <v>155</v>
      </c>
      <c r="E57" s="260">
        <f>_xlfn.SINGLE(MAX(_xll.RSA_SUPPORT_REACTION("FZ",C57,$E$39,1),_xll.RSA_SUPPORT_REACTION("FZ",D57,$E$39,1)))</f>
        <v>1257.91667245447</v>
      </c>
      <c r="F57" t="str">
        <f>_xll.RSA_BAR_DATA("SECTION",B57)</f>
        <v>C R30x75</v>
      </c>
      <c r="G57">
        <f>_xll.RSA_SECTION_DATA("BF",F57)/1000</f>
        <v>0.3</v>
      </c>
      <c r="H57">
        <f>_xll.RSA_SECTION_DATA("D",F57)/1000</f>
        <v>0.75</v>
      </c>
      <c r="I57">
        <f t="shared" si="0"/>
        <v>5.0316666898178797</v>
      </c>
      <c r="J57">
        <f t="shared" si="7"/>
        <v>0.89546607137448975</v>
      </c>
      <c r="K57" s="240">
        <f t="shared" si="8"/>
        <v>2.25</v>
      </c>
      <c r="L57" s="240">
        <f t="shared" si="9"/>
        <v>2.75</v>
      </c>
      <c r="M57" s="225">
        <f t="shared" si="1"/>
        <v>203.29966423506585</v>
      </c>
      <c r="N57" s="225">
        <f t="shared" si="2"/>
        <v>780</v>
      </c>
      <c r="O57" s="225">
        <f t="shared" si="3"/>
        <v>1230</v>
      </c>
      <c r="P57" s="226">
        <f t="shared" si="10"/>
        <v>1062870.9745873478</v>
      </c>
      <c r="Q57" s="225">
        <f t="shared" si="4"/>
        <v>1929600</v>
      </c>
      <c r="R57" s="225">
        <f t="shared" si="11"/>
        <v>0.55082451004734034</v>
      </c>
      <c r="S57" s="225">
        <f t="shared" si="5"/>
        <v>1.2900645978658072</v>
      </c>
      <c r="T57" s="225">
        <f t="shared" si="21"/>
        <v>2.3420609909949963</v>
      </c>
      <c r="U57" s="254">
        <f t="shared" si="13"/>
        <v>81508882.030359417</v>
      </c>
      <c r="V57" s="227">
        <f t="shared" si="14"/>
        <v>4.0201271519077209E-2</v>
      </c>
      <c r="W57" s="227" cm="1">
        <f t="array" ref="W57">[1]!PureBendingDesign_j(V57)</f>
        <v>0.9794782208197379</v>
      </c>
      <c r="X57" s="225">
        <f t="shared" si="15"/>
        <v>553.81441414467156</v>
      </c>
      <c r="Y57" s="241">
        <v>16</v>
      </c>
      <c r="Z57" s="225">
        <f t="shared" si="16"/>
        <v>200.96</v>
      </c>
      <c r="AA57" s="240">
        <f t="shared" si="22"/>
        <v>5</v>
      </c>
      <c r="AB57" s="225">
        <f t="shared" si="6"/>
        <v>182.04795164432727</v>
      </c>
      <c r="AC57" s="225">
        <f t="shared" si="18"/>
        <v>3.8708731792314901</v>
      </c>
      <c r="AD57" s="227">
        <f t="shared" si="19"/>
        <v>766.79678904516879</v>
      </c>
      <c r="AE57" s="225">
        <f t="shared" si="20"/>
        <v>1.1678010186891139</v>
      </c>
    </row>
    <row r="58" spans="2:31" x14ac:dyDescent="0.3">
      <c r="D58" s="248"/>
    </row>
    <row r="59" spans="2:31" x14ac:dyDescent="0.3">
      <c r="D59" s="248"/>
    </row>
  </sheetData>
  <protectedRanges>
    <protectedRange sqref="K21 E11 E5:E8 E12 E19:E20 E24:E27 E29:E30 E34:E35 E39 E41 B48:B186 Y48:Y185" name="Range1"/>
  </protectedRanges>
  <mergeCells count="14">
    <mergeCell ref="AB45:AC45"/>
    <mergeCell ref="AD46:AE46"/>
    <mergeCell ref="AD45:AE45"/>
    <mergeCell ref="N46:O46"/>
    <mergeCell ref="C46:D46"/>
    <mergeCell ref="B45:D45"/>
    <mergeCell ref="F46:F47"/>
    <mergeCell ref="E45:H45"/>
    <mergeCell ref="U45:AA45"/>
    <mergeCell ref="B23:F23"/>
    <mergeCell ref="B10:F10"/>
    <mergeCell ref="B18:F18"/>
    <mergeCell ref="I45:M45"/>
    <mergeCell ref="N45:T45"/>
  </mergeCells>
  <conditionalFormatting sqref="T48:T57">
    <cfRule type="cellIs" dxfId="11" priority="7" operator="lessThan">
      <formula>1</formula>
    </cfRule>
    <cfRule type="cellIs" dxfId="10" priority="8" operator="greaterThan">
      <formula>1</formula>
    </cfRule>
  </conditionalFormatting>
  <conditionalFormatting sqref="AC48:AC57">
    <cfRule type="cellIs" dxfId="9" priority="5" operator="lessThan">
      <formula>1</formula>
    </cfRule>
    <cfRule type="cellIs" dxfId="8" priority="6" operator="greaterThan">
      <formula>1</formula>
    </cfRule>
  </conditionalFormatting>
  <conditionalFormatting sqref="AE48:AE57">
    <cfRule type="cellIs" dxfId="7" priority="1" operator="lessThan">
      <formula>1</formula>
    </cfRule>
    <cfRule type="cellIs" dxfId="6" priority="2" operator="greaterThan">
      <formula>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F3A0-C97F-4B41-B092-3C354FBD684E}">
  <sheetPr codeName="Sheet10"/>
  <dimension ref="B4:AB59"/>
  <sheetViews>
    <sheetView topLeftCell="A10" workbookViewId="0">
      <selection activeCell="R38" sqref="R38"/>
    </sheetView>
  </sheetViews>
  <sheetFormatPr defaultColWidth="9.109375" defaultRowHeight="14.4" x14ac:dyDescent="0.3"/>
  <cols>
    <col min="1" max="1" width="7.77734375" style="227" customWidth="1"/>
    <col min="2" max="3" width="7.77734375" style="234" customWidth="1"/>
    <col min="4" max="4" width="7.77734375" style="243" customWidth="1"/>
    <col min="5" max="10" width="7.77734375" style="227" customWidth="1"/>
    <col min="11" max="12" width="7.77734375" style="227" hidden="1" customWidth="1"/>
    <col min="13" max="13" width="7.77734375" style="227" customWidth="1"/>
    <col min="14" max="14" width="7.77734375" style="227" hidden="1" customWidth="1"/>
    <col min="15" max="15" width="7.77734375" style="227" customWidth="1"/>
    <col min="16" max="16" width="7.77734375" style="255" hidden="1" customWidth="1"/>
    <col min="17" max="17" width="7.77734375" style="227" customWidth="1"/>
    <col min="18" max="18" width="10.109375" style="252" customWidth="1"/>
    <col min="19" max="19" width="7.77734375" style="227" hidden="1" customWidth="1"/>
    <col min="20" max="20" width="5.6640625" style="227" hidden="1" customWidth="1"/>
    <col min="21" max="21" width="12.21875" style="252" hidden="1" customWidth="1"/>
    <col min="22" max="22" width="6.33203125" style="244" customWidth="1"/>
    <col min="23" max="23" width="5.21875" style="227" hidden="1" customWidth="1"/>
    <col min="24" max="24" width="9.6640625" style="227" bestFit="1" customWidth="1"/>
    <col min="25" max="25" width="7.77734375" style="227" bestFit="1" customWidth="1"/>
    <col min="26" max="26" width="7.21875" style="227" customWidth="1"/>
    <col min="27" max="27" width="7" style="227" bestFit="1" customWidth="1"/>
    <col min="28" max="28" width="7.21875" style="227" bestFit="1" customWidth="1"/>
    <col min="29" max="29" width="5.6640625" style="227" bestFit="1" customWidth="1"/>
    <col min="30" max="30" width="8.88671875" style="227" customWidth="1"/>
    <col min="31" max="31" width="7.109375" style="227" customWidth="1"/>
    <col min="32" max="16384" width="9.109375" style="227"/>
  </cols>
  <sheetData>
    <row r="4" spans="2:8" x14ac:dyDescent="0.3">
      <c r="B4" s="229" t="s">
        <v>0</v>
      </c>
      <c r="C4" s="229"/>
      <c r="D4" s="242"/>
      <c r="E4" s="230"/>
      <c r="F4" s="148"/>
      <c r="G4" s="148"/>
    </row>
    <row r="5" spans="2:8" x14ac:dyDescent="0.3">
      <c r="B5" s="148" t="s">
        <v>298</v>
      </c>
      <c r="C5" s="232"/>
      <c r="E5" s="233">
        <v>0.8</v>
      </c>
      <c r="F5" s="232" t="s">
        <v>1</v>
      </c>
      <c r="G5" s="148"/>
      <c r="H5" s="148"/>
    </row>
    <row r="6" spans="2:8" x14ac:dyDescent="0.3">
      <c r="B6" s="148" t="s">
        <v>299</v>
      </c>
      <c r="C6" s="232"/>
      <c r="E6" s="233">
        <v>0.82499999999999996</v>
      </c>
      <c r="F6" s="232" t="s">
        <v>2</v>
      </c>
      <c r="G6" s="148"/>
      <c r="H6" s="148"/>
    </row>
    <row r="7" spans="2:8" x14ac:dyDescent="0.3">
      <c r="B7" s="148" t="s">
        <v>300</v>
      </c>
      <c r="C7" s="232"/>
      <c r="E7" s="233">
        <v>0.8</v>
      </c>
      <c r="F7" s="232" t="s">
        <v>3</v>
      </c>
      <c r="G7" s="148"/>
      <c r="H7" s="148"/>
    </row>
    <row r="8" spans="2:8" x14ac:dyDescent="0.3">
      <c r="B8" s="148" t="s">
        <v>301</v>
      </c>
      <c r="C8" s="232"/>
      <c r="E8" s="233">
        <v>0.66666666666666663</v>
      </c>
      <c r="F8" s="232" t="s">
        <v>4</v>
      </c>
      <c r="G8" s="148"/>
      <c r="H8" s="148"/>
    </row>
    <row r="10" spans="2:8" x14ac:dyDescent="0.3">
      <c r="B10" s="326" t="s">
        <v>312</v>
      </c>
      <c r="C10" s="326"/>
      <c r="D10" s="326"/>
      <c r="E10" s="326"/>
      <c r="F10" s="326"/>
    </row>
    <row r="11" spans="2:8" x14ac:dyDescent="0.3">
      <c r="B11" s="234" t="s">
        <v>313</v>
      </c>
      <c r="D11" s="243" t="s">
        <v>6</v>
      </c>
      <c r="E11" s="235">
        <v>25</v>
      </c>
      <c r="F11" s="227" t="s">
        <v>34</v>
      </c>
    </row>
    <row r="12" spans="2:8" x14ac:dyDescent="0.3">
      <c r="B12" s="234" t="s">
        <v>368</v>
      </c>
      <c r="D12" s="245" t="s">
        <v>8</v>
      </c>
      <c r="E12" s="233">
        <v>1.5</v>
      </c>
    </row>
    <row r="13" spans="2:8" x14ac:dyDescent="0.3">
      <c r="B13" s="234" t="s">
        <v>314</v>
      </c>
      <c r="D13" s="243" t="s">
        <v>367</v>
      </c>
      <c r="E13" s="44">
        <f>E11*E5*E6*E7/E12</f>
        <v>8.8000000000000007</v>
      </c>
      <c r="F13" s="227" t="s">
        <v>34</v>
      </c>
    </row>
    <row r="14" spans="2:8" x14ac:dyDescent="0.3">
      <c r="B14" s="234" t="s">
        <v>315</v>
      </c>
      <c r="D14" s="243" t="s">
        <v>316</v>
      </c>
      <c r="E14" s="44">
        <f>0.024*SQRT(E11/E12)</f>
        <v>9.7979589711327128E-2</v>
      </c>
      <c r="F14" s="227" t="s">
        <v>34</v>
      </c>
    </row>
    <row r="15" spans="2:8" x14ac:dyDescent="0.3">
      <c r="B15" s="234" t="s">
        <v>317</v>
      </c>
      <c r="D15" s="243" t="s">
        <v>318</v>
      </c>
      <c r="E15" s="44">
        <f>MIN(1.7,0.316*SQRT(E11/1.5))</f>
        <v>1.2900645978658072</v>
      </c>
      <c r="F15" s="227" t="s">
        <v>34</v>
      </c>
    </row>
    <row r="16" spans="2:8" x14ac:dyDescent="0.3">
      <c r="B16" s="234" t="s">
        <v>380</v>
      </c>
      <c r="D16" s="243" t="s">
        <v>383</v>
      </c>
      <c r="E16" s="44">
        <f>0.3*SQRT(E11/E12)</f>
        <v>1.2247448713915892</v>
      </c>
      <c r="F16" s="227" t="s">
        <v>34</v>
      </c>
    </row>
    <row r="18" spans="2:6" x14ac:dyDescent="0.3">
      <c r="B18" s="326" t="s">
        <v>320</v>
      </c>
      <c r="C18" s="326"/>
      <c r="D18" s="326"/>
      <c r="E18" s="326"/>
      <c r="F18" s="326"/>
    </row>
    <row r="19" spans="2:6" x14ac:dyDescent="0.3">
      <c r="B19" s="234" t="s">
        <v>321</v>
      </c>
      <c r="D19" s="243" t="s">
        <v>10</v>
      </c>
      <c r="E19" s="235">
        <v>360</v>
      </c>
      <c r="F19" s="227" t="s">
        <v>34</v>
      </c>
    </row>
    <row r="20" spans="2:6" x14ac:dyDescent="0.3">
      <c r="B20" s="234" t="s">
        <v>368</v>
      </c>
      <c r="D20" s="243" t="s">
        <v>12</v>
      </c>
      <c r="E20" s="259">
        <v>1.1499999999999999</v>
      </c>
    </row>
    <row r="21" spans="2:6" x14ac:dyDescent="0.3">
      <c r="B21" s="234" t="s">
        <v>322</v>
      </c>
      <c r="D21" s="243" t="s">
        <v>13</v>
      </c>
      <c r="E21" s="257">
        <f>E19/E20</f>
        <v>313.04347826086956</v>
      </c>
      <c r="F21" s="227" t="s">
        <v>34</v>
      </c>
    </row>
    <row r="23" spans="2:6" x14ac:dyDescent="0.3">
      <c r="B23" s="326" t="s">
        <v>303</v>
      </c>
      <c r="C23" s="326"/>
      <c r="D23" s="326"/>
      <c r="E23" s="326"/>
      <c r="F23" s="326"/>
    </row>
    <row r="24" spans="2:6" x14ac:dyDescent="0.3">
      <c r="B24" s="234" t="s">
        <v>304</v>
      </c>
      <c r="D24" s="243" t="s">
        <v>305</v>
      </c>
      <c r="E24" s="235">
        <v>250</v>
      </c>
      <c r="F24" s="227" t="s">
        <v>352</v>
      </c>
    </row>
    <row r="25" spans="2:6" x14ac:dyDescent="0.3">
      <c r="B25" s="234" t="s">
        <v>306</v>
      </c>
      <c r="D25" s="243" t="s">
        <v>307</v>
      </c>
      <c r="E25" s="235">
        <v>5</v>
      </c>
      <c r="F25" s="227" t="s">
        <v>352</v>
      </c>
    </row>
    <row r="26" spans="2:6" x14ac:dyDescent="0.3">
      <c r="B26" s="234" t="s">
        <v>308</v>
      </c>
      <c r="D26" s="243" t="s">
        <v>309</v>
      </c>
      <c r="E26" s="235">
        <v>3</v>
      </c>
      <c r="F26" s="227" t="s">
        <v>310</v>
      </c>
    </row>
    <row r="27" spans="2:6" x14ac:dyDescent="0.3">
      <c r="B27" s="234" t="s">
        <v>311</v>
      </c>
      <c r="D27" s="243" t="s">
        <v>71</v>
      </c>
      <c r="E27" s="235">
        <v>1.5</v>
      </c>
      <c r="F27" s="227" t="s">
        <v>310</v>
      </c>
    </row>
    <row r="29" spans="2:6" x14ac:dyDescent="0.3">
      <c r="B29" s="234" t="s">
        <v>374</v>
      </c>
      <c r="D29" s="243" t="s">
        <v>324</v>
      </c>
      <c r="E29" s="235">
        <v>550</v>
      </c>
      <c r="F29" s="227" t="s">
        <v>38</v>
      </c>
    </row>
    <row r="30" spans="2:6" x14ac:dyDescent="0.3">
      <c r="B30" s="234" t="s">
        <v>375</v>
      </c>
      <c r="E30" s="235">
        <v>70</v>
      </c>
      <c r="F30" s="227" t="s">
        <v>38</v>
      </c>
    </row>
    <row r="31" spans="2:6" x14ac:dyDescent="0.3">
      <c r="B31" s="234" t="s">
        <v>373</v>
      </c>
      <c r="D31" s="243" t="s">
        <v>60</v>
      </c>
      <c r="E31" s="257">
        <f>E29-E30</f>
        <v>480</v>
      </c>
      <c r="F31" s="227" t="s">
        <v>38</v>
      </c>
    </row>
    <row r="32" spans="2:6" x14ac:dyDescent="0.3">
      <c r="D32" s="243" t="s">
        <v>195</v>
      </c>
      <c r="E32" s="258">
        <f>1000*E13*E31*E31</f>
        <v>2027520000</v>
      </c>
    </row>
    <row r="33" spans="2:28" x14ac:dyDescent="0.3">
      <c r="D33" s="243" t="s">
        <v>371</v>
      </c>
      <c r="E33" s="258">
        <f>E14*1000*E31</f>
        <v>47030.203061437016</v>
      </c>
    </row>
    <row r="34" spans="2:28" x14ac:dyDescent="0.3">
      <c r="B34" s="234" t="s">
        <v>376</v>
      </c>
      <c r="E34" s="235">
        <v>1</v>
      </c>
      <c r="F34" s="236" t="s">
        <v>377</v>
      </c>
    </row>
    <row r="35" spans="2:28" x14ac:dyDescent="0.3">
      <c r="B35" s="234" t="s">
        <v>378</v>
      </c>
      <c r="E35" s="235">
        <v>0.75</v>
      </c>
      <c r="F35" s="237" t="s">
        <v>379</v>
      </c>
    </row>
    <row r="36" spans="2:28" x14ac:dyDescent="0.3">
      <c r="B36" s="234" t="s">
        <v>381</v>
      </c>
      <c r="D36" s="243" t="s">
        <v>382</v>
      </c>
      <c r="E36" s="257">
        <f>E34*E35*1*E21/4/E16</f>
        <v>47.92479931532305</v>
      </c>
    </row>
    <row r="39" spans="2:28" x14ac:dyDescent="0.3">
      <c r="B39" s="234" t="s">
        <v>362</v>
      </c>
      <c r="E39" s="235">
        <v>105</v>
      </c>
    </row>
    <row r="40" spans="2:28" x14ac:dyDescent="0.3">
      <c r="B40" s="234" t="s">
        <v>235</v>
      </c>
      <c r="E40" s="227" t="str">
        <f>_xll.RSA_CASE_DATA("NAME",E39)</f>
        <v>COMB1</v>
      </c>
    </row>
    <row r="41" spans="2:28" x14ac:dyDescent="0.3">
      <c r="B41" s="234" t="s">
        <v>363</v>
      </c>
      <c r="E41" s="235">
        <v>105</v>
      </c>
    </row>
    <row r="42" spans="2:28" x14ac:dyDescent="0.3">
      <c r="B42" s="234" t="s">
        <v>235</v>
      </c>
      <c r="E42" s="227" t="str">
        <f>_xll.RSA_CASE_DATA("NAME",E41)</f>
        <v>COMB1</v>
      </c>
    </row>
    <row r="45" spans="2:28" s="231" customFormat="1" x14ac:dyDescent="0.3">
      <c r="B45" s="251" t="s">
        <v>142</v>
      </c>
      <c r="C45" s="251" t="s">
        <v>325</v>
      </c>
      <c r="D45" s="328" t="s">
        <v>326</v>
      </c>
      <c r="E45" s="331"/>
      <c r="F45" s="331"/>
      <c r="G45" s="331"/>
      <c r="H45" s="331"/>
      <c r="I45" s="331"/>
      <c r="J45" s="329"/>
      <c r="K45" s="251" t="s">
        <v>327</v>
      </c>
      <c r="L45" s="251"/>
      <c r="M45" s="328" t="s">
        <v>327</v>
      </c>
      <c r="N45" s="331"/>
      <c r="O45" s="331"/>
      <c r="P45" s="331"/>
      <c r="Q45" s="329"/>
      <c r="R45" s="332" t="s">
        <v>328</v>
      </c>
      <c r="S45" s="333"/>
      <c r="T45" s="333"/>
      <c r="U45" s="333"/>
      <c r="V45" s="333"/>
      <c r="W45" s="333"/>
      <c r="X45" s="334"/>
      <c r="Y45" s="328" t="s">
        <v>329</v>
      </c>
      <c r="Z45" s="329"/>
      <c r="AA45" s="328" t="s">
        <v>330</v>
      </c>
      <c r="AB45" s="329"/>
    </row>
    <row r="46" spans="2:28" x14ac:dyDescent="0.3">
      <c r="B46" s="251" t="s">
        <v>361</v>
      </c>
      <c r="C46" s="238" t="s">
        <v>331</v>
      </c>
      <c r="D46" s="228" t="s">
        <v>332</v>
      </c>
      <c r="E46" s="228" t="s">
        <v>110</v>
      </c>
      <c r="F46" s="228" t="s">
        <v>333</v>
      </c>
      <c r="G46" s="228" t="s">
        <v>264</v>
      </c>
      <c r="H46" s="239" t="s">
        <v>334</v>
      </c>
      <c r="I46" s="239" t="s">
        <v>111</v>
      </c>
      <c r="J46" s="228" t="s">
        <v>335</v>
      </c>
      <c r="K46" s="327" t="s">
        <v>336</v>
      </c>
      <c r="L46" s="327"/>
      <c r="M46" s="256" t="s">
        <v>337</v>
      </c>
      <c r="N46" s="228"/>
      <c r="O46" s="228" t="s">
        <v>335</v>
      </c>
      <c r="P46" s="228" t="s">
        <v>338</v>
      </c>
      <c r="Q46" s="228" t="s">
        <v>339</v>
      </c>
      <c r="R46" s="253" t="s">
        <v>340</v>
      </c>
      <c r="S46" s="228"/>
      <c r="T46" s="228"/>
      <c r="U46" s="228" t="s">
        <v>341</v>
      </c>
      <c r="V46" s="246" t="s">
        <v>370</v>
      </c>
      <c r="W46" s="228"/>
      <c r="X46" s="228" t="s">
        <v>372</v>
      </c>
      <c r="Y46" s="228" t="s">
        <v>342</v>
      </c>
      <c r="Z46" s="251" t="s">
        <v>339</v>
      </c>
      <c r="AA46" s="328" t="s">
        <v>381</v>
      </c>
      <c r="AB46" s="329"/>
    </row>
    <row r="47" spans="2:28" x14ac:dyDescent="0.3">
      <c r="B47" s="228" t="s">
        <v>360</v>
      </c>
      <c r="C47" s="238" t="s">
        <v>353</v>
      </c>
      <c r="D47" s="228" t="s">
        <v>354</v>
      </c>
      <c r="E47" s="228" t="s">
        <v>355</v>
      </c>
      <c r="F47" s="228" t="s">
        <v>356</v>
      </c>
      <c r="G47" s="228" t="s">
        <v>343</v>
      </c>
      <c r="H47" s="239" t="s">
        <v>344</v>
      </c>
      <c r="I47" s="239" t="s">
        <v>345</v>
      </c>
      <c r="J47" s="228" t="s">
        <v>357</v>
      </c>
      <c r="K47" s="228" t="s">
        <v>365</v>
      </c>
      <c r="L47" s="228" t="s">
        <v>366</v>
      </c>
      <c r="M47" s="256" t="s">
        <v>346</v>
      </c>
      <c r="N47" s="228" t="s">
        <v>347</v>
      </c>
      <c r="O47" s="228" t="s">
        <v>319</v>
      </c>
      <c r="P47" s="228" t="s">
        <v>348</v>
      </c>
      <c r="Q47" s="228" t="s">
        <v>349</v>
      </c>
      <c r="R47" s="253" t="s">
        <v>369</v>
      </c>
      <c r="S47" s="228" t="s">
        <v>57</v>
      </c>
      <c r="T47" s="228" t="s">
        <v>323</v>
      </c>
      <c r="U47" s="228" t="s">
        <v>73</v>
      </c>
      <c r="V47" s="246" t="s">
        <v>350</v>
      </c>
      <c r="W47" s="228" t="s">
        <v>351</v>
      </c>
      <c r="X47" s="228" t="s">
        <v>253</v>
      </c>
      <c r="Y47" s="228" t="s">
        <v>53</v>
      </c>
      <c r="Z47" s="228" t="s">
        <v>349</v>
      </c>
      <c r="AA47" s="228" t="s">
        <v>385</v>
      </c>
      <c r="AB47" s="228" t="s">
        <v>384</v>
      </c>
    </row>
    <row r="48" spans="2:28" x14ac:dyDescent="0.3">
      <c r="B48" s="41">
        <v>1</v>
      </c>
      <c r="C48" s="260">
        <f>_xll.RSA_SUPPORT_REACTION("FZ",B48,$E$39,1)</f>
        <v>858.76333086026386</v>
      </c>
      <c r="D48">
        <v>0.3</v>
      </c>
      <c r="E48">
        <v>0.6</v>
      </c>
      <c r="F48">
        <f t="shared" ref="F48:F57" si="0">C48/E$24</f>
        <v>3.4350533234410556</v>
      </c>
      <c r="G48">
        <f>(-E48-D48+SQRT(D48*D48+E48*E48+4*F48+3*E48*D48))/4</f>
        <v>0.73449899992666168</v>
      </c>
      <c r="H48" s="240">
        <f>CEILING(2*G48+D48,0.25)</f>
        <v>2</v>
      </c>
      <c r="I48" s="240">
        <f>CEILING(2*G48+E48,0.25)</f>
        <v>2.25</v>
      </c>
      <c r="J48" s="225">
        <f t="shared" ref="J48:J57" si="1">C48/H48/I48</f>
        <v>190.83629574672531</v>
      </c>
      <c r="K48" s="225">
        <f t="shared" ref="K48:K57" si="2">D48*1000+E$31</f>
        <v>780</v>
      </c>
      <c r="L48" s="225">
        <f t="shared" ref="L48:L57" si="3">E48*1000+E$31</f>
        <v>1080</v>
      </c>
      <c r="M48" s="226">
        <f t="shared" ref="M48:M57" si="4">C48*1000-K48*L48*J48/1000</f>
        <v>698002.83532322245</v>
      </c>
      <c r="N48" s="225">
        <f t="shared" ref="N48:N57" si="5">2*(K48+L48)*E$31</f>
        <v>1785600</v>
      </c>
      <c r="O48" s="225">
        <f>M48/N48</f>
        <v>0.39090660580377601</v>
      </c>
      <c r="P48" s="225">
        <f t="shared" ref="P48:P57" si="6">E$15*MIN(1,0.5+K48/L48)</f>
        <v>1.2900645978658072</v>
      </c>
      <c r="Q48" s="225">
        <f>P48/O48</f>
        <v>3.3001862304506129</v>
      </c>
      <c r="R48" s="254">
        <f>J48*G48*G48/2*1000000</f>
        <v>51477020.271293819</v>
      </c>
      <c r="S48" s="227">
        <f t="shared" ref="S48:S57" si="7">R48/E$32</f>
        <v>2.5389155357921904E-2</v>
      </c>
      <c r="T48" s="227" cm="1">
        <f t="array" ref="T48">[1]!PureBendingDesign_j(S48)</f>
        <v>0.98714004384882903</v>
      </c>
      <c r="U48" s="225">
        <f t="shared" ref="U48:U57" si="8">R48/T48/E$31/E$21</f>
        <v>347.04734999960118</v>
      </c>
      <c r="V48" s="261">
        <v>12</v>
      </c>
      <c r="W48" s="225">
        <f>3.14*V48*V48/4</f>
        <v>113.03999999999999</v>
      </c>
      <c r="X48" s="240">
        <f>MAX(5,ROUNDUP(U48/W48,0))</f>
        <v>5</v>
      </c>
      <c r="Y48" s="225">
        <f t="shared" ref="Y48:Y57" si="9">J48*G48</f>
        <v>140.16906837567839</v>
      </c>
      <c r="Z48" s="225">
        <f t="shared" ref="Z48:Z57" si="10">Y48*1000/E$33</f>
        <v>2.9804053406397411</v>
      </c>
      <c r="AA48" s="227">
        <f t="shared" ref="AA48:AA57" si="11">V48*E$36</f>
        <v>575.09759178387662</v>
      </c>
      <c r="AB48" s="225">
        <f>G48*1000/AA48</f>
        <v>1.2771727971392524</v>
      </c>
    </row>
    <row r="49" spans="2:28" x14ac:dyDescent="0.3">
      <c r="B49" s="41">
        <v>2</v>
      </c>
      <c r="C49" s="260">
        <f>_xll.RSA_SUPPORT_REACTION("FZ",B49,$E$39,1)</f>
        <v>1729.0204399617073</v>
      </c>
      <c r="D49">
        <v>0.3</v>
      </c>
      <c r="E49">
        <v>0.6</v>
      </c>
      <c r="F49">
        <f t="shared" si="0"/>
        <v>6.9160817598468292</v>
      </c>
      <c r="G49">
        <f t="shared" ref="G49:G57" si="12">(-E49-D49+SQRT(D49*D49+E49*E49+4*F49+3*E49*D49))/4</f>
        <v>1.11324341581108</v>
      </c>
      <c r="H49" s="240">
        <f t="shared" ref="H49:H57" si="13">CEILING(2*G49+D49,0.25)</f>
        <v>2.75</v>
      </c>
      <c r="I49" s="240">
        <f t="shared" ref="I49:I57" si="14">CEILING(2*G49+E49,0.25)</f>
        <v>3</v>
      </c>
      <c r="J49" s="225">
        <f t="shared" si="1"/>
        <v>209.5782351468736</v>
      </c>
      <c r="K49" s="225">
        <f t="shared" si="2"/>
        <v>780</v>
      </c>
      <c r="L49" s="225">
        <f t="shared" si="3"/>
        <v>1080</v>
      </c>
      <c r="M49" s="226">
        <f t="shared" si="4"/>
        <v>1552471.7346739809</v>
      </c>
      <c r="N49" s="225">
        <f t="shared" si="5"/>
        <v>1785600</v>
      </c>
      <c r="O49" s="225">
        <f t="shared" ref="O49:O57" si="15">M49/N49</f>
        <v>0.86943981556562544</v>
      </c>
      <c r="P49" s="225">
        <f t="shared" si="6"/>
        <v>1.2900645978658072</v>
      </c>
      <c r="Q49" s="225">
        <f t="shared" ref="Q49:Q57" si="16">P49/O49</f>
        <v>1.483788267767032</v>
      </c>
      <c r="R49" s="254">
        <f t="shared" ref="R49:R57" si="17">J49*G49*G49/2*1000000</f>
        <v>129866295.90844718</v>
      </c>
      <c r="S49" s="227">
        <f t="shared" si="7"/>
        <v>6.4051795251562099E-2</v>
      </c>
      <c r="T49" s="227" cm="1">
        <f t="array" ref="T49">[1]!PureBendingDesign_j(S49)</f>
        <v>0.96687696706329274</v>
      </c>
      <c r="U49" s="225">
        <f t="shared" si="8"/>
        <v>893.88024885193954</v>
      </c>
      <c r="V49" s="249">
        <v>16</v>
      </c>
      <c r="W49" s="225">
        <f t="shared" ref="W49:W57" si="18">3.14*V49*V49/4</f>
        <v>200.96</v>
      </c>
      <c r="X49" s="240">
        <f t="shared" ref="X49:X57" si="19">MAX(5,ROUNDUP(U49/W49,0))</f>
        <v>5</v>
      </c>
      <c r="Y49" s="225">
        <f t="shared" si="9"/>
        <v>233.31159037456331</v>
      </c>
      <c r="Z49" s="225">
        <f t="shared" si="10"/>
        <v>4.9608884331156533</v>
      </c>
      <c r="AA49" s="227">
        <f t="shared" si="11"/>
        <v>766.79678904516879</v>
      </c>
      <c r="AB49" s="225">
        <f t="shared" ref="AB49:AB57" si="20">G49*1000/AA49</f>
        <v>1.4518102210591071</v>
      </c>
    </row>
    <row r="50" spans="2:28" x14ac:dyDescent="0.3">
      <c r="B50" s="41">
        <v>3</v>
      </c>
      <c r="C50" s="260">
        <f>_xll.RSA_SUPPORT_REACTION("FZ",B50,$E$39,1)</f>
        <v>2422.0790771911747</v>
      </c>
      <c r="D50">
        <v>0.3</v>
      </c>
      <c r="E50">
        <v>0.6</v>
      </c>
      <c r="F50">
        <f t="shared" si="0"/>
        <v>9.6883163087646995</v>
      </c>
      <c r="G50">
        <f t="shared" si="12"/>
        <v>1.3510564955581938</v>
      </c>
      <c r="H50" s="240">
        <f t="shared" si="13"/>
        <v>3.25</v>
      </c>
      <c r="I50" s="240">
        <f t="shared" si="14"/>
        <v>3.5</v>
      </c>
      <c r="J50" s="225">
        <f t="shared" si="1"/>
        <v>212.9300287640593</v>
      </c>
      <c r="K50" s="225">
        <f t="shared" si="2"/>
        <v>780</v>
      </c>
      <c r="L50" s="225">
        <f t="shared" si="3"/>
        <v>1080</v>
      </c>
      <c r="M50" s="226">
        <f t="shared" si="4"/>
        <v>2242706.8209603312</v>
      </c>
      <c r="N50" s="225">
        <f t="shared" si="5"/>
        <v>1785600</v>
      </c>
      <c r="O50" s="225">
        <f t="shared" si="15"/>
        <v>1.2559962034948091</v>
      </c>
      <c r="P50" s="225">
        <f t="shared" si="6"/>
        <v>1.2900645978658072</v>
      </c>
      <c r="Q50" s="225">
        <f t="shared" si="16"/>
        <v>1.0271245998007021</v>
      </c>
      <c r="R50" s="254">
        <f t="shared" si="17"/>
        <v>194336303.04562747</v>
      </c>
      <c r="S50" s="227">
        <f t="shared" si="7"/>
        <v>9.5849265627775543E-2</v>
      </c>
      <c r="T50" s="227" cm="1">
        <f t="array" ref="T50">[1]!PureBendingDesign_j(S50)</f>
        <v>0.94952793815970127</v>
      </c>
      <c r="U50" s="225">
        <f t="shared" si="8"/>
        <v>1362.0727088635279</v>
      </c>
      <c r="V50" s="249">
        <v>16</v>
      </c>
      <c r="W50" s="225">
        <f t="shared" si="18"/>
        <v>200.96</v>
      </c>
      <c r="X50" s="240">
        <f t="shared" si="19"/>
        <v>7</v>
      </c>
      <c r="Y50" s="225">
        <f t="shared" si="9"/>
        <v>287.68049846107539</v>
      </c>
      <c r="Z50" s="225">
        <f t="shared" si="10"/>
        <v>6.116930817527396</v>
      </c>
      <c r="AA50" s="227">
        <f t="shared" si="11"/>
        <v>766.79678904516879</v>
      </c>
      <c r="AB50" s="225">
        <f t="shared" si="20"/>
        <v>1.7619485564624719</v>
      </c>
    </row>
    <row r="51" spans="2:28" x14ac:dyDescent="0.3">
      <c r="B51" s="41">
        <v>4</v>
      </c>
      <c r="C51" s="260">
        <f>_xll.RSA_SUPPORT_REACTION("FZ",B51,$E$39,1)</f>
        <v>2172.7027218962285</v>
      </c>
      <c r="D51">
        <v>0.3</v>
      </c>
      <c r="E51">
        <v>0.6</v>
      </c>
      <c r="F51">
        <f t="shared" si="0"/>
        <v>8.690810887584913</v>
      </c>
      <c r="G51">
        <f t="shared" si="12"/>
        <v>1.2698504011760603</v>
      </c>
      <c r="H51" s="240">
        <f t="shared" si="13"/>
        <v>3</v>
      </c>
      <c r="I51" s="240">
        <f t="shared" si="14"/>
        <v>3.25</v>
      </c>
      <c r="J51" s="225">
        <f t="shared" si="1"/>
        <v>222.8413048098696</v>
      </c>
      <c r="K51" s="225">
        <f t="shared" si="2"/>
        <v>780</v>
      </c>
      <c r="L51" s="225">
        <f t="shared" si="3"/>
        <v>1080</v>
      </c>
      <c r="M51" s="226">
        <f t="shared" si="4"/>
        <v>1984981.2067243941</v>
      </c>
      <c r="N51" s="225">
        <f t="shared" si="5"/>
        <v>1785600</v>
      </c>
      <c r="O51" s="225">
        <f t="shared" si="15"/>
        <v>1.1116606220454717</v>
      </c>
      <c r="P51" s="225">
        <f t="shared" si="6"/>
        <v>1.2900645978658072</v>
      </c>
      <c r="Q51" s="225">
        <f t="shared" si="16"/>
        <v>1.1604842091933325</v>
      </c>
      <c r="R51" s="254">
        <f t="shared" si="17"/>
        <v>179668035.02514371</v>
      </c>
      <c r="S51" s="227">
        <f t="shared" si="7"/>
        <v>8.8614679522344392E-2</v>
      </c>
      <c r="T51" s="227" cm="1">
        <f t="array" ref="T51">[1]!PureBendingDesign_j(S51)</f>
        <v>0.95353352713865358</v>
      </c>
      <c r="U51" s="225">
        <f t="shared" si="8"/>
        <v>1253.9752142848693</v>
      </c>
      <c r="V51" s="249">
        <v>16</v>
      </c>
      <c r="W51" s="225">
        <f t="shared" si="18"/>
        <v>200.96</v>
      </c>
      <c r="X51" s="240">
        <f t="shared" si="19"/>
        <v>7</v>
      </c>
      <c r="Y51" s="225">
        <f t="shared" si="9"/>
        <v>282.97512031140963</v>
      </c>
      <c r="Z51" s="225">
        <f t="shared" si="10"/>
        <v>6.0168806828614043</v>
      </c>
      <c r="AA51" s="227">
        <f t="shared" si="11"/>
        <v>766.79678904516879</v>
      </c>
      <c r="AB51" s="225">
        <f t="shared" si="20"/>
        <v>1.6560455381631218</v>
      </c>
    </row>
    <row r="52" spans="2:28" x14ac:dyDescent="0.3">
      <c r="B52" s="41">
        <v>5</v>
      </c>
      <c r="C52" s="260">
        <f>_xll.RSA_SUPPORT_REACTION("FZ",B52,$E$39,1)</f>
        <v>1547.9687257788789</v>
      </c>
      <c r="D52">
        <v>0.3</v>
      </c>
      <c r="E52">
        <v>0.6</v>
      </c>
      <c r="F52">
        <f t="shared" si="0"/>
        <v>6.191874903115516</v>
      </c>
      <c r="G52">
        <f t="shared" si="12"/>
        <v>1.0437961718806057</v>
      </c>
      <c r="H52" s="240">
        <f t="shared" si="13"/>
        <v>2.5</v>
      </c>
      <c r="I52" s="240">
        <f t="shared" si="14"/>
        <v>2.75</v>
      </c>
      <c r="J52" s="225">
        <f t="shared" si="1"/>
        <v>225.15908738601874</v>
      </c>
      <c r="K52" s="225">
        <f t="shared" si="2"/>
        <v>780</v>
      </c>
      <c r="L52" s="225">
        <f t="shared" si="3"/>
        <v>1080</v>
      </c>
      <c r="M52" s="226">
        <f t="shared" si="4"/>
        <v>1358294.7105648967</v>
      </c>
      <c r="N52" s="225">
        <f t="shared" si="5"/>
        <v>1785600</v>
      </c>
      <c r="O52" s="225">
        <f t="shared" si="15"/>
        <v>0.76069372231457033</v>
      </c>
      <c r="P52" s="225">
        <f t="shared" si="6"/>
        <v>1.2900645978658072</v>
      </c>
      <c r="Q52" s="225">
        <f t="shared" si="16"/>
        <v>1.6959054084744052</v>
      </c>
      <c r="R52" s="254">
        <f t="shared" si="17"/>
        <v>122656589.1333089</v>
      </c>
      <c r="S52" s="227">
        <f t="shared" si="7"/>
        <v>6.0495871376513626E-2</v>
      </c>
      <c r="T52" s="227" cm="1">
        <f t="array" ref="T52">[1]!PureBendingDesign_j(S52)</f>
        <v>0.96877720114329713</v>
      </c>
      <c r="U52" s="225">
        <f t="shared" si="8"/>
        <v>842.59926514622339</v>
      </c>
      <c r="V52" s="249">
        <v>16</v>
      </c>
      <c r="W52" s="225">
        <f t="shared" si="18"/>
        <v>200.96</v>
      </c>
      <c r="X52" s="240">
        <f t="shared" si="19"/>
        <v>5</v>
      </c>
      <c r="Y52" s="225">
        <f t="shared" si="9"/>
        <v>235.02019347765713</v>
      </c>
      <c r="Z52" s="225">
        <f t="shared" si="10"/>
        <v>4.9972183443614506</v>
      </c>
      <c r="AA52" s="227">
        <f t="shared" si="11"/>
        <v>766.79678904516879</v>
      </c>
      <c r="AB52" s="225">
        <f t="shared" si="20"/>
        <v>1.361242231048414</v>
      </c>
    </row>
    <row r="53" spans="2:28" x14ac:dyDescent="0.3">
      <c r="B53" s="41">
        <v>6</v>
      </c>
      <c r="C53" s="260">
        <f>_xll.RSA_SUPPORT_REACTION("FZ",B53,$E$39,1)</f>
        <v>2163.6508855673328</v>
      </c>
      <c r="D53">
        <v>0.3</v>
      </c>
      <c r="E53">
        <v>0.6</v>
      </c>
      <c r="F53">
        <f t="shared" si="0"/>
        <v>8.6546035422693315</v>
      </c>
      <c r="G53">
        <f t="shared" si="12"/>
        <v>1.2668196558456164</v>
      </c>
      <c r="H53" s="240">
        <f t="shared" si="13"/>
        <v>3</v>
      </c>
      <c r="I53" s="240">
        <f t="shared" si="14"/>
        <v>3.25</v>
      </c>
      <c r="J53" s="225">
        <f t="shared" si="1"/>
        <v>221.91291134023928</v>
      </c>
      <c r="K53" s="225">
        <f t="shared" si="2"/>
        <v>780</v>
      </c>
      <c r="L53" s="225">
        <f t="shared" si="3"/>
        <v>1080</v>
      </c>
      <c r="M53" s="226">
        <f t="shared" si="4"/>
        <v>1976711.449054315</v>
      </c>
      <c r="N53" s="225">
        <f t="shared" si="5"/>
        <v>1785600</v>
      </c>
      <c r="O53" s="225">
        <f t="shared" si="15"/>
        <v>1.1070292613431423</v>
      </c>
      <c r="P53" s="225">
        <f t="shared" si="6"/>
        <v>1.2900645978658072</v>
      </c>
      <c r="Q53" s="225">
        <f t="shared" si="16"/>
        <v>1.1653392036815637</v>
      </c>
      <c r="R53" s="254">
        <f t="shared" si="17"/>
        <v>178066475.1527141</v>
      </c>
      <c r="S53" s="227">
        <f t="shared" si="7"/>
        <v>8.7824768758243618E-2</v>
      </c>
      <c r="T53" s="227" cm="1">
        <f t="array" ref="T53">[1]!PureBendingDesign_j(S53)</f>
        <v>0.95396873859427611</v>
      </c>
      <c r="U53" s="225">
        <f t="shared" si="8"/>
        <v>1242.2303078024688</v>
      </c>
      <c r="V53" s="249">
        <v>16</v>
      </c>
      <c r="W53" s="225">
        <f t="shared" si="18"/>
        <v>200.96</v>
      </c>
      <c r="X53" s="240">
        <f t="shared" si="19"/>
        <v>7</v>
      </c>
      <c r="Y53" s="225">
        <f t="shared" si="9"/>
        <v>281.12363797174072</v>
      </c>
      <c r="Z53" s="225">
        <f t="shared" si="10"/>
        <v>5.9775127401533901</v>
      </c>
      <c r="AA53" s="227">
        <f t="shared" si="11"/>
        <v>766.79678904516879</v>
      </c>
      <c r="AB53" s="225">
        <f t="shared" si="20"/>
        <v>1.6520930629131694</v>
      </c>
    </row>
    <row r="54" spans="2:28" x14ac:dyDescent="0.3">
      <c r="B54" s="41">
        <v>7</v>
      </c>
      <c r="C54" s="260">
        <f>_xll.RSA_SUPPORT_REACTION("FZ",B54,$E$39,1)</f>
        <v>2415.0577037293992</v>
      </c>
      <c r="D54">
        <v>0.3</v>
      </c>
      <c r="E54">
        <v>0.6</v>
      </c>
      <c r="F54">
        <f t="shared" si="0"/>
        <v>9.6602308149175968</v>
      </c>
      <c r="G54">
        <f t="shared" si="12"/>
        <v>1.3488274059532066</v>
      </c>
      <c r="H54" s="240">
        <f t="shared" si="13"/>
        <v>3</v>
      </c>
      <c r="I54" s="240">
        <f t="shared" si="14"/>
        <v>3.5</v>
      </c>
      <c r="J54" s="225">
        <f t="shared" si="1"/>
        <v>230.00549559327609</v>
      </c>
      <c r="K54" s="225">
        <f t="shared" si="2"/>
        <v>780</v>
      </c>
      <c r="L54" s="225">
        <f t="shared" si="3"/>
        <v>1080</v>
      </c>
      <c r="M54" s="226">
        <f t="shared" si="4"/>
        <v>2221301.0742416233</v>
      </c>
      <c r="N54" s="225">
        <f t="shared" si="5"/>
        <v>1785600</v>
      </c>
      <c r="O54" s="225">
        <f t="shared" si="15"/>
        <v>1.2440082181012675</v>
      </c>
      <c r="P54" s="225">
        <f t="shared" si="6"/>
        <v>1.2900645978658072</v>
      </c>
      <c r="Q54" s="225">
        <f t="shared" si="16"/>
        <v>1.037022568737396</v>
      </c>
      <c r="R54" s="254">
        <f t="shared" si="17"/>
        <v>209228566.83441857</v>
      </c>
      <c r="S54" s="227">
        <f t="shared" si="7"/>
        <v>0.10319432944405903</v>
      </c>
      <c r="T54" s="227" cm="1">
        <f t="array" ref="T54">[1]!PureBendingDesign_j(S54)</f>
        <v>0.94542433170850748</v>
      </c>
      <c r="U54" s="225">
        <f t="shared" si="8"/>
        <v>1472.8153682930786</v>
      </c>
      <c r="V54" s="249">
        <v>16</v>
      </c>
      <c r="W54" s="225">
        <f t="shared" si="18"/>
        <v>200.96</v>
      </c>
      <c r="X54" s="240">
        <f t="shared" si="19"/>
        <v>8</v>
      </c>
      <c r="Y54" s="225">
        <f t="shared" si="9"/>
        <v>310.23771597606031</v>
      </c>
      <c r="Z54" s="225">
        <f t="shared" si="10"/>
        <v>6.5965633950333391</v>
      </c>
      <c r="AA54" s="227">
        <f t="shared" si="11"/>
        <v>766.79678904516879</v>
      </c>
      <c r="AB54" s="225">
        <f t="shared" si="20"/>
        <v>1.7590415416746781</v>
      </c>
    </row>
    <row r="55" spans="2:28" x14ac:dyDescent="0.3">
      <c r="B55" s="41">
        <v>8</v>
      </c>
      <c r="C55" s="260">
        <f>_xll.RSA_SUPPORT_REACTION("FZ",B55,$E$39,1)</f>
        <v>1736.2770527828466</v>
      </c>
      <c r="D55">
        <v>0.3</v>
      </c>
      <c r="E55">
        <v>0.6</v>
      </c>
      <c r="F55">
        <f t="shared" si="0"/>
        <v>6.9451082111313864</v>
      </c>
      <c r="G55">
        <f t="shared" si="12"/>
        <v>1.1159519203844881</v>
      </c>
      <c r="H55" s="240">
        <f t="shared" si="13"/>
        <v>2.75</v>
      </c>
      <c r="I55" s="240">
        <f t="shared" si="14"/>
        <v>3</v>
      </c>
      <c r="J55" s="225">
        <f t="shared" si="1"/>
        <v>210.45782457973897</v>
      </c>
      <c r="K55" s="225">
        <f t="shared" si="2"/>
        <v>780</v>
      </c>
      <c r="L55" s="225">
        <f t="shared" si="3"/>
        <v>1080</v>
      </c>
      <c r="M55" s="226">
        <f t="shared" si="4"/>
        <v>1558987.3813568745</v>
      </c>
      <c r="N55" s="225">
        <f t="shared" si="5"/>
        <v>1785600</v>
      </c>
      <c r="O55" s="225">
        <f t="shared" si="15"/>
        <v>0.87308881124376936</v>
      </c>
      <c r="P55" s="225">
        <f t="shared" si="6"/>
        <v>1.2900645978658072</v>
      </c>
      <c r="Q55" s="225">
        <f t="shared" si="16"/>
        <v>1.4775869089743916</v>
      </c>
      <c r="R55" s="254">
        <f t="shared" si="17"/>
        <v>131046687.92402746</v>
      </c>
      <c r="S55" s="227">
        <f t="shared" si="7"/>
        <v>6.4633980391822249E-2</v>
      </c>
      <c r="T55" s="227" cm="1">
        <f t="array" ref="T55">[1]!PureBendingDesign_j(S55)</f>
        <v>0.96656511850339699</v>
      </c>
      <c r="U55" s="225">
        <f t="shared" si="8"/>
        <v>902.29600198832668</v>
      </c>
      <c r="V55" s="249">
        <v>16</v>
      </c>
      <c r="W55" s="225">
        <f t="shared" si="18"/>
        <v>200.96</v>
      </c>
      <c r="X55" s="240">
        <f t="shared" si="19"/>
        <v>5</v>
      </c>
      <c r="Y55" s="225">
        <f t="shared" si="9"/>
        <v>234.86081349970144</v>
      </c>
      <c r="Z55" s="225">
        <f t="shared" si="10"/>
        <v>4.9938294587606915</v>
      </c>
      <c r="AA55" s="227">
        <f t="shared" si="11"/>
        <v>766.79678904516879</v>
      </c>
      <c r="AB55" s="225">
        <f t="shared" si="20"/>
        <v>1.4553424536037698</v>
      </c>
    </row>
    <row r="56" spans="2:28" x14ac:dyDescent="0.3">
      <c r="B56" s="41">
        <v>9</v>
      </c>
      <c r="C56" s="260">
        <f>_xll.RSA_SUPPORT_REACTION("FZ",B56,$E$39,1)</f>
        <v>853.2269127105842</v>
      </c>
      <c r="D56">
        <v>0.3</v>
      </c>
      <c r="E56">
        <v>0.6</v>
      </c>
      <c r="F56">
        <f t="shared" si="0"/>
        <v>3.4129076508423366</v>
      </c>
      <c r="G56">
        <f t="shared" si="12"/>
        <v>0.73160959262939873</v>
      </c>
      <c r="H56" s="240">
        <f t="shared" si="13"/>
        <v>2</v>
      </c>
      <c r="I56" s="240">
        <f t="shared" si="14"/>
        <v>2.25</v>
      </c>
      <c r="J56" s="225">
        <f t="shared" si="1"/>
        <v>189.60598060235205</v>
      </c>
      <c r="K56" s="225">
        <f t="shared" si="2"/>
        <v>780</v>
      </c>
      <c r="L56" s="225">
        <f t="shared" si="3"/>
        <v>1080</v>
      </c>
      <c r="M56" s="226">
        <f t="shared" si="4"/>
        <v>693502.83465116285</v>
      </c>
      <c r="N56" s="225">
        <f t="shared" si="5"/>
        <v>1785600</v>
      </c>
      <c r="O56" s="225">
        <f t="shared" si="15"/>
        <v>0.38838644413707596</v>
      </c>
      <c r="P56" s="225">
        <f t="shared" si="6"/>
        <v>1.2900645978658072</v>
      </c>
      <c r="Q56" s="225">
        <f t="shared" si="16"/>
        <v>3.3216004763814455</v>
      </c>
      <c r="R56" s="254">
        <f t="shared" si="17"/>
        <v>50743546.669860601</v>
      </c>
      <c r="S56" s="227">
        <f t="shared" si="7"/>
        <v>2.5027396361002902E-2</v>
      </c>
      <c r="T56" s="227" cm="1">
        <f t="array" ref="T56">[1]!PureBendingDesign_j(S56)</f>
        <v>0.98732566300113778</v>
      </c>
      <c r="U56" s="225">
        <f t="shared" si="8"/>
        <v>342.03810780929399</v>
      </c>
      <c r="V56" s="249">
        <v>12</v>
      </c>
      <c r="W56" s="225">
        <f t="shared" si="18"/>
        <v>113.03999999999999</v>
      </c>
      <c r="X56" s="240">
        <f t="shared" si="19"/>
        <v>5</v>
      </c>
      <c r="Y56" s="225">
        <f t="shared" si="9"/>
        <v>138.71755422858445</v>
      </c>
      <c r="Z56" s="225">
        <f t="shared" si="10"/>
        <v>2.9495418943306158</v>
      </c>
      <c r="AA56" s="227">
        <f t="shared" si="11"/>
        <v>575.09759178387662</v>
      </c>
      <c r="AB56" s="225">
        <f t="shared" si="20"/>
        <v>1.2721485937022317</v>
      </c>
    </row>
    <row r="57" spans="2:28" x14ac:dyDescent="0.3">
      <c r="B57" s="41">
        <v>10</v>
      </c>
      <c r="C57" s="260">
        <f>_xll.RSA_SUPPORT_REACTION("FZ",B57,$E$39,1)</f>
        <v>1257.91667245447</v>
      </c>
      <c r="D57">
        <v>0.3</v>
      </c>
      <c r="E57">
        <v>0.6</v>
      </c>
      <c r="F57">
        <f t="shared" si="0"/>
        <v>5.0316666898178797</v>
      </c>
      <c r="G57">
        <f t="shared" si="12"/>
        <v>0.92382186280313705</v>
      </c>
      <c r="H57" s="240">
        <f t="shared" si="13"/>
        <v>2.25</v>
      </c>
      <c r="I57" s="240">
        <f t="shared" si="14"/>
        <v>2.5</v>
      </c>
      <c r="J57" s="225">
        <f t="shared" si="1"/>
        <v>223.62963065857244</v>
      </c>
      <c r="K57" s="225">
        <f t="shared" si="2"/>
        <v>780</v>
      </c>
      <c r="L57" s="225">
        <f t="shared" si="3"/>
        <v>1080</v>
      </c>
      <c r="M57" s="226">
        <f t="shared" si="4"/>
        <v>1069531.0715876888</v>
      </c>
      <c r="N57" s="225">
        <f t="shared" si="5"/>
        <v>1785600</v>
      </c>
      <c r="O57" s="225">
        <f t="shared" si="15"/>
        <v>0.59897573453611597</v>
      </c>
      <c r="P57" s="225">
        <f t="shared" si="6"/>
        <v>1.2900645978658072</v>
      </c>
      <c r="Q57" s="225">
        <f t="shared" si="16"/>
        <v>2.1537844080861026</v>
      </c>
      <c r="R57" s="254">
        <f t="shared" si="17"/>
        <v>95428000.158660755</v>
      </c>
      <c r="S57" s="227">
        <f t="shared" si="7"/>
        <v>4.7066366871182902E-2</v>
      </c>
      <c r="T57" s="227" cm="1">
        <f t="array" ref="T57">[1]!PureBendingDesign_j(S57)</f>
        <v>0.97588529769725874</v>
      </c>
      <c r="U57" s="225">
        <f t="shared" si="8"/>
        <v>650.77543280997816</v>
      </c>
      <c r="V57" s="249">
        <v>16</v>
      </c>
      <c r="W57" s="225">
        <f t="shared" si="18"/>
        <v>200.96</v>
      </c>
      <c r="X57" s="240">
        <f t="shared" si="19"/>
        <v>5</v>
      </c>
      <c r="Y57" s="225">
        <f t="shared" si="9"/>
        <v>206.59394197297991</v>
      </c>
      <c r="Z57" s="225">
        <f t="shared" si="10"/>
        <v>4.3927928974301853</v>
      </c>
      <c r="AA57" s="227">
        <f t="shared" si="11"/>
        <v>766.79678904516879</v>
      </c>
      <c r="AB57" s="225">
        <f t="shared" si="20"/>
        <v>1.2047805572497234</v>
      </c>
    </row>
    <row r="58" spans="2:28" x14ac:dyDescent="0.3">
      <c r="D58" s="227"/>
      <c r="O58" s="255"/>
      <c r="P58" s="227"/>
      <c r="T58" s="252"/>
      <c r="U58" s="231"/>
      <c r="V58" s="243"/>
    </row>
    <row r="59" spans="2:28" x14ac:dyDescent="0.3">
      <c r="D59" s="227"/>
      <c r="O59" s="255"/>
      <c r="P59" s="227"/>
      <c r="T59" s="252"/>
      <c r="U59" s="231"/>
      <c r="V59" s="243"/>
    </row>
  </sheetData>
  <mergeCells count="10">
    <mergeCell ref="B10:F10"/>
    <mergeCell ref="B18:F18"/>
    <mergeCell ref="B23:F23"/>
    <mergeCell ref="K46:L46"/>
    <mergeCell ref="AA46:AB46"/>
    <mergeCell ref="D45:J45"/>
    <mergeCell ref="M45:Q45"/>
    <mergeCell ref="R45:X45"/>
    <mergeCell ref="Y45:Z45"/>
    <mergeCell ref="AA45:AB45"/>
  </mergeCells>
  <conditionalFormatting sqref="Q48:Q57">
    <cfRule type="cellIs" dxfId="5" priority="5" operator="lessThan">
      <formula>1</formula>
    </cfRule>
    <cfRule type="cellIs" dxfId="4" priority="6" operator="greaterThan">
      <formula>1</formula>
    </cfRule>
  </conditionalFormatting>
  <conditionalFormatting sqref="Z48:Z57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B48:AB57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Loading Cases</vt:lpstr>
      <vt:lpstr>Rectangular Beam</vt:lpstr>
      <vt:lpstr>T-Section Beam</vt:lpstr>
      <vt:lpstr>L-Section Beam</vt:lpstr>
      <vt:lpstr>Coulmn</vt:lpstr>
      <vt:lpstr>Solid Slap Pannel</vt:lpstr>
      <vt:lpstr>Solid Slaps</vt:lpstr>
      <vt:lpstr>Beams</vt:lpstr>
      <vt:lpstr>Isolated Footing Column Based</vt:lpstr>
      <vt:lpstr>Isolated Footing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nour eldein</dc:creator>
  <cp:lastModifiedBy>mohammed nour eldein</cp:lastModifiedBy>
  <dcterms:created xsi:type="dcterms:W3CDTF">2023-09-22T18:40:41Z</dcterms:created>
  <dcterms:modified xsi:type="dcterms:W3CDTF">2023-10-12T14:26:20Z</dcterms:modified>
</cp:coreProperties>
</file>