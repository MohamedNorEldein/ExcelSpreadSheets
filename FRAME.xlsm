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gineering\Spreed sheets\"/>
    </mc:Choice>
  </mc:AlternateContent>
  <xr:revisionPtr revIDLastSave="0" documentId="13_ncr:1_{96DF6164-B103-47D7-A325-A3A042CB89CE}" xr6:coauthVersionLast="47" xr6:coauthVersionMax="47" xr10:uidLastSave="{00000000-0000-0000-0000-000000000000}"/>
  <bookViews>
    <workbookView xWindow="-108" yWindow="-108" windowWidth="23256" windowHeight="12720" xr2:uid="{FE2E8B70-44F3-4216-B01B-0B7D2CD4B026}"/>
  </bookViews>
  <sheets>
    <sheet name="FRAMED TRUS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62" i="1" l="1"/>
  <c r="S50" i="1"/>
  <c r="T50" i="1"/>
  <c r="S51" i="1"/>
  <c r="T51" i="1"/>
  <c r="S52" i="1"/>
  <c r="T52" i="1"/>
  <c r="S53" i="1"/>
  <c r="T53" i="1"/>
  <c r="S47" i="1"/>
  <c r="T47" i="1"/>
  <c r="S48" i="1"/>
  <c r="T48" i="1"/>
  <c r="S49" i="1"/>
  <c r="T49" i="1"/>
  <c r="T46" i="1"/>
  <c r="S46" i="1"/>
</calcChain>
</file>

<file path=xl/sharedStrings.xml><?xml version="1.0" encoding="utf-8"?>
<sst xmlns="http://schemas.openxmlformats.org/spreadsheetml/2006/main" count="46" uniqueCount="42">
  <si>
    <t>Deformation Draw factor</t>
  </si>
  <si>
    <t>Normal Draw factor</t>
  </si>
  <si>
    <t>Shear draw factor</t>
  </si>
  <si>
    <t>Momment Draw factor</t>
  </si>
  <si>
    <t>Desired accuricy</t>
  </si>
  <si>
    <t>Joint</t>
  </si>
  <si>
    <t>Support</t>
  </si>
  <si>
    <t>members</t>
  </si>
  <si>
    <t>Results</t>
  </si>
  <si>
    <t>index</t>
  </si>
  <si>
    <t>x</t>
  </si>
  <si>
    <t>y</t>
  </si>
  <si>
    <t>Px</t>
  </si>
  <si>
    <t>Py</t>
  </si>
  <si>
    <t>R</t>
  </si>
  <si>
    <t>node index</t>
  </si>
  <si>
    <t>dispelacment index</t>
  </si>
  <si>
    <t>value</t>
  </si>
  <si>
    <t>name</t>
  </si>
  <si>
    <t>start</t>
  </si>
  <si>
    <t>end</t>
  </si>
  <si>
    <t>E</t>
  </si>
  <si>
    <t>A</t>
  </si>
  <si>
    <t>I</t>
  </si>
  <si>
    <t>EA</t>
  </si>
  <si>
    <t>EI</t>
  </si>
  <si>
    <t>wx</t>
  </si>
  <si>
    <t>wy</t>
  </si>
  <si>
    <t>joints</t>
  </si>
  <si>
    <t>length</t>
  </si>
  <si>
    <t>N1</t>
  </si>
  <si>
    <t>v1</t>
  </si>
  <si>
    <t>M1</t>
  </si>
  <si>
    <t>N2</t>
  </si>
  <si>
    <t>V2</t>
  </si>
  <si>
    <t>M2</t>
  </si>
  <si>
    <t>dx</t>
  </si>
  <si>
    <t>dy</t>
  </si>
  <si>
    <t>Glopal stiffness matrix</t>
  </si>
  <si>
    <t>Transformation matrix</t>
  </si>
  <si>
    <t>P_DELTA_Effect iteration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</si>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</sst>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7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3" applyNumberFormat="0" applyAlignment="0" applyProtection="0"/>
    <xf numFmtId="0" fontId="5" fillId="4" borderId="4" applyNumberFormat="0" applyAlignment="0" applyProtection="0"/>
    <xf numFmtId="0" fontId="1" fillId="5" borderId="5" applyNumberFormat="0" applyFont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</cellStyleXfs>
  <cellXfs count="40">
    <xf numFmtId="0" fontId="0" fillId="0" borderId="0" xfId="0"/>
    <xf numFmtId="11" fontId="3" fillId="2" borderId="2" xfId="2" applyNumberFormat="1"/>
    <xf numFmtId="11" fontId="0" fillId="0" borderId="0" xfId="0" applyNumberFormat="1"/>
    <xf numFmtId="2" fontId="0" fillId="0" borderId="0" xfId="0" applyNumberFormat="1"/>
    <xf numFmtId="0" fontId="1" fillId="9" borderId="6" xfId="8" applyBorder="1"/>
    <xf numFmtId="0" fontId="1" fillId="13" borderId="6" xfId="12" applyBorder="1" applyAlignment="1">
      <alignment horizontal="center" vertical="top"/>
    </xf>
    <xf numFmtId="0" fontId="1" fillId="17" borderId="6" xfId="16" applyBorder="1" applyAlignment="1">
      <alignment horizontal="center" vertical="top"/>
    </xf>
    <xf numFmtId="0" fontId="1" fillId="0" borderId="0" xfId="15" applyFill="1" applyBorder="1" applyAlignment="1">
      <alignment horizontal="center"/>
    </xf>
    <xf numFmtId="0" fontId="1" fillId="11" borderId="13" xfId="10" applyBorder="1" applyAlignment="1">
      <alignment horizontal="center" vertical="center" wrapText="1"/>
    </xf>
    <xf numFmtId="0" fontId="1" fillId="7" borderId="13" xfId="6" applyBorder="1" applyAlignment="1">
      <alignment horizontal="center" vertical="center" wrapText="1"/>
    </xf>
    <xf numFmtId="2" fontId="1" fillId="0" borderId="14" xfId="10" applyNumberFormat="1" applyFill="1" applyBorder="1"/>
    <xf numFmtId="2" fontId="0" fillId="0" borderId="14" xfId="5" applyNumberFormat="1" applyFont="1" applyFill="1" applyBorder="1"/>
    <xf numFmtId="2" fontId="4" fillId="0" borderId="14" xfId="3" applyNumberFormat="1" applyFill="1" applyBorder="1"/>
    <xf numFmtId="2" fontId="1" fillId="0" borderId="14" xfId="6" applyNumberFormat="1" applyFill="1" applyBorder="1" applyAlignment="1">
      <alignment horizontal="center"/>
    </xf>
    <xf numFmtId="2" fontId="1" fillId="0" borderId="14" xfId="13" applyNumberFormat="1" applyFill="1" applyBorder="1"/>
    <xf numFmtId="2" fontId="1" fillId="0" borderId="0" xfId="10" applyNumberFormat="1" applyFill="1" applyBorder="1"/>
    <xf numFmtId="2" fontId="0" fillId="0" borderId="0" xfId="5" applyNumberFormat="1" applyFont="1" applyFill="1" applyBorder="1"/>
    <xf numFmtId="2" fontId="4" fillId="0" borderId="0" xfId="3" applyNumberFormat="1" applyFill="1" applyBorder="1"/>
    <xf numFmtId="2" fontId="1" fillId="0" borderId="0" xfId="6" applyNumberFormat="1" applyFill="1" applyBorder="1" applyAlignment="1">
      <alignment horizontal="center"/>
    </xf>
    <xf numFmtId="2" fontId="1" fillId="0" borderId="0" xfId="13" applyNumberFormat="1" applyFill="1" applyBorder="1"/>
    <xf numFmtId="0" fontId="1" fillId="0" borderId="0" xfId="10" applyFill="1" applyBorder="1"/>
    <xf numFmtId="0" fontId="0" fillId="0" borderId="0" xfId="5" applyFont="1" applyFill="1" applyBorder="1"/>
    <xf numFmtId="0" fontId="4" fillId="0" borderId="0" xfId="3" applyFill="1" applyBorder="1"/>
    <xf numFmtId="0" fontId="1" fillId="0" borderId="0" xfId="6" applyFill="1" applyBorder="1" applyAlignment="1">
      <alignment horizontal="center"/>
    </xf>
    <xf numFmtId="0" fontId="1" fillId="0" borderId="0" xfId="13" applyFill="1" applyBorder="1"/>
    <xf numFmtId="0" fontId="3" fillId="2" borderId="2" xfId="2"/>
    <xf numFmtId="0" fontId="5" fillId="4" borderId="7" xfId="4" applyBorder="1" applyAlignment="1">
      <alignment horizontal="center" vertical="center" wrapText="1"/>
    </xf>
    <xf numFmtId="0" fontId="5" fillId="4" borderId="8" xfId="4" applyBorder="1" applyAlignment="1">
      <alignment horizontal="center" vertical="center" wrapText="1"/>
    </xf>
    <xf numFmtId="0" fontId="5" fillId="4" borderId="9" xfId="4" applyBorder="1" applyAlignment="1">
      <alignment horizontal="center" vertical="center" wrapText="1"/>
    </xf>
    <xf numFmtId="0" fontId="1" fillId="12" borderId="10" xfId="11" applyBorder="1" applyAlignment="1">
      <alignment horizontal="center" vertical="center" wrapText="1"/>
    </xf>
    <xf numFmtId="0" fontId="1" fillId="12" borderId="11" xfId="11" applyBorder="1" applyAlignment="1">
      <alignment horizontal="center" vertical="center" wrapText="1"/>
    </xf>
    <xf numFmtId="0" fontId="1" fillId="12" borderId="12" xfId="11" applyBorder="1" applyAlignment="1">
      <alignment horizontal="center" vertical="center" wrapText="1"/>
    </xf>
    <xf numFmtId="0" fontId="1" fillId="8" borderId="10" xfId="7" applyBorder="1" applyAlignment="1">
      <alignment horizontal="center" vertical="center" wrapText="1"/>
    </xf>
    <xf numFmtId="0" fontId="1" fillId="8" borderId="11" xfId="7" applyBorder="1" applyAlignment="1">
      <alignment horizontal="center" vertical="center" wrapText="1"/>
    </xf>
    <xf numFmtId="0" fontId="1" fillId="8" borderId="12" xfId="7" applyBorder="1" applyAlignment="1">
      <alignment horizontal="center" vertical="center" wrapText="1"/>
    </xf>
    <xf numFmtId="2" fontId="0" fillId="0" borderId="6" xfId="0" applyNumberFormat="1" applyBorder="1" applyAlignment="1">
      <alignment horizontal="center"/>
    </xf>
    <xf numFmtId="0" fontId="8" fillId="6" borderId="1" xfId="1" applyFont="1" applyFill="1" applyAlignment="1">
      <alignment horizontal="center"/>
    </xf>
    <xf numFmtId="0" fontId="6" fillId="10" borderId="6" xfId="9" applyBorder="1" applyAlignment="1">
      <alignment horizontal="center"/>
    </xf>
    <xf numFmtId="0" fontId="6" fillId="15" borderId="6" xfId="14" applyBorder="1" applyAlignment="1">
      <alignment horizontal="center" vertical="top"/>
    </xf>
    <xf numFmtId="0" fontId="0" fillId="0" borderId="0" xfId="0" applyAlignment="1">
      <alignment horizontal="center"/>
    </xf>
  </cellXfs>
  <cellStyles count="17">
    <cellStyle name="20% - Accent1" xfId="6" builtinId="30"/>
    <cellStyle name="20% - Accent2" xfId="10" builtinId="34"/>
    <cellStyle name="20% - Accent5" xfId="13" builtinId="46"/>
    <cellStyle name="40% - Accent1" xfId="7" builtinId="31"/>
    <cellStyle name="40% - Accent2" xfId="11" builtinId="35"/>
    <cellStyle name="40% - Accent6" xfId="15" builtinId="51"/>
    <cellStyle name="60% - Accent1" xfId="8" builtinId="32"/>
    <cellStyle name="60% - Accent2" xfId="12" builtinId="36"/>
    <cellStyle name="60% - Accent6" xfId="16" builtinId="52"/>
    <cellStyle name="Accent2" xfId="9" builtinId="33"/>
    <cellStyle name="Accent6" xfId="14" builtinId="49"/>
    <cellStyle name="Check Cell" xfId="4" builtinId="23"/>
    <cellStyle name="Heading 2" xfId="1" builtinId="17"/>
    <cellStyle name="Input" xfId="2" builtinId="20"/>
    <cellStyle name="Normal" xfId="0" builtinId="0"/>
    <cellStyle name="Note" xfId="5" builtinId="1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sway</a:t>
            </a:r>
            <a:r>
              <a:rPr lang="en-US" baseline="0"/>
              <a:t> </a:t>
            </a:r>
            <a:r>
              <a:rPr lang="en-US"/>
              <a:t>shape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150231852164111E-2"/>
          <c:y val="9.119634411891625E-2"/>
          <c:w val="0.93547585241421871"/>
          <c:h val="0.8524639884539531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1.1096083916650964E-5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2.4984668999999999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8-1770-48A3-94B3-E7D209514997}"/>
            </c:ext>
          </c:extLst>
        </c:ser>
        <c:ser>
          <c:idx val="1"/>
          <c:order val="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1.25</c:v>
              </c:pt>
              <c:pt idx="2">
                <c:v>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9-1770-48A3-94B3-E7D209514997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1.1096083916650964E-5</c:v>
              </c:pt>
              <c:pt idx="1">
                <c:v>4.3342668999939979E-5</c:v>
              </c:pt>
            </c:numLit>
          </c:xVal>
          <c:yVal>
            <c:numLit>
              <c:formatCode>General</c:formatCode>
              <c:ptCount val="2"/>
              <c:pt idx="0">
                <c:v>2.4984668999999999</c:v>
              </c:pt>
              <c:pt idx="1">
                <c:v>4.9969337999999999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A-1770-48A3-94B3-E7D209514997}"/>
            </c:ext>
          </c:extLst>
        </c:ser>
        <c:ser>
          <c:idx val="3"/>
          <c:order val="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2.5</c:v>
              </c:pt>
              <c:pt idx="1">
                <c:v>3.75</c:v>
              </c:pt>
              <c:pt idx="2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B-1770-48A3-94B3-E7D209514997}"/>
            </c:ext>
          </c:extLst>
        </c:ser>
        <c:ser>
          <c:idx val="4"/>
          <c:order val="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4.3342668999939979E-5</c:v>
              </c:pt>
              <c:pt idx="1">
                <c:v>9.5177255249871153E-5</c:v>
              </c:pt>
            </c:numLit>
          </c:xVal>
          <c:yVal>
            <c:numLit>
              <c:formatCode>General</c:formatCode>
              <c:ptCount val="2"/>
              <c:pt idx="0">
                <c:v>4.9969337999999999</c:v>
              </c:pt>
              <c:pt idx="1">
                <c:v>7.4954007000000002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C-1770-48A3-94B3-E7D209514997}"/>
            </c:ext>
          </c:extLst>
        </c:ser>
        <c:ser>
          <c:idx val="5"/>
          <c:order val="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5</c:v>
              </c:pt>
              <c:pt idx="1">
                <c:v>6.25</c:v>
              </c:pt>
              <c:pt idx="2">
                <c:v>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D-1770-48A3-94B3-E7D209514997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9.5177255249871153E-5</c:v>
              </c:pt>
              <c:pt idx="1">
                <c:v>1.6503734266644853E-4</c:v>
              </c:pt>
            </c:numLit>
          </c:xVal>
          <c:yVal>
            <c:numLit>
              <c:formatCode>General</c:formatCode>
              <c:ptCount val="2"/>
              <c:pt idx="0">
                <c:v>7.4954007000000002</c:v>
              </c:pt>
              <c:pt idx="1">
                <c:v>9.9938675999999997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E-1770-48A3-94B3-E7D209514997}"/>
            </c:ext>
          </c:extLst>
        </c:ser>
        <c:ser>
          <c:idx val="7"/>
          <c:order val="7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7.5</c:v>
              </c:pt>
              <c:pt idx="1">
                <c:v>8.75</c:v>
              </c:pt>
              <c:pt idx="2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F-1770-48A3-94B3-E7D209514997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1.6503734266644853E-4</c:v>
              </c:pt>
              <c:pt idx="1">
                <c:v>2.513604312496759E-4</c:v>
              </c:pt>
            </c:numLit>
          </c:xVal>
          <c:yVal>
            <c:numLit>
              <c:formatCode>General</c:formatCode>
              <c:ptCount val="2"/>
              <c:pt idx="0">
                <c:v>9.9938675999999997</c:v>
              </c:pt>
              <c:pt idx="1">
                <c:v>12.4923345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0-1770-48A3-94B3-E7D209514997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10</c:v>
              </c:pt>
              <c:pt idx="1">
                <c:v>11.25</c:v>
              </c:pt>
              <c:pt idx="2">
                <c:v>12.5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1-1770-48A3-94B3-E7D209514997}"/>
            </c:ext>
          </c:extLst>
        </c:ser>
        <c:ser>
          <c:idx val="10"/>
          <c:order val="1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2.513604312496759E-4</c:v>
              </c:pt>
              <c:pt idx="1">
                <c:v>3.5258402099955645E-4</c:v>
              </c:pt>
            </c:numLit>
          </c:xVal>
          <c:yVal>
            <c:numLit>
              <c:formatCode>General</c:formatCode>
              <c:ptCount val="2"/>
              <c:pt idx="0">
                <c:v>12.4923345</c:v>
              </c:pt>
              <c:pt idx="1">
                <c:v>14.9908014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2-1770-48A3-94B3-E7D209514997}"/>
            </c:ext>
          </c:extLst>
        </c:ser>
        <c:ser>
          <c:idx val="11"/>
          <c:order val="1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12.5</c:v>
              </c:pt>
              <c:pt idx="1">
                <c:v>13.75</c:v>
              </c:pt>
              <c:pt idx="2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3-1770-48A3-94B3-E7D209514997}"/>
            </c:ext>
          </c:extLst>
        </c:ser>
        <c:ser>
          <c:idx val="12"/>
          <c:order val="1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3.5258402099955645E-4</c:v>
              </c:pt>
              <c:pt idx="1">
                <c:v>4.6714561191609291E-4</c:v>
              </c:pt>
            </c:numLit>
          </c:xVal>
          <c:yVal>
            <c:numLit>
              <c:formatCode>General</c:formatCode>
              <c:ptCount val="2"/>
              <c:pt idx="0">
                <c:v>14.9908014</c:v>
              </c:pt>
              <c:pt idx="1">
                <c:v>17.489268299999999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4-1770-48A3-94B3-E7D209514997}"/>
            </c:ext>
          </c:extLst>
        </c:ser>
        <c:ser>
          <c:idx val="13"/>
          <c:order val="1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15</c:v>
              </c:pt>
              <c:pt idx="1">
                <c:v>16.25</c:v>
              </c:pt>
              <c:pt idx="2">
                <c:v>17.5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5-1770-48A3-94B3-E7D209514997}"/>
            </c:ext>
          </c:extLst>
        </c:ser>
        <c:ser>
          <c:idx val="14"/>
          <c:order val="1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4.6714561191609291E-4</c:v>
              </c:pt>
              <c:pt idx="1">
                <c:v>5.9348270399928703E-4</c:v>
              </c:pt>
            </c:numLit>
          </c:xVal>
          <c:yVal>
            <c:numLit>
              <c:formatCode>General</c:formatCode>
              <c:ptCount val="2"/>
              <c:pt idx="0">
                <c:v>17.489268299999999</c:v>
              </c:pt>
              <c:pt idx="1">
                <c:v>19.987735199999999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6-1770-48A3-94B3-E7D209514997}"/>
            </c:ext>
          </c:extLst>
        </c:ser>
        <c:ser>
          <c:idx val="15"/>
          <c:order val="1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17.5</c:v>
              </c:pt>
              <c:pt idx="1">
                <c:v>18.75</c:v>
              </c:pt>
              <c:pt idx="2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B7-1770-48A3-94B3-E7D209514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Normal</a:t>
            </a:r>
            <a:r>
              <a:rPr lang="en-US" baseline="0"/>
              <a:t> force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150253361911441E-2"/>
          <c:y val="7.1454475425383274E-2"/>
          <c:w val="0.93547585241421871"/>
          <c:h val="0.8524639884539531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6132.3999999999678</c:v>
              </c:pt>
              <c:pt idx="2">
                <c:v>6132.3999999999678</c:v>
              </c:pt>
              <c:pt idx="3">
                <c:v>6132.3999999999678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1.25</c:v>
              </c:pt>
              <c:pt idx="3">
                <c:v>2.5</c:v>
              </c:pt>
              <c:pt idx="4">
                <c:v>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0-3B64-46B7-8CC8-15EA36205985}"/>
            </c:ext>
          </c:extLst>
        </c:ser>
        <c:ser>
          <c:idx val="1"/>
          <c:order val="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1.25</c:v>
              </c:pt>
              <c:pt idx="2">
                <c:v>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1-3B64-46B7-8CC8-15EA36205985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6132.3999999999678</c:v>
              </c:pt>
              <c:pt idx="2">
                <c:v>6132.3999999999678</c:v>
              </c:pt>
              <c:pt idx="3">
                <c:v>6132.3999999999678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2.5</c:v>
              </c:pt>
              <c:pt idx="1">
                <c:v>2.5</c:v>
              </c:pt>
              <c:pt idx="2">
                <c:v>3.75</c:v>
              </c:pt>
              <c:pt idx="3">
                <c:v>5</c:v>
              </c:pt>
              <c:pt idx="4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2-3B64-46B7-8CC8-15EA36205985}"/>
            </c:ext>
          </c:extLst>
        </c:ser>
        <c:ser>
          <c:idx val="3"/>
          <c:order val="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2.5</c:v>
              </c:pt>
              <c:pt idx="1">
                <c:v>3.75</c:v>
              </c:pt>
              <c:pt idx="2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3-3B64-46B7-8CC8-15EA36205985}"/>
            </c:ext>
          </c:extLst>
        </c:ser>
        <c:ser>
          <c:idx val="4"/>
          <c:order val="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6132.3999999999669</c:v>
              </c:pt>
              <c:pt idx="2">
                <c:v>6132.3999999999669</c:v>
              </c:pt>
              <c:pt idx="3">
                <c:v>6132.3999999999669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5</c:v>
              </c:pt>
              <c:pt idx="1">
                <c:v>5</c:v>
              </c:pt>
              <c:pt idx="2">
                <c:v>6.25</c:v>
              </c:pt>
              <c:pt idx="3">
                <c:v>7.5</c:v>
              </c:pt>
              <c:pt idx="4">
                <c:v>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4-3B64-46B7-8CC8-15EA36205985}"/>
            </c:ext>
          </c:extLst>
        </c:ser>
        <c:ser>
          <c:idx val="5"/>
          <c:order val="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5</c:v>
              </c:pt>
              <c:pt idx="1">
                <c:v>6.25</c:v>
              </c:pt>
              <c:pt idx="2">
                <c:v>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5-3B64-46B7-8CC8-15EA36205985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6132.3999999999687</c:v>
              </c:pt>
              <c:pt idx="2">
                <c:v>6132.3999999999687</c:v>
              </c:pt>
              <c:pt idx="3">
                <c:v>6132.3999999999687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7.5</c:v>
              </c:pt>
              <c:pt idx="1">
                <c:v>7.5</c:v>
              </c:pt>
              <c:pt idx="2">
                <c:v>8.75</c:v>
              </c:pt>
              <c:pt idx="3">
                <c:v>10</c:v>
              </c:pt>
              <c:pt idx="4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6-3B64-46B7-8CC8-15EA36205985}"/>
            </c:ext>
          </c:extLst>
        </c:ser>
        <c:ser>
          <c:idx val="7"/>
          <c:order val="7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7.5</c:v>
              </c:pt>
              <c:pt idx="1">
                <c:v>8.75</c:v>
              </c:pt>
              <c:pt idx="2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7-3B64-46B7-8CC8-15EA36205985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6132.3999999999687</c:v>
              </c:pt>
              <c:pt idx="2">
                <c:v>6132.3999999999687</c:v>
              </c:pt>
              <c:pt idx="3">
                <c:v>6132.3999999999687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11.25</c:v>
              </c:pt>
              <c:pt idx="3">
                <c:v>12.5</c:v>
              </c:pt>
              <c:pt idx="4">
                <c:v>12.5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8-3B64-46B7-8CC8-15EA36205985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10</c:v>
              </c:pt>
              <c:pt idx="1">
                <c:v>11.25</c:v>
              </c:pt>
              <c:pt idx="2">
                <c:v>12.5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9-3B64-46B7-8CC8-15EA36205985}"/>
            </c:ext>
          </c:extLst>
        </c:ser>
        <c:ser>
          <c:idx val="10"/>
          <c:order val="1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6132.3999999999714</c:v>
              </c:pt>
              <c:pt idx="2">
                <c:v>6132.3999999999714</c:v>
              </c:pt>
              <c:pt idx="3">
                <c:v>6132.3999999999714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12.5</c:v>
              </c:pt>
              <c:pt idx="1">
                <c:v>12.5</c:v>
              </c:pt>
              <c:pt idx="2">
                <c:v>13.75</c:v>
              </c:pt>
              <c:pt idx="3">
                <c:v>15</c:v>
              </c:pt>
              <c:pt idx="4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A-3B64-46B7-8CC8-15EA36205985}"/>
            </c:ext>
          </c:extLst>
        </c:ser>
        <c:ser>
          <c:idx val="11"/>
          <c:order val="1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12.5</c:v>
              </c:pt>
              <c:pt idx="1">
                <c:v>13.75</c:v>
              </c:pt>
              <c:pt idx="2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B-3B64-46B7-8CC8-15EA36205985}"/>
            </c:ext>
          </c:extLst>
        </c:ser>
        <c:ser>
          <c:idx val="12"/>
          <c:order val="1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6132.3999999999833</c:v>
              </c:pt>
              <c:pt idx="2">
                <c:v>6132.3999999999833</c:v>
              </c:pt>
              <c:pt idx="3">
                <c:v>6132.3999999999833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15</c:v>
              </c:pt>
              <c:pt idx="1">
                <c:v>15</c:v>
              </c:pt>
              <c:pt idx="2">
                <c:v>16.25</c:v>
              </c:pt>
              <c:pt idx="3">
                <c:v>17.5</c:v>
              </c:pt>
              <c:pt idx="4">
                <c:v>17.5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C-3B64-46B7-8CC8-15EA36205985}"/>
            </c:ext>
          </c:extLst>
        </c:ser>
        <c:ser>
          <c:idx val="13"/>
          <c:order val="1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15</c:v>
              </c:pt>
              <c:pt idx="1">
                <c:v>16.25</c:v>
              </c:pt>
              <c:pt idx="2">
                <c:v>17.5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D-3B64-46B7-8CC8-15EA36205985}"/>
            </c:ext>
          </c:extLst>
        </c:ser>
        <c:ser>
          <c:idx val="14"/>
          <c:order val="1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6132.4000000000005</c:v>
              </c:pt>
              <c:pt idx="2">
                <c:v>6132.4000000000005</c:v>
              </c:pt>
              <c:pt idx="3">
                <c:v>6132.4000000000005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17.5</c:v>
              </c:pt>
              <c:pt idx="1">
                <c:v>17.5</c:v>
              </c:pt>
              <c:pt idx="2">
                <c:v>18.75</c:v>
              </c:pt>
              <c:pt idx="3">
                <c:v>20</c:v>
              </c:pt>
              <c:pt idx="4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E-3B64-46B7-8CC8-15EA36205985}"/>
            </c:ext>
          </c:extLst>
        </c:ser>
        <c:ser>
          <c:idx val="15"/>
          <c:order val="1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17.5</c:v>
              </c:pt>
              <c:pt idx="1">
                <c:v>18.75</c:v>
              </c:pt>
              <c:pt idx="2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F-3B64-46B7-8CC8-15EA36205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Shear</a:t>
            </a:r>
            <a:r>
              <a:rPr lang="en-US" baseline="0"/>
              <a:t> Force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666368944882593E-2"/>
          <c:y val="7.1454545588329435E-2"/>
          <c:w val="0.93547585241421871"/>
          <c:h val="0.8524639884539531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-9.9999999999732747E-2</c:v>
              </c:pt>
              <c:pt idx="2">
                <c:v>-9.9999999999732747E-2</c:v>
              </c:pt>
              <c:pt idx="3">
                <c:v>-9.9999999999732747E-2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1.25</c:v>
              </c:pt>
              <c:pt idx="3">
                <c:v>2.5</c:v>
              </c:pt>
              <c:pt idx="4">
                <c:v>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0-A95A-4644-BEAC-325CF25644E8}"/>
            </c:ext>
          </c:extLst>
        </c:ser>
        <c:ser>
          <c:idx val="1"/>
          <c:order val="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1.25</c:v>
              </c:pt>
              <c:pt idx="2">
                <c:v>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1-A95A-4644-BEAC-325CF25644E8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-9.999999999973852E-2</c:v>
              </c:pt>
              <c:pt idx="2">
                <c:v>-9.999999999973852E-2</c:v>
              </c:pt>
              <c:pt idx="3">
                <c:v>-9.999999999973852E-2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2.5</c:v>
              </c:pt>
              <c:pt idx="1">
                <c:v>2.5</c:v>
              </c:pt>
              <c:pt idx="2">
                <c:v>3.75</c:v>
              </c:pt>
              <c:pt idx="3">
                <c:v>5</c:v>
              </c:pt>
              <c:pt idx="4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2-A95A-4644-BEAC-325CF25644E8}"/>
            </c:ext>
          </c:extLst>
        </c:ser>
        <c:ser>
          <c:idx val="3"/>
          <c:order val="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2.5</c:v>
              </c:pt>
              <c:pt idx="1">
                <c:v>3.75</c:v>
              </c:pt>
              <c:pt idx="2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3-A95A-4644-BEAC-325CF25644E8}"/>
            </c:ext>
          </c:extLst>
        </c:ser>
        <c:ser>
          <c:idx val="4"/>
          <c:order val="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-9.999999999974421E-2</c:v>
              </c:pt>
              <c:pt idx="2">
                <c:v>-9.999999999974421E-2</c:v>
              </c:pt>
              <c:pt idx="3">
                <c:v>-9.999999999974421E-2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5</c:v>
              </c:pt>
              <c:pt idx="1">
                <c:v>5</c:v>
              </c:pt>
              <c:pt idx="2">
                <c:v>6.25</c:v>
              </c:pt>
              <c:pt idx="3">
                <c:v>7.5</c:v>
              </c:pt>
              <c:pt idx="4">
                <c:v>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4-A95A-4644-BEAC-325CF25644E8}"/>
            </c:ext>
          </c:extLst>
        </c:ser>
        <c:ser>
          <c:idx val="5"/>
          <c:order val="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5</c:v>
              </c:pt>
              <c:pt idx="1">
                <c:v>6.25</c:v>
              </c:pt>
              <c:pt idx="2">
                <c:v>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5-A95A-4644-BEAC-325CF25644E8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-9.9999999999761266E-2</c:v>
              </c:pt>
              <c:pt idx="2">
                <c:v>-9.9999999999761266E-2</c:v>
              </c:pt>
              <c:pt idx="3">
                <c:v>-9.9999999999761266E-2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7.5</c:v>
              </c:pt>
              <c:pt idx="1">
                <c:v>7.5</c:v>
              </c:pt>
              <c:pt idx="2">
                <c:v>8.75</c:v>
              </c:pt>
              <c:pt idx="3">
                <c:v>10</c:v>
              </c:pt>
              <c:pt idx="4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6-A95A-4644-BEAC-325CF25644E8}"/>
            </c:ext>
          </c:extLst>
        </c:ser>
        <c:ser>
          <c:idx val="7"/>
          <c:order val="7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7.5</c:v>
              </c:pt>
              <c:pt idx="1">
                <c:v>8.75</c:v>
              </c:pt>
              <c:pt idx="2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7-A95A-4644-BEAC-325CF25644E8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-9.9999999999795364E-2</c:v>
              </c:pt>
              <c:pt idx="2">
                <c:v>-9.9999999999795364E-2</c:v>
              </c:pt>
              <c:pt idx="3">
                <c:v>-9.9999999999795364E-2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11.25</c:v>
              </c:pt>
              <c:pt idx="3">
                <c:v>12.5</c:v>
              </c:pt>
              <c:pt idx="4">
                <c:v>12.5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8-A95A-4644-BEAC-325CF25644E8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10</c:v>
              </c:pt>
              <c:pt idx="1">
                <c:v>11.25</c:v>
              </c:pt>
              <c:pt idx="2">
                <c:v>12.5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9-A95A-4644-BEAC-325CF25644E8}"/>
            </c:ext>
          </c:extLst>
        </c:ser>
        <c:ser>
          <c:idx val="10"/>
          <c:order val="1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-9.9999999999818109E-2</c:v>
              </c:pt>
              <c:pt idx="2">
                <c:v>-9.9999999999818109E-2</c:v>
              </c:pt>
              <c:pt idx="3">
                <c:v>-9.9999999999818109E-2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12.5</c:v>
              </c:pt>
              <c:pt idx="1">
                <c:v>12.5</c:v>
              </c:pt>
              <c:pt idx="2">
                <c:v>13.75</c:v>
              </c:pt>
              <c:pt idx="3">
                <c:v>15</c:v>
              </c:pt>
              <c:pt idx="4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A-A95A-4644-BEAC-325CF25644E8}"/>
            </c:ext>
          </c:extLst>
        </c:ser>
        <c:ser>
          <c:idx val="11"/>
          <c:order val="11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12.5</c:v>
              </c:pt>
              <c:pt idx="1">
                <c:v>13.75</c:v>
              </c:pt>
              <c:pt idx="2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B-A95A-4644-BEAC-325CF25644E8}"/>
            </c:ext>
          </c:extLst>
        </c:ser>
        <c:ser>
          <c:idx val="12"/>
          <c:order val="1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-9.9999999999909051E-2</c:v>
              </c:pt>
              <c:pt idx="2">
                <c:v>-9.9999999999909051E-2</c:v>
              </c:pt>
              <c:pt idx="3">
                <c:v>-9.9999999999909051E-2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15</c:v>
              </c:pt>
              <c:pt idx="1">
                <c:v>15</c:v>
              </c:pt>
              <c:pt idx="2">
                <c:v>16.25</c:v>
              </c:pt>
              <c:pt idx="3">
                <c:v>17.5</c:v>
              </c:pt>
              <c:pt idx="4">
                <c:v>17.5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C-A95A-4644-BEAC-325CF25644E8}"/>
            </c:ext>
          </c:extLst>
        </c:ser>
        <c:ser>
          <c:idx val="13"/>
          <c:order val="13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15</c:v>
              </c:pt>
              <c:pt idx="1">
                <c:v>16.25</c:v>
              </c:pt>
              <c:pt idx="2">
                <c:v>17.5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D-A95A-4644-BEAC-325CF25644E8}"/>
            </c:ext>
          </c:extLst>
        </c:ser>
        <c:ser>
          <c:idx val="14"/>
          <c:order val="14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-9.9999999999954528E-2</c:v>
              </c:pt>
              <c:pt idx="2">
                <c:v>-9.9999999999954528E-2</c:v>
              </c:pt>
              <c:pt idx="3">
                <c:v>-9.9999999999954528E-2</c:v>
              </c:pt>
              <c:pt idx="4">
                <c:v>0</c:v>
              </c:pt>
            </c:numLit>
          </c:xVal>
          <c:yVal>
            <c:numLit>
              <c:formatCode>General</c:formatCode>
              <c:ptCount val="5"/>
              <c:pt idx="0">
                <c:v>17.5</c:v>
              </c:pt>
              <c:pt idx="1">
                <c:v>17.5</c:v>
              </c:pt>
              <c:pt idx="2">
                <c:v>18.75</c:v>
              </c:pt>
              <c:pt idx="3">
                <c:v>20</c:v>
              </c:pt>
              <c:pt idx="4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E-A95A-4644-BEAC-325CF25644E8}"/>
            </c:ext>
          </c:extLst>
        </c:ser>
        <c:ser>
          <c:idx val="15"/>
          <c:order val="15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17.5</c:v>
              </c:pt>
              <c:pt idx="1">
                <c:v>18.75</c:v>
              </c:pt>
              <c:pt idx="2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F-A95A-4644-BEAC-325CF2564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Bending Momment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44911651142501E-2"/>
          <c:y val="9.1525403493449578E-2"/>
          <c:w val="0.93547585241421871"/>
          <c:h val="0.8233057201167346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-36.340801866614193</c:v>
              </c:pt>
              <c:pt idx="1">
                <c:v>-35.090801866617532</c:v>
              </c:pt>
              <c:pt idx="2">
                <c:v>-33.840801866620872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1.25</c:v>
              </c:pt>
              <c:pt idx="2">
                <c:v>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0-AAEF-4F68-B861-D47567A438A3}"/>
            </c:ext>
          </c:extLst>
        </c:ser>
        <c:ser>
          <c:idx val="1"/>
          <c:order val="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-36.340801866614193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1-AAEF-4F68-B861-D47567A438A3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-35.090801866617532</c:v>
              </c:pt>
            </c:numLit>
          </c:xVal>
          <c:yVal>
            <c:numLit>
              <c:formatCode>General</c:formatCode>
              <c:ptCount val="2"/>
              <c:pt idx="0">
                <c:v>1.25</c:v>
              </c:pt>
              <c:pt idx="1">
                <c:v>1.25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2-AAEF-4F68-B861-D47567A438A3}"/>
            </c:ext>
          </c:extLst>
        </c:ser>
        <c:ser>
          <c:idx val="3"/>
          <c:order val="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-33.840801866620872</c:v>
              </c:pt>
            </c:numLit>
          </c:xVal>
          <c:yVal>
            <c:numLit>
              <c:formatCode>General</c:formatCode>
              <c:ptCount val="2"/>
              <c:pt idx="0">
                <c:v>2.5</c:v>
              </c:pt>
              <c:pt idx="1">
                <c:v>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3-AAEF-4F68-B861-D47567A438A3}"/>
            </c:ext>
          </c:extLst>
        </c:ser>
        <c:ser>
          <c:idx val="4"/>
          <c:order val="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1.25</c:v>
              </c:pt>
              <c:pt idx="2">
                <c:v>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4-AAEF-4F68-B861-D47567A438A3}"/>
            </c:ext>
          </c:extLst>
        </c:ser>
        <c:ser>
          <c:idx val="5"/>
          <c:order val="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-33.84080186662095</c:v>
              </c:pt>
              <c:pt idx="1">
                <c:v>-32.590801866624219</c:v>
              </c:pt>
              <c:pt idx="2">
                <c:v>-31.340801866627487</c:v>
              </c:pt>
            </c:numLit>
          </c:xVal>
          <c:yVal>
            <c:numLit>
              <c:formatCode>General</c:formatCode>
              <c:ptCount val="3"/>
              <c:pt idx="0">
                <c:v>2.5</c:v>
              </c:pt>
              <c:pt idx="1">
                <c:v>3.75</c:v>
              </c:pt>
              <c:pt idx="2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5-AAEF-4F68-B861-D47567A438A3}"/>
            </c:ext>
          </c:extLst>
        </c:ser>
        <c:ser>
          <c:idx val="6"/>
          <c:order val="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-33.84080186662095</c:v>
              </c:pt>
            </c:numLit>
          </c:xVal>
          <c:yVal>
            <c:numLit>
              <c:formatCode>General</c:formatCode>
              <c:ptCount val="2"/>
              <c:pt idx="0">
                <c:v>2.5</c:v>
              </c:pt>
              <c:pt idx="1">
                <c:v>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6-AAEF-4F68-B861-D47567A438A3}"/>
            </c:ext>
          </c:extLst>
        </c:ser>
        <c:ser>
          <c:idx val="7"/>
          <c:order val="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-32.590801866624219</c:v>
              </c:pt>
            </c:numLit>
          </c:xVal>
          <c:yVal>
            <c:numLit>
              <c:formatCode>General</c:formatCode>
              <c:ptCount val="2"/>
              <c:pt idx="0">
                <c:v>3.75</c:v>
              </c:pt>
              <c:pt idx="1">
                <c:v>3.75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7-AAEF-4F68-B861-D47567A438A3}"/>
            </c:ext>
          </c:extLst>
        </c:ser>
        <c:ser>
          <c:idx val="8"/>
          <c:order val="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-31.340801866627487</c:v>
              </c:pt>
            </c:numLit>
          </c:xVal>
          <c:yVal>
            <c:numLit>
              <c:formatCode>General</c:formatCode>
              <c:ptCount val="2"/>
              <c:pt idx="0">
                <c:v>5</c:v>
              </c:pt>
              <c:pt idx="1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8-AAEF-4F68-B861-D47567A438A3}"/>
            </c:ext>
          </c:extLst>
        </c:ser>
        <c:ser>
          <c:idx val="9"/>
          <c:order val="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2.5</c:v>
              </c:pt>
              <c:pt idx="1">
                <c:v>3.75</c:v>
              </c:pt>
              <c:pt idx="2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9-AAEF-4F68-B861-D47567A438A3}"/>
            </c:ext>
          </c:extLst>
        </c:ser>
        <c:ser>
          <c:idx val="10"/>
          <c:order val="1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-31.34080186662743</c:v>
              </c:pt>
              <c:pt idx="1">
                <c:v>-30.09080186663067</c:v>
              </c:pt>
              <c:pt idx="2">
                <c:v>-28.84080186663391</c:v>
              </c:pt>
            </c:numLit>
          </c:xVal>
          <c:yVal>
            <c:numLit>
              <c:formatCode>General</c:formatCode>
              <c:ptCount val="3"/>
              <c:pt idx="0">
                <c:v>5</c:v>
              </c:pt>
              <c:pt idx="1">
                <c:v>6.25</c:v>
              </c:pt>
              <c:pt idx="2">
                <c:v>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A-AAEF-4F68-B861-D47567A438A3}"/>
            </c:ext>
          </c:extLst>
        </c:ser>
        <c:ser>
          <c:idx val="11"/>
          <c:order val="1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-31.34080186662743</c:v>
              </c:pt>
            </c:numLit>
          </c:xVal>
          <c:yVal>
            <c:numLit>
              <c:formatCode>General</c:formatCode>
              <c:ptCount val="2"/>
              <c:pt idx="0">
                <c:v>5</c:v>
              </c:pt>
              <c:pt idx="1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B-AAEF-4F68-B861-D47567A438A3}"/>
            </c:ext>
          </c:extLst>
        </c:ser>
        <c:ser>
          <c:idx val="12"/>
          <c:order val="1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-30.09080186663067</c:v>
              </c:pt>
            </c:numLit>
          </c:xVal>
          <c:yVal>
            <c:numLit>
              <c:formatCode>General</c:formatCode>
              <c:ptCount val="2"/>
              <c:pt idx="0">
                <c:v>6.25</c:v>
              </c:pt>
              <c:pt idx="1">
                <c:v>6.25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C-AAEF-4F68-B861-D47567A438A3}"/>
            </c:ext>
          </c:extLst>
        </c:ser>
        <c:ser>
          <c:idx val="13"/>
          <c:order val="1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-28.84080186663391</c:v>
              </c:pt>
            </c:numLit>
          </c:xVal>
          <c:yVal>
            <c:numLit>
              <c:formatCode>General</c:formatCode>
              <c:ptCount val="2"/>
              <c:pt idx="0">
                <c:v>7.5</c:v>
              </c:pt>
              <c:pt idx="1">
                <c:v>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D-AAEF-4F68-B861-D47567A438A3}"/>
            </c:ext>
          </c:extLst>
        </c:ser>
        <c:ser>
          <c:idx val="14"/>
          <c:order val="1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5</c:v>
              </c:pt>
              <c:pt idx="1">
                <c:v>6.25</c:v>
              </c:pt>
              <c:pt idx="2">
                <c:v>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E-AAEF-4F68-B861-D47567A438A3}"/>
            </c:ext>
          </c:extLst>
        </c:ser>
        <c:ser>
          <c:idx val="15"/>
          <c:order val="1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-28.840801866634138</c:v>
              </c:pt>
              <c:pt idx="1">
                <c:v>-27.590801866637207</c:v>
              </c:pt>
              <c:pt idx="2">
                <c:v>-26.340801866640277</c:v>
              </c:pt>
            </c:numLit>
          </c:xVal>
          <c:yVal>
            <c:numLit>
              <c:formatCode>General</c:formatCode>
              <c:ptCount val="3"/>
              <c:pt idx="0">
                <c:v>7.5</c:v>
              </c:pt>
              <c:pt idx="1">
                <c:v>8.75</c:v>
              </c:pt>
              <c:pt idx="2">
                <c:v>10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9F-AAEF-4F68-B861-D47567A438A3}"/>
            </c:ext>
          </c:extLst>
        </c:ser>
        <c:ser>
          <c:idx val="16"/>
          <c:order val="1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-28.840801866634138</c:v>
              </c:pt>
            </c:numLit>
          </c:xVal>
          <c:yVal>
            <c:numLit>
              <c:formatCode>General</c:formatCode>
              <c:ptCount val="2"/>
              <c:pt idx="0">
                <c:v>7.5</c:v>
              </c:pt>
              <c:pt idx="1">
                <c:v>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0-AAEF-4F68-B861-D47567A438A3}"/>
            </c:ext>
          </c:extLst>
        </c:ser>
        <c:ser>
          <c:idx val="17"/>
          <c:order val="1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-27.590801866637207</c:v>
              </c:pt>
            </c:numLit>
          </c:xVal>
          <c:yVal>
            <c:numLit>
              <c:formatCode>General</c:formatCode>
              <c:ptCount val="2"/>
              <c:pt idx="0">
                <c:v>8.75</c:v>
              </c:pt>
              <c:pt idx="1">
                <c:v>8.75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1-AAEF-4F68-B861-D47567A438A3}"/>
            </c:ext>
          </c:extLst>
        </c:ser>
        <c:ser>
          <c:idx val="18"/>
          <c:order val="1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-26.340801866640277</c:v>
              </c:pt>
            </c:numLit>
          </c:xVal>
          <c:y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2-AAEF-4F68-B861-D47567A438A3}"/>
            </c:ext>
          </c:extLst>
        </c:ser>
        <c:ser>
          <c:idx val="19"/>
          <c:order val="1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7.5</c:v>
              </c:pt>
              <c:pt idx="1">
                <c:v>8.75</c:v>
              </c:pt>
              <c:pt idx="2">
                <c:v>10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3-AAEF-4F68-B861-D47567A438A3}"/>
            </c:ext>
          </c:extLst>
        </c:ser>
        <c:ser>
          <c:idx val="20"/>
          <c:order val="2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-26.340801866640049</c:v>
              </c:pt>
              <c:pt idx="1">
                <c:v>-25.090801866642551</c:v>
              </c:pt>
              <c:pt idx="2">
                <c:v>-23.840801866645052</c:v>
              </c:pt>
            </c:numLit>
          </c:xVal>
          <c:yVal>
            <c:numLit>
              <c:formatCode>General</c:formatCode>
              <c:ptCount val="3"/>
              <c:pt idx="0">
                <c:v>10</c:v>
              </c:pt>
              <c:pt idx="1">
                <c:v>11.25</c:v>
              </c:pt>
              <c:pt idx="2">
                <c:v>12.5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4-AAEF-4F68-B861-D47567A438A3}"/>
            </c:ext>
          </c:extLst>
        </c:ser>
        <c:ser>
          <c:idx val="21"/>
          <c:order val="2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-26.340801866640049</c:v>
              </c:pt>
            </c:numLit>
          </c:xVal>
          <c:y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5-AAEF-4F68-B861-D47567A438A3}"/>
            </c:ext>
          </c:extLst>
        </c:ser>
        <c:ser>
          <c:idx val="22"/>
          <c:order val="2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-25.090801866642551</c:v>
              </c:pt>
            </c:numLit>
          </c:xVal>
          <c:yVal>
            <c:numLit>
              <c:formatCode>General</c:formatCode>
              <c:ptCount val="2"/>
              <c:pt idx="0">
                <c:v>11.25</c:v>
              </c:pt>
              <c:pt idx="1">
                <c:v>11.25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6-AAEF-4F68-B861-D47567A438A3}"/>
            </c:ext>
          </c:extLst>
        </c:ser>
        <c:ser>
          <c:idx val="23"/>
          <c:order val="2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-23.840801866645052</c:v>
              </c:pt>
            </c:numLit>
          </c:xVal>
          <c:yVal>
            <c:numLit>
              <c:formatCode>General</c:formatCode>
              <c:ptCount val="2"/>
              <c:pt idx="0">
                <c:v>12.5</c:v>
              </c:pt>
              <c:pt idx="1">
                <c:v>12.5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7-AAEF-4F68-B861-D47567A438A3}"/>
            </c:ext>
          </c:extLst>
        </c:ser>
        <c:ser>
          <c:idx val="24"/>
          <c:order val="2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10</c:v>
              </c:pt>
              <c:pt idx="1">
                <c:v>11.25</c:v>
              </c:pt>
              <c:pt idx="2">
                <c:v>12.5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8-AAEF-4F68-B861-D47567A438A3}"/>
            </c:ext>
          </c:extLst>
        </c:ser>
        <c:ser>
          <c:idx val="25"/>
          <c:order val="2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-23.840801866645052</c:v>
              </c:pt>
              <c:pt idx="1">
                <c:v>-22.590801866647325</c:v>
              </c:pt>
              <c:pt idx="2">
                <c:v>-21.340801866649599</c:v>
              </c:pt>
            </c:numLit>
          </c:xVal>
          <c:yVal>
            <c:numLit>
              <c:formatCode>General</c:formatCode>
              <c:ptCount val="3"/>
              <c:pt idx="0">
                <c:v>12.5</c:v>
              </c:pt>
              <c:pt idx="1">
                <c:v>13.75</c:v>
              </c:pt>
              <c:pt idx="2">
                <c:v>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9-AAEF-4F68-B861-D47567A438A3}"/>
            </c:ext>
          </c:extLst>
        </c:ser>
        <c:ser>
          <c:idx val="26"/>
          <c:order val="2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-23.840801866645052</c:v>
              </c:pt>
            </c:numLit>
          </c:xVal>
          <c:yVal>
            <c:numLit>
              <c:formatCode>General</c:formatCode>
              <c:ptCount val="2"/>
              <c:pt idx="0">
                <c:v>12.5</c:v>
              </c:pt>
              <c:pt idx="1">
                <c:v>12.5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A-AAEF-4F68-B861-D47567A438A3}"/>
            </c:ext>
          </c:extLst>
        </c:ser>
        <c:ser>
          <c:idx val="27"/>
          <c:order val="2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-22.590801866647325</c:v>
              </c:pt>
            </c:numLit>
          </c:xVal>
          <c:yVal>
            <c:numLit>
              <c:formatCode>General</c:formatCode>
              <c:ptCount val="2"/>
              <c:pt idx="0">
                <c:v>13.75</c:v>
              </c:pt>
              <c:pt idx="1">
                <c:v>13.75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B-AAEF-4F68-B861-D47567A438A3}"/>
            </c:ext>
          </c:extLst>
        </c:ser>
        <c:ser>
          <c:idx val="28"/>
          <c:order val="2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-21.340801866649599</c:v>
              </c:pt>
            </c:numLit>
          </c:xVal>
          <c:yVal>
            <c:numLit>
              <c:formatCode>General</c:formatCode>
              <c:ptCount val="2"/>
              <c:pt idx="0">
                <c:v>15</c:v>
              </c:pt>
              <c:pt idx="1">
                <c:v>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C-AAEF-4F68-B861-D47567A438A3}"/>
            </c:ext>
          </c:extLst>
        </c:ser>
        <c:ser>
          <c:idx val="29"/>
          <c:order val="2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12.5</c:v>
              </c:pt>
              <c:pt idx="1">
                <c:v>13.75</c:v>
              </c:pt>
              <c:pt idx="2">
                <c:v>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D-AAEF-4F68-B861-D47567A438A3}"/>
            </c:ext>
          </c:extLst>
        </c:ser>
        <c:ser>
          <c:idx val="30"/>
          <c:order val="3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-21.340801866649599</c:v>
              </c:pt>
              <c:pt idx="1">
                <c:v>-20.090801866651191</c:v>
              </c:pt>
              <c:pt idx="2">
                <c:v>-18.840801866652782</c:v>
              </c:pt>
            </c:numLit>
          </c:xVal>
          <c:yVal>
            <c:numLit>
              <c:formatCode>General</c:formatCode>
              <c:ptCount val="3"/>
              <c:pt idx="0">
                <c:v>15</c:v>
              </c:pt>
              <c:pt idx="1">
                <c:v>16.25</c:v>
              </c:pt>
              <c:pt idx="2">
                <c:v>17.5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E-AAEF-4F68-B861-D47567A438A3}"/>
            </c:ext>
          </c:extLst>
        </c:ser>
        <c:ser>
          <c:idx val="31"/>
          <c:order val="3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-21.340801866649599</c:v>
              </c:pt>
            </c:numLit>
          </c:xVal>
          <c:yVal>
            <c:numLit>
              <c:formatCode>General</c:formatCode>
              <c:ptCount val="2"/>
              <c:pt idx="0">
                <c:v>15</c:v>
              </c:pt>
              <c:pt idx="1">
                <c:v>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AF-AAEF-4F68-B861-D47567A438A3}"/>
            </c:ext>
          </c:extLst>
        </c:ser>
        <c:ser>
          <c:idx val="32"/>
          <c:order val="32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-20.090801866651191</c:v>
              </c:pt>
            </c:numLit>
          </c:xVal>
          <c:yVal>
            <c:numLit>
              <c:formatCode>General</c:formatCode>
              <c:ptCount val="2"/>
              <c:pt idx="0">
                <c:v>16.25</c:v>
              </c:pt>
              <c:pt idx="1">
                <c:v>16.25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0-AAEF-4F68-B861-D47567A438A3}"/>
            </c:ext>
          </c:extLst>
        </c:ser>
        <c:ser>
          <c:idx val="33"/>
          <c:order val="33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-18.840801866652782</c:v>
              </c:pt>
            </c:numLit>
          </c:xVal>
          <c:yVal>
            <c:numLit>
              <c:formatCode>General</c:formatCode>
              <c:ptCount val="2"/>
              <c:pt idx="0">
                <c:v>17.5</c:v>
              </c:pt>
              <c:pt idx="1">
                <c:v>17.5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1-AAEF-4F68-B861-D47567A438A3}"/>
            </c:ext>
          </c:extLst>
        </c:ser>
        <c:ser>
          <c:idx val="34"/>
          <c:order val="34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15</c:v>
              </c:pt>
              <c:pt idx="1">
                <c:v>16.25</c:v>
              </c:pt>
              <c:pt idx="2">
                <c:v>17.5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2-AAEF-4F68-B861-D47567A438A3}"/>
            </c:ext>
          </c:extLst>
        </c:ser>
        <c:ser>
          <c:idx val="35"/>
          <c:order val="35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-18.840801866652328</c:v>
              </c:pt>
              <c:pt idx="1">
                <c:v>-17.590801866652782</c:v>
              </c:pt>
              <c:pt idx="2">
                <c:v>-16.340801866653237</c:v>
              </c:pt>
            </c:numLit>
          </c:xVal>
          <c:yVal>
            <c:numLit>
              <c:formatCode>General</c:formatCode>
              <c:ptCount val="3"/>
              <c:pt idx="0">
                <c:v>17.5</c:v>
              </c:pt>
              <c:pt idx="1">
                <c:v>18.75</c:v>
              </c:pt>
              <c:pt idx="2">
                <c:v>20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3-AAEF-4F68-B861-D47567A438A3}"/>
            </c:ext>
          </c:extLst>
        </c:ser>
        <c:ser>
          <c:idx val="36"/>
          <c:order val="36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-18.840801866652328</c:v>
              </c:pt>
            </c:numLit>
          </c:xVal>
          <c:yVal>
            <c:numLit>
              <c:formatCode>General</c:formatCode>
              <c:ptCount val="2"/>
              <c:pt idx="0">
                <c:v>17.5</c:v>
              </c:pt>
              <c:pt idx="1">
                <c:v>17.5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4-AAEF-4F68-B861-D47567A438A3}"/>
            </c:ext>
          </c:extLst>
        </c:ser>
        <c:ser>
          <c:idx val="37"/>
          <c:order val="37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-17.590801866652782</c:v>
              </c:pt>
            </c:numLit>
          </c:xVal>
          <c:yVal>
            <c:numLit>
              <c:formatCode>General</c:formatCode>
              <c:ptCount val="2"/>
              <c:pt idx="0">
                <c:v>18.75</c:v>
              </c:pt>
              <c:pt idx="1">
                <c:v>18.75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5-AAEF-4F68-B861-D47567A438A3}"/>
            </c:ext>
          </c:extLst>
        </c:ser>
        <c:ser>
          <c:idx val="38"/>
          <c:order val="38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-16.340801866653237</c:v>
              </c:pt>
            </c:numLit>
          </c:xVal>
          <c:yVal>
            <c:numLit>
              <c:formatCode>General</c:formatCode>
              <c:ptCount val="2"/>
              <c:pt idx="0">
                <c:v>20</c:v>
              </c:pt>
              <c:pt idx="1">
                <c:v>20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6-AAEF-4F68-B861-D47567A438A3}"/>
            </c:ext>
          </c:extLst>
        </c:ser>
        <c:ser>
          <c:idx val="39"/>
          <c:order val="39"/>
          <c:spPr>
            <a:ln w="381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rgbClr val="0000FF"/>
                </a:solidFill>
              </a:ln>
              <a:effectLst/>
            </c:spPr>
          </c:marker>
          <c:x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xVal>
          <c:yVal>
            <c:numLit>
              <c:formatCode>General</c:formatCode>
              <c:ptCount val="3"/>
              <c:pt idx="0">
                <c:v>17.5</c:v>
              </c:pt>
              <c:pt idx="1">
                <c:v>18.75</c:v>
              </c:pt>
              <c:pt idx="2">
                <c:v>20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1B7-AAEF-4F68-B861-D47567A43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93904"/>
        <c:axId val="936295984"/>
      </c:scatterChart>
      <c:valAx>
        <c:axId val="93629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5984"/>
        <c:crosses val="autoZero"/>
        <c:crossBetween val="midCat"/>
      </c:valAx>
      <c:valAx>
        <c:axId val="9362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2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609067</xdr:colOff>
      <xdr:row>13</xdr:row>
      <xdr:rowOff>26492</xdr:rowOff>
    </xdr:from>
    <xdr:to>
      <xdr:col>11</xdr:col>
      <xdr:colOff>0</xdr:colOff>
      <xdr:row>39</xdr:row>
      <xdr:rowOff>29308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</xdr:row>
          <xdr:rowOff>45720</xdr:rowOff>
        </xdr:from>
        <xdr:to>
          <xdr:col>8</xdr:col>
          <xdr:colOff>662940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4</xdr:row>
          <xdr:rowOff>53340</xdr:rowOff>
        </xdr:from>
        <xdr:to>
          <xdr:col>8</xdr:col>
          <xdr:colOff>662940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381001</xdr:colOff>
      <xdr:row>13</xdr:row>
      <xdr:rowOff>46891</xdr:rowOff>
    </xdr:from>
    <xdr:to>
      <xdr:col>21</xdr:col>
      <xdr:colOff>424962</xdr:colOff>
      <xdr:row>39</xdr:row>
      <xdr:rowOff>58614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131886</xdr:colOff>
      <xdr:row>13</xdr:row>
      <xdr:rowOff>15110</xdr:rowOff>
    </xdr:from>
    <xdr:to>
      <xdr:col>31</xdr:col>
      <xdr:colOff>1</xdr:colOff>
      <xdr:row>39</xdr:row>
      <xdr:rowOff>43962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84</xdr:colOff>
      <xdr:row>13</xdr:row>
      <xdr:rowOff>17585</xdr:rowOff>
    </xdr:from>
    <xdr:to>
      <xdr:col>42</xdr:col>
      <xdr:colOff>43392</xdr:colOff>
      <xdr:row>39</xdr:row>
      <xdr:rowOff>14654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479E-FA43-476A-B698-BD7D1D11045F}">
  <sheetPr codeName="Sheet1"/>
  <dimension ref="A3:BP1048576"/>
  <sheetViews>
    <sheetView tabSelected="1" topLeftCell="F1" zoomScale="49" zoomScaleNormal="100" workbookViewId="0">
      <selection activeCell="H57" sqref="H57"/>
    </sheetView>
  </sheetViews>
  <sheetFormatPr defaultRowHeight="14.4"/>
  <cols>
    <col min="2" max="2" width="9.21875" bestFit="1" customWidth="1"/>
    <col min="3" max="3" width="14.109375" bestFit="1" customWidth="1"/>
    <col min="4" max="4" width="12.77734375" bestFit="1" customWidth="1"/>
    <col min="5" max="5" width="9.44140625" bestFit="1" customWidth="1"/>
    <col min="6" max="6" width="14.109375" bestFit="1" customWidth="1"/>
    <col min="7" max="7" width="12.77734375" bestFit="1" customWidth="1"/>
    <col min="8" max="8" width="9.44140625" bestFit="1" customWidth="1"/>
    <col min="9" max="9" width="10.44140625" bestFit="1" customWidth="1"/>
    <col min="10" max="10" width="17.6640625" bestFit="1" customWidth="1"/>
    <col min="11" max="11" width="5.88671875" bestFit="1" customWidth="1"/>
    <col min="13" max="13" width="9.21875" bestFit="1" customWidth="1"/>
    <col min="14" max="15" width="9.44140625" bestFit="1" customWidth="1"/>
    <col min="16" max="16" width="9.6640625" bestFit="1" customWidth="1"/>
    <col min="17" max="17" width="9.5546875" bestFit="1" customWidth="1"/>
    <col min="18" max="18" width="9.6640625" bestFit="1" customWidth="1"/>
    <col min="19" max="20" width="10.33203125" bestFit="1" customWidth="1"/>
    <col min="21" max="21" width="10.109375" bestFit="1" customWidth="1"/>
    <col min="22" max="22" width="11.21875" bestFit="1" customWidth="1"/>
    <col min="23" max="24" width="10.5546875" bestFit="1" customWidth="1"/>
    <col min="25" max="25" width="13.109375" bestFit="1" customWidth="1"/>
    <col min="26" max="27" width="14" bestFit="1" customWidth="1"/>
    <col min="28" max="28" width="17.21875" bestFit="1" customWidth="1"/>
    <col min="29" max="30" width="18.109375" bestFit="1" customWidth="1"/>
    <col min="31" max="31" width="14.77734375" bestFit="1" customWidth="1"/>
    <col min="32" max="32" width="9.44140625" bestFit="1" customWidth="1"/>
    <col min="33" max="34" width="14.77734375" bestFit="1" customWidth="1"/>
    <col min="35" max="35" width="14.88671875" bestFit="1" customWidth="1"/>
    <col min="36" max="38" width="9" bestFit="1" customWidth="1"/>
  </cols>
  <sheetData>
    <row r="3" spans="3:22">
      <c r="C3" s="39" t="s">
        <v>0</v>
      </c>
      <c r="D3" s="39"/>
      <c r="E3" s="39"/>
      <c r="F3" s="1">
        <v>1</v>
      </c>
    </row>
    <row r="4" spans="3:22">
      <c r="C4" s="39" t="s">
        <v>1</v>
      </c>
      <c r="D4" s="39"/>
      <c r="E4" s="39"/>
      <c r="F4" s="1">
        <v>0.1</v>
      </c>
    </row>
    <row r="5" spans="3:22">
      <c r="C5" s="39" t="s">
        <v>2</v>
      </c>
      <c r="D5" s="39"/>
      <c r="E5" s="39"/>
      <c r="F5" s="1">
        <v>0.1</v>
      </c>
    </row>
    <row r="6" spans="3:22">
      <c r="C6" s="39" t="s">
        <v>3</v>
      </c>
      <c r="D6" s="39"/>
      <c r="E6" s="39"/>
      <c r="F6" s="1">
        <v>1</v>
      </c>
    </row>
    <row r="7" spans="3:22">
      <c r="C7" s="39" t="s">
        <v>4</v>
      </c>
      <c r="D7" s="39"/>
      <c r="E7" s="39"/>
      <c r="F7" s="1">
        <v>9.9999999999999995E-21</v>
      </c>
    </row>
    <row r="8" spans="3:22">
      <c r="C8" s="39" t="s">
        <v>40</v>
      </c>
      <c r="D8" s="39"/>
      <c r="E8" s="39"/>
      <c r="F8" s="25">
        <v>5</v>
      </c>
    </row>
    <row r="9" spans="3:22">
      <c r="V9" s="2"/>
    </row>
    <row r="43" spans="2:35" ht="15" thickBot="1">
      <c r="B43" s="3"/>
      <c r="C43" s="3"/>
      <c r="D43" s="3"/>
      <c r="E43" s="3"/>
      <c r="F43" s="3"/>
      <c r="G43" s="3"/>
      <c r="H43" s="3"/>
      <c r="I43" s="3"/>
      <c r="J43" s="3"/>
    </row>
    <row r="44" spans="2:35" ht="18.600000000000001" thickTop="1" thickBot="1">
      <c r="B44" s="36" t="s">
        <v>5</v>
      </c>
      <c r="C44" s="36"/>
      <c r="D44" s="36"/>
      <c r="E44" s="36"/>
      <c r="F44" s="36"/>
      <c r="G44" s="36"/>
      <c r="I44" s="37" t="s">
        <v>6</v>
      </c>
      <c r="J44" s="37"/>
      <c r="K44" s="37"/>
      <c r="M44" s="38" t="s">
        <v>7</v>
      </c>
      <c r="N44" s="38"/>
      <c r="O44" s="38"/>
      <c r="P44" s="38"/>
      <c r="Q44" s="38"/>
      <c r="R44" s="38"/>
      <c r="S44" s="38"/>
      <c r="T44" s="38"/>
      <c r="U44" s="38"/>
      <c r="V44" s="38"/>
      <c r="X44" s="26" t="s">
        <v>8</v>
      </c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</row>
    <row r="45" spans="2:35" ht="15" thickTop="1">
      <c r="B45" s="4" t="s">
        <v>9</v>
      </c>
      <c r="C45" s="4" t="s">
        <v>10</v>
      </c>
      <c r="D45" s="4" t="s">
        <v>11</v>
      </c>
      <c r="E45" s="4" t="s">
        <v>12</v>
      </c>
      <c r="F45" s="4" t="s">
        <v>13</v>
      </c>
      <c r="G45" s="4" t="s">
        <v>14</v>
      </c>
      <c r="I45" s="5" t="s">
        <v>15</v>
      </c>
      <c r="J45" s="5" t="s">
        <v>16</v>
      </c>
      <c r="K45" s="5" t="s">
        <v>17</v>
      </c>
      <c r="M45" s="6" t="s">
        <v>18</v>
      </c>
      <c r="N45" s="6" t="s">
        <v>19</v>
      </c>
      <c r="O45" s="6" t="s">
        <v>20</v>
      </c>
      <c r="P45" s="6" t="s">
        <v>21</v>
      </c>
      <c r="Q45" s="6" t="s">
        <v>22</v>
      </c>
      <c r="R45" s="6" t="s">
        <v>23</v>
      </c>
      <c r="S45" s="6" t="s">
        <v>24</v>
      </c>
      <c r="T45" s="6" t="s">
        <v>25</v>
      </c>
      <c r="U45" s="6" t="s">
        <v>26</v>
      </c>
      <c r="V45" s="6" t="s">
        <v>27</v>
      </c>
      <c r="X45" s="29" t="s">
        <v>7</v>
      </c>
      <c r="Y45" s="30"/>
      <c r="Z45" s="30"/>
      <c r="AA45" s="30"/>
      <c r="AB45" s="30"/>
      <c r="AC45" s="30"/>
      <c r="AD45" s="30"/>
      <c r="AE45" s="31"/>
      <c r="AF45" s="32" t="s">
        <v>28</v>
      </c>
      <c r="AG45" s="33"/>
      <c r="AH45" s="33"/>
      <c r="AI45" s="34"/>
    </row>
    <row r="46" spans="2:35"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I46">
        <v>0</v>
      </c>
      <c r="J46">
        <v>0</v>
      </c>
      <c r="K46">
        <v>0</v>
      </c>
      <c r="M46" s="7">
        <v>0</v>
      </c>
      <c r="N46">
        <v>0</v>
      </c>
      <c r="O46">
        <v>1</v>
      </c>
      <c r="P46" s="2">
        <v>10000</v>
      </c>
      <c r="Q46">
        <v>10000</v>
      </c>
      <c r="R46">
        <v>1000</v>
      </c>
      <c r="S46" s="2">
        <f>Q46*P46</f>
        <v>100000000</v>
      </c>
      <c r="T46" s="2">
        <f>P46*R46</f>
        <v>10000000</v>
      </c>
      <c r="U46" s="3">
        <v>0</v>
      </c>
      <c r="V46" s="3">
        <v>0</v>
      </c>
      <c r="X46" s="8" t="s">
        <v>9</v>
      </c>
      <c r="Y46" s="8" t="s">
        <v>29</v>
      </c>
      <c r="Z46" s="8" t="s">
        <v>30</v>
      </c>
      <c r="AA46" s="8" t="s">
        <v>31</v>
      </c>
      <c r="AB46" s="8" t="s">
        <v>32</v>
      </c>
      <c r="AC46" s="8" t="s">
        <v>33</v>
      </c>
      <c r="AD46" s="8" t="s">
        <v>34</v>
      </c>
      <c r="AE46" s="8" t="s">
        <v>35</v>
      </c>
      <c r="AF46" s="9" t="s">
        <v>9</v>
      </c>
      <c r="AG46" s="9" t="s">
        <v>36</v>
      </c>
      <c r="AH46" s="9" t="s">
        <v>37</v>
      </c>
      <c r="AI46" s="9" t="s">
        <v>14</v>
      </c>
    </row>
    <row r="47" spans="2:35">
      <c r="B47">
        <v>1</v>
      </c>
      <c r="C47">
        <v>0</v>
      </c>
      <c r="D47">
        <v>2.5</v>
      </c>
      <c r="E47">
        <v>0</v>
      </c>
      <c r="F47">
        <v>0</v>
      </c>
      <c r="G47">
        <v>0</v>
      </c>
      <c r="I47">
        <v>0</v>
      </c>
      <c r="J47">
        <v>1</v>
      </c>
      <c r="K47">
        <v>0</v>
      </c>
      <c r="M47" s="7">
        <v>1</v>
      </c>
      <c r="N47">
        <v>1</v>
      </c>
      <c r="O47">
        <v>2</v>
      </c>
      <c r="P47" s="2">
        <v>10000</v>
      </c>
      <c r="Q47">
        <v>10000</v>
      </c>
      <c r="R47">
        <v>1000</v>
      </c>
      <c r="S47" s="2">
        <f t="shared" ref="S47:S48" si="0">Q47*P47</f>
        <v>100000000</v>
      </c>
      <c r="T47" s="2">
        <f t="shared" ref="T47:T48" si="1">P47*R47</f>
        <v>10000000</v>
      </c>
      <c r="U47" s="3">
        <v>0</v>
      </c>
      <c r="V47" s="3">
        <v>0</v>
      </c>
      <c r="X47" s="10">
        <v>0</v>
      </c>
      <c r="Y47" s="11">
        <v>2.5</v>
      </c>
      <c r="Z47" s="11">
        <v>61323.999999999673</v>
      </c>
      <c r="AA47" s="11">
        <v>0.99999999999732736</v>
      </c>
      <c r="AB47" s="12">
        <v>36.340801866614193</v>
      </c>
      <c r="AC47" s="12">
        <v>-61323.999999999673</v>
      </c>
      <c r="AD47" s="12">
        <v>-0.99999999999732736</v>
      </c>
      <c r="AE47" s="13">
        <v>-33.840801866620872</v>
      </c>
      <c r="AF47" s="14">
        <v>0</v>
      </c>
      <c r="AG47" s="14">
        <v>0</v>
      </c>
      <c r="AH47" s="14">
        <v>0</v>
      </c>
      <c r="AI47">
        <v>0</v>
      </c>
    </row>
    <row r="48" spans="2:35">
      <c r="B48">
        <v>2</v>
      </c>
      <c r="C48">
        <v>0</v>
      </c>
      <c r="D48">
        <v>5</v>
      </c>
      <c r="E48">
        <v>0</v>
      </c>
      <c r="F48">
        <v>0</v>
      </c>
      <c r="G48">
        <v>0</v>
      </c>
      <c r="I48">
        <v>0</v>
      </c>
      <c r="J48">
        <v>2</v>
      </c>
      <c r="K48">
        <v>0</v>
      </c>
      <c r="M48" s="7">
        <v>2</v>
      </c>
      <c r="N48">
        <v>2</v>
      </c>
      <c r="O48">
        <v>3</v>
      </c>
      <c r="P48" s="2">
        <v>10000</v>
      </c>
      <c r="Q48">
        <v>10000</v>
      </c>
      <c r="R48">
        <v>1000</v>
      </c>
      <c r="S48" s="2">
        <f t="shared" si="0"/>
        <v>100000000</v>
      </c>
      <c r="T48" s="2">
        <f t="shared" si="1"/>
        <v>10000000</v>
      </c>
      <c r="U48" s="3">
        <v>0</v>
      </c>
      <c r="V48" s="3">
        <v>0</v>
      </c>
      <c r="X48" s="15">
        <v>1</v>
      </c>
      <c r="Y48" s="16">
        <v>2.5</v>
      </c>
      <c r="Z48" s="16">
        <v>61323.999999999673</v>
      </c>
      <c r="AA48" s="16">
        <v>0.9999999999973852</v>
      </c>
      <c r="AB48" s="17">
        <v>33.84080186662095</v>
      </c>
      <c r="AC48" s="17">
        <v>-61323.999999999673</v>
      </c>
      <c r="AD48" s="17">
        <v>-0.9999999999973852</v>
      </c>
      <c r="AE48" s="18">
        <v>-31.340801866627487</v>
      </c>
      <c r="AF48" s="19">
        <v>1</v>
      </c>
      <c r="AG48" s="19">
        <v>1.1096083916650964E-5</v>
      </c>
      <c r="AH48" s="19">
        <v>-1.5330999999999919E-3</v>
      </c>
      <c r="AI48">
        <v>-8.7727004666543826E-6</v>
      </c>
    </row>
    <row r="49" spans="1:35">
      <c r="B49">
        <v>3</v>
      </c>
      <c r="C49">
        <v>0</v>
      </c>
      <c r="D49">
        <v>7.5</v>
      </c>
      <c r="E49">
        <v>0</v>
      </c>
      <c r="F49">
        <v>0</v>
      </c>
      <c r="G49">
        <v>0</v>
      </c>
      <c r="M49" s="7">
        <v>3</v>
      </c>
      <c r="N49">
        <v>3</v>
      </c>
      <c r="O49">
        <v>4</v>
      </c>
      <c r="P49" s="2">
        <v>10000</v>
      </c>
      <c r="Q49">
        <v>10000</v>
      </c>
      <c r="R49">
        <v>1000</v>
      </c>
      <c r="S49" s="2">
        <f t="shared" ref="S49:S50" si="2">Q49*P49</f>
        <v>100000000</v>
      </c>
      <c r="T49" s="2">
        <f t="shared" ref="T49:T50" si="3">P49*R49</f>
        <v>10000000</v>
      </c>
      <c r="U49" s="3">
        <v>0</v>
      </c>
      <c r="V49" s="3">
        <v>0</v>
      </c>
      <c r="X49" s="15">
        <v>2</v>
      </c>
      <c r="Y49" s="16">
        <v>2.5</v>
      </c>
      <c r="Z49" s="16">
        <v>61323.999999999665</v>
      </c>
      <c r="AA49" s="16">
        <v>0.99999999999744205</v>
      </c>
      <c r="AB49" s="17">
        <v>31.34080186662743</v>
      </c>
      <c r="AC49" s="17">
        <v>-61323.999999999665</v>
      </c>
      <c r="AD49" s="17">
        <v>-0.99999999999744205</v>
      </c>
      <c r="AE49" s="18">
        <v>-28.84080186663391</v>
      </c>
      <c r="AF49" s="19">
        <v>2</v>
      </c>
      <c r="AG49" s="19">
        <v>4.3342668999939979E-5</v>
      </c>
      <c r="AH49" s="19">
        <v>-3.0661999999999838E-3</v>
      </c>
      <c r="AI49">
        <v>-1.6920400933310434E-5</v>
      </c>
    </row>
    <row r="50" spans="1:35">
      <c r="B50">
        <v>4</v>
      </c>
      <c r="C50">
        <v>0</v>
      </c>
      <c r="D50">
        <v>10</v>
      </c>
      <c r="F50" s="2">
        <v>0</v>
      </c>
      <c r="G50">
        <v>0</v>
      </c>
      <c r="M50" s="7">
        <v>4</v>
      </c>
      <c r="N50">
        <v>4</v>
      </c>
      <c r="O50">
        <v>5</v>
      </c>
      <c r="P50" s="2">
        <v>10000</v>
      </c>
      <c r="Q50">
        <v>10000</v>
      </c>
      <c r="R50">
        <v>1000</v>
      </c>
      <c r="S50" s="2">
        <f t="shared" si="2"/>
        <v>100000000</v>
      </c>
      <c r="T50" s="2">
        <f t="shared" si="3"/>
        <v>10000000</v>
      </c>
      <c r="U50" s="3">
        <v>0</v>
      </c>
      <c r="V50" s="3">
        <v>0</v>
      </c>
      <c r="X50" s="20">
        <v>3</v>
      </c>
      <c r="Y50" s="21">
        <v>2.5</v>
      </c>
      <c r="Z50" s="21">
        <v>61323.99999999968</v>
      </c>
      <c r="AA50" s="21">
        <v>0.99999999999761258</v>
      </c>
      <c r="AB50" s="22">
        <v>28.840801866634138</v>
      </c>
      <c r="AC50" s="22">
        <v>-61323.99999999968</v>
      </c>
      <c r="AD50" s="22">
        <v>-0.99999999999761258</v>
      </c>
      <c r="AE50" s="23">
        <v>-26.340801866640277</v>
      </c>
      <c r="AF50" s="24">
        <v>3</v>
      </c>
      <c r="AG50" s="24">
        <v>9.5177255249871153E-5</v>
      </c>
      <c r="AH50" s="24">
        <v>-4.5992999999999755E-3</v>
      </c>
      <c r="AI50">
        <v>-2.444310139996811E-5</v>
      </c>
    </row>
    <row r="51" spans="1:35">
      <c r="B51">
        <v>5</v>
      </c>
      <c r="C51">
        <v>0</v>
      </c>
      <c r="D51">
        <v>12.5</v>
      </c>
      <c r="E51">
        <v>0</v>
      </c>
      <c r="F51">
        <v>0</v>
      </c>
      <c r="G51">
        <v>0</v>
      </c>
      <c r="M51" s="7">
        <v>5</v>
      </c>
      <c r="N51">
        <v>5</v>
      </c>
      <c r="O51">
        <v>6</v>
      </c>
      <c r="P51" s="2">
        <v>10000</v>
      </c>
      <c r="Q51">
        <v>10000</v>
      </c>
      <c r="R51">
        <v>1000</v>
      </c>
      <c r="S51" s="2">
        <f t="shared" ref="S51:S53" si="4">Q51*P51</f>
        <v>100000000</v>
      </c>
      <c r="T51" s="2">
        <f t="shared" ref="T51:T53" si="5">P51*R51</f>
        <v>10000000</v>
      </c>
      <c r="U51" s="3">
        <v>0</v>
      </c>
      <c r="V51" s="3">
        <v>0</v>
      </c>
      <c r="X51" s="20">
        <v>4</v>
      </c>
      <c r="Y51" s="21">
        <v>2.5</v>
      </c>
      <c r="Z51" s="21">
        <v>61323.99999999968</v>
      </c>
      <c r="AA51" s="21">
        <v>0.99999999999795364</v>
      </c>
      <c r="AB51" s="22">
        <v>26.340801866640049</v>
      </c>
      <c r="AC51" s="22">
        <v>-61323.99999999968</v>
      </c>
      <c r="AD51" s="22">
        <v>-0.99999999999795364</v>
      </c>
      <c r="AE51" s="23">
        <v>-23.840801866645052</v>
      </c>
      <c r="AF51" s="24">
        <v>4</v>
      </c>
      <c r="AG51" s="24">
        <v>1.6503734266644853E-4</v>
      </c>
      <c r="AH51" s="24">
        <v>-6.1323999999999676E-3</v>
      </c>
      <c r="AI51">
        <v>-3.1340801866627387E-5</v>
      </c>
    </row>
    <row r="52" spans="1:35">
      <c r="A52" s="3"/>
      <c r="B52">
        <v>6</v>
      </c>
      <c r="C52">
        <v>0</v>
      </c>
      <c r="D52">
        <v>15</v>
      </c>
      <c r="E52">
        <v>0</v>
      </c>
      <c r="F52">
        <v>0</v>
      </c>
      <c r="G52">
        <v>0</v>
      </c>
      <c r="I52" t="s">
        <v>41</v>
      </c>
      <c r="M52" s="7">
        <v>6</v>
      </c>
      <c r="N52">
        <v>6</v>
      </c>
      <c r="O52">
        <v>7</v>
      </c>
      <c r="P52" s="2">
        <v>10000</v>
      </c>
      <c r="Q52">
        <v>10000</v>
      </c>
      <c r="R52">
        <v>1000</v>
      </c>
      <c r="S52" s="2">
        <f t="shared" si="4"/>
        <v>100000000</v>
      </c>
      <c r="T52" s="2">
        <f t="shared" si="5"/>
        <v>10000000</v>
      </c>
      <c r="U52" s="3">
        <v>0</v>
      </c>
      <c r="V52" s="3">
        <v>0</v>
      </c>
      <c r="X52" s="20">
        <v>5</v>
      </c>
      <c r="Y52" s="21">
        <v>2.5</v>
      </c>
      <c r="Z52" s="21">
        <v>61323.999999999709</v>
      </c>
      <c r="AA52" s="21">
        <v>0.99999999999818101</v>
      </c>
      <c r="AB52" s="22">
        <v>23.840801866645052</v>
      </c>
      <c r="AC52" s="22">
        <v>-61323.999999999709</v>
      </c>
      <c r="AD52" s="22">
        <v>-0.99999999999818101</v>
      </c>
      <c r="AE52" s="23">
        <v>-21.340801866649599</v>
      </c>
      <c r="AF52" s="24">
        <v>5</v>
      </c>
      <c r="AG52" s="24">
        <v>2.513604312496759E-4</v>
      </c>
      <c r="AH52" s="24">
        <v>-7.6654999999999597E-3</v>
      </c>
      <c r="AI52">
        <v>-3.7613502333288058E-5</v>
      </c>
    </row>
    <row r="53" spans="1:35">
      <c r="A53" s="3"/>
      <c r="B53">
        <v>7</v>
      </c>
      <c r="C53">
        <v>0</v>
      </c>
      <c r="D53">
        <v>17.5</v>
      </c>
      <c r="E53">
        <v>0</v>
      </c>
      <c r="F53">
        <v>0</v>
      </c>
      <c r="G53">
        <v>0</v>
      </c>
      <c r="H53" s="3"/>
      <c r="M53" s="7">
        <v>7</v>
      </c>
      <c r="N53">
        <v>7</v>
      </c>
      <c r="O53">
        <v>8</v>
      </c>
      <c r="P53" s="2">
        <v>10000</v>
      </c>
      <c r="Q53">
        <v>10000</v>
      </c>
      <c r="R53">
        <v>1000</v>
      </c>
      <c r="S53" s="2">
        <f t="shared" si="4"/>
        <v>100000000</v>
      </c>
      <c r="T53" s="2">
        <f t="shared" si="5"/>
        <v>10000000</v>
      </c>
      <c r="U53" s="3">
        <v>0</v>
      </c>
      <c r="V53" s="3">
        <v>0</v>
      </c>
      <c r="X53">
        <v>6</v>
      </c>
      <c r="Y53">
        <v>2.5</v>
      </c>
      <c r="Z53">
        <v>61323.999999999825</v>
      </c>
      <c r="AA53">
        <v>0.99999999999909051</v>
      </c>
      <c r="AB53">
        <v>21.340801866649599</v>
      </c>
      <c r="AC53">
        <v>-61323.999999999825</v>
      </c>
      <c r="AD53">
        <v>-0.99999999999909051</v>
      </c>
      <c r="AE53">
        <v>-18.840801866652782</v>
      </c>
      <c r="AF53">
        <v>6</v>
      </c>
      <c r="AG53">
        <v>3.5258402099955645E-4</v>
      </c>
      <c r="AH53">
        <v>-9.1985999999999526E-3</v>
      </c>
      <c r="AI53">
        <v>-4.3261202799949913E-5</v>
      </c>
    </row>
    <row r="54" spans="1:35">
      <c r="A54" s="3"/>
      <c r="B54">
        <v>8</v>
      </c>
      <c r="C54">
        <v>0</v>
      </c>
      <c r="D54">
        <v>20</v>
      </c>
      <c r="E54">
        <v>1</v>
      </c>
      <c r="F54">
        <v>-61324</v>
      </c>
      <c r="G54">
        <v>0</v>
      </c>
      <c r="H54" s="3"/>
      <c r="M54" s="7"/>
      <c r="P54" s="2"/>
      <c r="S54" s="2"/>
      <c r="T54" s="2"/>
      <c r="U54" s="3"/>
      <c r="V54" s="3"/>
      <c r="X54">
        <v>7</v>
      </c>
      <c r="Y54">
        <v>2.5</v>
      </c>
      <c r="Z54">
        <v>61324</v>
      </c>
      <c r="AA54">
        <v>0.99999999999954525</v>
      </c>
      <c r="AB54">
        <v>18.840801866652328</v>
      </c>
      <c r="AC54">
        <v>-61324</v>
      </c>
      <c r="AD54">
        <v>-0.99999999999954525</v>
      </c>
      <c r="AE54">
        <v>-16.340801866653237</v>
      </c>
      <c r="AF54">
        <v>7</v>
      </c>
      <c r="AG54">
        <v>4.6714561191609291E-4</v>
      </c>
      <c r="AH54">
        <v>-1.0731699999999948E-2</v>
      </c>
      <c r="AI54">
        <v>-4.8283903266612702E-5</v>
      </c>
    </row>
    <row r="55" spans="1:35">
      <c r="A55" s="3"/>
      <c r="H55" s="3"/>
      <c r="I55" s="3"/>
      <c r="J55" s="3"/>
      <c r="M55" s="7"/>
      <c r="P55" s="2"/>
      <c r="S55" s="2"/>
      <c r="T55" s="2"/>
      <c r="U55" s="3"/>
      <c r="V55" s="3"/>
      <c r="AF55">
        <v>8</v>
      </c>
      <c r="AG55">
        <v>5.9348270399928703E-4</v>
      </c>
      <c r="AH55">
        <v>-1.2264799999999947E-2</v>
      </c>
      <c r="AI55">
        <v>-5.2681603733275971E-5</v>
      </c>
    </row>
    <row r="56" spans="1:35">
      <c r="A56" s="3"/>
      <c r="H56" s="3"/>
      <c r="I56" s="3"/>
      <c r="J56" s="3"/>
      <c r="M56" s="7"/>
      <c r="P56" s="2"/>
      <c r="S56" s="2"/>
      <c r="T56" s="2"/>
      <c r="U56" s="3"/>
      <c r="V56" s="3"/>
    </row>
    <row r="57" spans="1:35">
      <c r="A57" s="3"/>
      <c r="H57" s="3"/>
      <c r="I57" s="3"/>
      <c r="J57" s="3"/>
      <c r="M57" s="7"/>
      <c r="P57" s="2"/>
      <c r="S57" s="2"/>
      <c r="T57" s="2"/>
      <c r="U57" s="3"/>
      <c r="V57" s="3"/>
    </row>
    <row r="58" spans="1:35">
      <c r="A58" s="3"/>
      <c r="H58" s="3"/>
      <c r="I58" s="3"/>
      <c r="J58" s="3"/>
      <c r="M58" s="7"/>
      <c r="P58" s="2"/>
      <c r="S58" s="2"/>
      <c r="T58" s="2"/>
      <c r="U58" s="3"/>
      <c r="V58" s="3"/>
    </row>
    <row r="59" spans="1:35">
      <c r="A59" s="3"/>
      <c r="H59" s="3"/>
      <c r="I59" s="3"/>
      <c r="J59" s="3"/>
      <c r="M59" s="7"/>
      <c r="P59" s="2"/>
      <c r="S59" s="2"/>
      <c r="T59" s="2"/>
      <c r="U59" s="3"/>
      <c r="V59" s="3"/>
    </row>
    <row r="60" spans="1:35">
      <c r="A60" s="3"/>
      <c r="H60" s="3"/>
      <c r="I60" s="3"/>
      <c r="J60" s="3"/>
      <c r="M60" s="7"/>
      <c r="P60" s="2"/>
      <c r="S60" s="2"/>
      <c r="T60" s="2"/>
      <c r="U60" s="3"/>
      <c r="V60" s="3"/>
      <c r="AG60" s="2"/>
    </row>
    <row r="61" spans="1:35">
      <c r="A61" s="3"/>
      <c r="H61" s="3"/>
      <c r="I61" s="3"/>
      <c r="J61" s="3"/>
    </row>
    <row r="62" spans="1:35">
      <c r="A62" s="3"/>
      <c r="B62" s="3"/>
      <c r="C62" s="3"/>
      <c r="D62" s="3"/>
      <c r="E62" s="3"/>
      <c r="F62" s="3"/>
      <c r="G62" s="3"/>
      <c r="H62" s="3"/>
      <c r="I62" s="3"/>
      <c r="J62" s="3"/>
      <c r="AD62">
        <f>AB47/AG55</f>
        <v>61233.12713534083</v>
      </c>
    </row>
    <row r="63" spans="1:35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35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68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68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68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68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68">
      <c r="A69" s="3"/>
      <c r="B69" s="3"/>
      <c r="C69" s="35" t="s">
        <v>38</v>
      </c>
      <c r="D69" s="35"/>
      <c r="E69" s="35"/>
      <c r="F69" s="35"/>
      <c r="G69" s="35"/>
      <c r="H69" s="35"/>
      <c r="I69" s="3"/>
      <c r="J69" s="35" t="s">
        <v>39</v>
      </c>
      <c r="K69" s="35"/>
      <c r="L69" s="35"/>
      <c r="M69" s="35"/>
      <c r="N69" s="35"/>
      <c r="O69" s="35"/>
      <c r="Q69" s="3"/>
      <c r="R69" s="3"/>
      <c r="S69" s="3"/>
      <c r="T69" s="3"/>
      <c r="U69" s="3"/>
      <c r="V69" s="3"/>
    </row>
    <row r="70" spans="1:68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68">
      <c r="A71" s="3"/>
      <c r="B71" s="3"/>
      <c r="C71" s="3">
        <v>7680000</v>
      </c>
      <c r="D71" s="3">
        <v>0</v>
      </c>
      <c r="E71" s="3">
        <v>-9600000</v>
      </c>
      <c r="F71" s="3">
        <v>-7680000</v>
      </c>
      <c r="G71" s="3">
        <v>0</v>
      </c>
      <c r="H71" s="3">
        <v>-9600000</v>
      </c>
      <c r="I71" s="3"/>
      <c r="J71" s="3">
        <v>0</v>
      </c>
      <c r="K71">
        <v>1</v>
      </c>
      <c r="L71">
        <v>0</v>
      </c>
      <c r="M71">
        <v>0</v>
      </c>
      <c r="N71">
        <v>1</v>
      </c>
      <c r="O71">
        <v>0</v>
      </c>
      <c r="U71">
        <v>7680000</v>
      </c>
      <c r="V71">
        <v>0</v>
      </c>
      <c r="W71">
        <v>-9600000</v>
      </c>
      <c r="X71">
        <v>-7680000</v>
      </c>
      <c r="Y71">
        <v>0</v>
      </c>
      <c r="Z71">
        <v>-9600000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</row>
    <row r="72" spans="1:68">
      <c r="A72" s="3"/>
      <c r="B72" s="3"/>
      <c r="C72" s="3">
        <v>0</v>
      </c>
      <c r="D72" s="3">
        <v>40000000</v>
      </c>
      <c r="E72" s="3">
        <v>0</v>
      </c>
      <c r="F72" s="3">
        <v>0</v>
      </c>
      <c r="G72" s="3">
        <v>-40000000</v>
      </c>
      <c r="H72" s="3">
        <v>0</v>
      </c>
      <c r="I72" s="3"/>
      <c r="J72" s="3">
        <v>-1</v>
      </c>
      <c r="K72">
        <v>0</v>
      </c>
      <c r="L72">
        <v>0</v>
      </c>
      <c r="M72">
        <v>-1</v>
      </c>
      <c r="N72">
        <v>0</v>
      </c>
      <c r="O72">
        <v>0</v>
      </c>
      <c r="U72">
        <v>0</v>
      </c>
      <c r="V72">
        <v>40000000</v>
      </c>
      <c r="W72">
        <v>0</v>
      </c>
      <c r="X72">
        <v>0</v>
      </c>
      <c r="Y72">
        <v>-40000000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</row>
    <row r="73" spans="1:68">
      <c r="A73" s="3"/>
      <c r="B73" s="3"/>
      <c r="C73" s="3">
        <v>-9600000</v>
      </c>
      <c r="D73" s="3">
        <v>0</v>
      </c>
      <c r="E73" s="3">
        <v>16000000</v>
      </c>
      <c r="F73" s="3">
        <v>9600000</v>
      </c>
      <c r="G73" s="3">
        <v>0</v>
      </c>
      <c r="H73" s="3">
        <v>8000000</v>
      </c>
      <c r="I73" s="3"/>
      <c r="J73" s="3">
        <v>0</v>
      </c>
      <c r="K73">
        <v>0</v>
      </c>
      <c r="L73">
        <v>1</v>
      </c>
      <c r="M73">
        <v>0</v>
      </c>
      <c r="N73">
        <v>0</v>
      </c>
      <c r="O73">
        <v>1</v>
      </c>
      <c r="U73">
        <v>-9600000</v>
      </c>
      <c r="V73">
        <v>0</v>
      </c>
      <c r="W73">
        <v>16000000</v>
      </c>
      <c r="X73">
        <v>9600000</v>
      </c>
      <c r="Y73">
        <v>0</v>
      </c>
      <c r="Z73">
        <v>8000000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</row>
    <row r="74" spans="1:68">
      <c r="A74" s="3"/>
      <c r="B74" s="3"/>
      <c r="C74" s="3">
        <v>-7680000</v>
      </c>
      <c r="D74" s="3">
        <v>0</v>
      </c>
      <c r="E74" s="3">
        <v>9600000</v>
      </c>
      <c r="F74" s="3">
        <v>7680000</v>
      </c>
      <c r="G74" s="3">
        <v>0</v>
      </c>
      <c r="H74" s="3">
        <v>9600000</v>
      </c>
      <c r="I74" s="3"/>
      <c r="J74" s="3">
        <v>0</v>
      </c>
      <c r="K74">
        <v>1</v>
      </c>
      <c r="L74">
        <v>0</v>
      </c>
      <c r="M74">
        <v>0</v>
      </c>
      <c r="N74">
        <v>1</v>
      </c>
      <c r="O74">
        <v>0</v>
      </c>
      <c r="U74">
        <v>-7680000</v>
      </c>
      <c r="V74">
        <v>0</v>
      </c>
      <c r="W74">
        <v>9600000</v>
      </c>
      <c r="X74">
        <v>15360000</v>
      </c>
      <c r="Y74">
        <v>0</v>
      </c>
      <c r="Z74">
        <v>0</v>
      </c>
      <c r="AA74">
        <v>-7680000</v>
      </c>
      <c r="AB74">
        <v>0</v>
      </c>
      <c r="AC74">
        <v>-9600000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</row>
    <row r="75" spans="1:68">
      <c r="A75" s="3"/>
      <c r="B75" s="3"/>
      <c r="C75" s="3">
        <v>0</v>
      </c>
      <c r="D75" s="3">
        <v>-40000000</v>
      </c>
      <c r="E75" s="3">
        <v>0</v>
      </c>
      <c r="F75" s="3">
        <v>0</v>
      </c>
      <c r="G75" s="3">
        <v>40000000</v>
      </c>
      <c r="H75" s="3">
        <v>0</v>
      </c>
      <c r="I75" s="3"/>
      <c r="J75" s="3">
        <v>-1</v>
      </c>
      <c r="K75">
        <v>0</v>
      </c>
      <c r="L75">
        <v>0</v>
      </c>
      <c r="M75">
        <v>-1</v>
      </c>
      <c r="N75">
        <v>0</v>
      </c>
      <c r="O75">
        <v>0</v>
      </c>
      <c r="U75">
        <v>0</v>
      </c>
      <c r="V75">
        <v>-40000000</v>
      </c>
      <c r="W75">
        <v>0</v>
      </c>
      <c r="X75">
        <v>0</v>
      </c>
      <c r="Y75">
        <v>80000000</v>
      </c>
      <c r="Z75">
        <v>0</v>
      </c>
      <c r="AA75">
        <v>0</v>
      </c>
      <c r="AB75">
        <v>-40000000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</row>
    <row r="76" spans="1:68">
      <c r="A76" s="3"/>
      <c r="B76" s="3"/>
      <c r="C76" s="3">
        <v>-9600000</v>
      </c>
      <c r="D76" s="3">
        <v>0</v>
      </c>
      <c r="E76" s="3">
        <v>8000000</v>
      </c>
      <c r="F76" s="3">
        <v>9600000</v>
      </c>
      <c r="G76" s="3">
        <v>0</v>
      </c>
      <c r="H76" s="3">
        <v>16000000</v>
      </c>
      <c r="I76" s="3"/>
      <c r="J76" s="3">
        <v>0</v>
      </c>
      <c r="K76">
        <v>0</v>
      </c>
      <c r="L76">
        <v>1</v>
      </c>
      <c r="M76">
        <v>0</v>
      </c>
      <c r="N76">
        <v>0</v>
      </c>
      <c r="O76">
        <v>1</v>
      </c>
      <c r="U76">
        <v>-9600000</v>
      </c>
      <c r="V76">
        <v>0</v>
      </c>
      <c r="W76">
        <v>8000000</v>
      </c>
      <c r="X76">
        <v>0</v>
      </c>
      <c r="Y76">
        <v>0</v>
      </c>
      <c r="Z76">
        <v>32000000</v>
      </c>
      <c r="AA76">
        <v>9600000</v>
      </c>
      <c r="AB76">
        <v>0</v>
      </c>
      <c r="AC76">
        <v>8000000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</row>
    <row r="77" spans="1:68">
      <c r="A77" s="3"/>
      <c r="B77" s="3"/>
      <c r="C77" s="3"/>
      <c r="D77" s="3"/>
      <c r="E77" s="3"/>
      <c r="F77" s="3"/>
      <c r="G77" s="3"/>
      <c r="H77" s="3"/>
      <c r="I77" s="3"/>
      <c r="J77" s="3"/>
      <c r="U77">
        <v>0</v>
      </c>
      <c r="V77">
        <v>0</v>
      </c>
      <c r="W77">
        <v>0</v>
      </c>
      <c r="X77">
        <v>-7680000</v>
      </c>
      <c r="Y77">
        <v>0</v>
      </c>
      <c r="Z77">
        <v>9600000</v>
      </c>
      <c r="AA77">
        <v>15360000</v>
      </c>
      <c r="AB77">
        <v>0</v>
      </c>
      <c r="AC77">
        <v>0</v>
      </c>
      <c r="AD77">
        <v>-7680000</v>
      </c>
      <c r="AE77">
        <v>0</v>
      </c>
      <c r="AF77">
        <v>-9600000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</row>
    <row r="78" spans="1:68">
      <c r="A78" s="3"/>
      <c r="B78" s="3"/>
      <c r="C78" s="3">
        <v>7680000</v>
      </c>
      <c r="D78" s="3">
        <v>0</v>
      </c>
      <c r="E78" s="3">
        <v>-9600000</v>
      </c>
      <c r="F78" s="3">
        <v>-7680000</v>
      </c>
      <c r="G78" s="3">
        <v>0</v>
      </c>
      <c r="H78" s="3">
        <v>-9600000</v>
      </c>
      <c r="I78" s="3"/>
      <c r="J78" s="3">
        <v>0</v>
      </c>
      <c r="K78">
        <v>1</v>
      </c>
      <c r="L78">
        <v>0</v>
      </c>
      <c r="M78">
        <v>0</v>
      </c>
      <c r="N78">
        <v>1</v>
      </c>
      <c r="O78">
        <v>0</v>
      </c>
      <c r="U78">
        <v>0</v>
      </c>
      <c r="V78">
        <v>0</v>
      </c>
      <c r="W78">
        <v>0</v>
      </c>
      <c r="X78">
        <v>0</v>
      </c>
      <c r="Y78">
        <v>-40000000</v>
      </c>
      <c r="Z78">
        <v>0</v>
      </c>
      <c r="AA78">
        <v>0</v>
      </c>
      <c r="AB78">
        <v>80000000</v>
      </c>
      <c r="AC78">
        <v>0</v>
      </c>
      <c r="AD78">
        <v>0</v>
      </c>
      <c r="AE78">
        <v>-40000000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</row>
    <row r="79" spans="1:68">
      <c r="A79" s="3"/>
      <c r="B79" s="3"/>
      <c r="C79" s="3">
        <v>0</v>
      </c>
      <c r="D79" s="3">
        <v>40000000</v>
      </c>
      <c r="E79" s="3">
        <v>0</v>
      </c>
      <c r="F79" s="3">
        <v>0</v>
      </c>
      <c r="G79" s="3">
        <v>-40000000</v>
      </c>
      <c r="H79" s="3">
        <v>0</v>
      </c>
      <c r="I79" s="3"/>
      <c r="J79" s="3">
        <v>-1</v>
      </c>
      <c r="K79">
        <v>0</v>
      </c>
      <c r="L79">
        <v>0</v>
      </c>
      <c r="M79">
        <v>-1</v>
      </c>
      <c r="N79">
        <v>0</v>
      </c>
      <c r="O79">
        <v>0</v>
      </c>
      <c r="U79">
        <v>0</v>
      </c>
      <c r="V79">
        <v>0</v>
      </c>
      <c r="W79">
        <v>0</v>
      </c>
      <c r="X79">
        <v>-9600000</v>
      </c>
      <c r="Y79">
        <v>0</v>
      </c>
      <c r="Z79">
        <v>8000000</v>
      </c>
      <c r="AA79">
        <v>0</v>
      </c>
      <c r="AB79">
        <v>0</v>
      </c>
      <c r="AC79">
        <v>32000000</v>
      </c>
      <c r="AD79">
        <v>9600000</v>
      </c>
      <c r="AE79">
        <v>0</v>
      </c>
      <c r="AF79">
        <v>8000000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</row>
    <row r="80" spans="1:68">
      <c r="A80" s="3"/>
      <c r="B80" s="3"/>
      <c r="C80" s="3">
        <v>-9600000</v>
      </c>
      <c r="D80" s="3">
        <v>0</v>
      </c>
      <c r="E80" s="3">
        <v>16000000</v>
      </c>
      <c r="F80" s="3">
        <v>9600000</v>
      </c>
      <c r="G80" s="3">
        <v>0</v>
      </c>
      <c r="H80" s="3">
        <v>8000000</v>
      </c>
      <c r="I80" s="3"/>
      <c r="J80" s="3">
        <v>0</v>
      </c>
      <c r="K80">
        <v>0</v>
      </c>
      <c r="L80">
        <v>1</v>
      </c>
      <c r="M80">
        <v>0</v>
      </c>
      <c r="N80">
        <v>0</v>
      </c>
      <c r="O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-7680000</v>
      </c>
      <c r="AB80">
        <v>0</v>
      </c>
      <c r="AC80">
        <v>9600000</v>
      </c>
      <c r="AD80">
        <v>15360000</v>
      </c>
      <c r="AE80">
        <v>0</v>
      </c>
      <c r="AF80">
        <v>0</v>
      </c>
      <c r="AG80">
        <v>-7680000</v>
      </c>
      <c r="AH80">
        <v>0</v>
      </c>
      <c r="AI80">
        <v>-9600000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</row>
    <row r="81" spans="1:68">
      <c r="A81" s="3"/>
      <c r="B81" s="3"/>
      <c r="C81" s="3">
        <v>-7680000</v>
      </c>
      <c r="D81" s="3">
        <v>0</v>
      </c>
      <c r="E81" s="3">
        <v>9600000</v>
      </c>
      <c r="F81" s="3">
        <v>7680000</v>
      </c>
      <c r="G81" s="3">
        <v>0</v>
      </c>
      <c r="H81" s="3">
        <v>9600000</v>
      </c>
      <c r="I81" s="3"/>
      <c r="J81" s="3">
        <v>0</v>
      </c>
      <c r="K81">
        <v>1</v>
      </c>
      <c r="L81">
        <v>0</v>
      </c>
      <c r="M81">
        <v>0</v>
      </c>
      <c r="N81">
        <v>1</v>
      </c>
      <c r="O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-40000000</v>
      </c>
      <c r="AC81">
        <v>0</v>
      </c>
      <c r="AD81">
        <v>0</v>
      </c>
      <c r="AE81">
        <v>80000000</v>
      </c>
      <c r="AF81">
        <v>0</v>
      </c>
      <c r="AG81">
        <v>0</v>
      </c>
      <c r="AH81">
        <v>-40000000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</row>
    <row r="82" spans="1:68">
      <c r="A82" s="3"/>
      <c r="B82" s="3"/>
      <c r="C82" s="3">
        <v>0</v>
      </c>
      <c r="D82" s="3">
        <v>-40000000</v>
      </c>
      <c r="E82" s="3">
        <v>0</v>
      </c>
      <c r="F82" s="3">
        <v>0</v>
      </c>
      <c r="G82" s="3">
        <v>40000000</v>
      </c>
      <c r="H82" s="3">
        <v>0</v>
      </c>
      <c r="I82" s="3"/>
      <c r="J82" s="3">
        <v>-1</v>
      </c>
      <c r="K82">
        <v>0</v>
      </c>
      <c r="L82">
        <v>0</v>
      </c>
      <c r="M82">
        <v>-1</v>
      </c>
      <c r="N82">
        <v>0</v>
      </c>
      <c r="O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-9600000</v>
      </c>
      <c r="AB82">
        <v>0</v>
      </c>
      <c r="AC82">
        <v>8000000</v>
      </c>
      <c r="AD82">
        <v>0</v>
      </c>
      <c r="AE82">
        <v>0</v>
      </c>
      <c r="AF82">
        <v>32000000</v>
      </c>
      <c r="AG82">
        <v>9600000</v>
      </c>
      <c r="AH82">
        <v>0</v>
      </c>
      <c r="AI82">
        <v>8000000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</row>
    <row r="83" spans="1:68">
      <c r="A83" s="3"/>
      <c r="B83" s="3"/>
      <c r="C83" s="3">
        <v>-9600000</v>
      </c>
      <c r="D83" s="3">
        <v>0</v>
      </c>
      <c r="E83" s="3">
        <v>8000000</v>
      </c>
      <c r="F83" s="3">
        <v>9600000</v>
      </c>
      <c r="G83" s="3">
        <v>0</v>
      </c>
      <c r="H83" s="3">
        <v>16000000</v>
      </c>
      <c r="I83" s="3"/>
      <c r="J83" s="3">
        <v>0</v>
      </c>
      <c r="K83">
        <v>0</v>
      </c>
      <c r="L83">
        <v>1</v>
      </c>
      <c r="M83">
        <v>0</v>
      </c>
      <c r="N83">
        <v>0</v>
      </c>
      <c r="O83">
        <v>1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-7680000</v>
      </c>
      <c r="AE83">
        <v>0</v>
      </c>
      <c r="AF83">
        <v>9600000</v>
      </c>
      <c r="AG83">
        <v>15360000</v>
      </c>
      <c r="AH83">
        <v>0</v>
      </c>
      <c r="AI83">
        <v>0</v>
      </c>
      <c r="AJ83">
        <v>-7680000</v>
      </c>
      <c r="AK83">
        <v>0</v>
      </c>
      <c r="AL83">
        <v>-9600000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</row>
    <row r="84" spans="1:68">
      <c r="A84" s="3"/>
      <c r="B84" s="3"/>
      <c r="C84" s="3"/>
      <c r="D84" s="3"/>
      <c r="E84" s="3"/>
      <c r="F84" s="3"/>
      <c r="G84" s="3"/>
      <c r="H84" s="3"/>
      <c r="I84" s="3"/>
      <c r="J84" s="3"/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-40000000</v>
      </c>
      <c r="AF84">
        <v>0</v>
      </c>
      <c r="AG84">
        <v>0</v>
      </c>
      <c r="AH84">
        <v>80000000</v>
      </c>
      <c r="AI84">
        <v>0</v>
      </c>
      <c r="AJ84">
        <v>0</v>
      </c>
      <c r="AK84">
        <v>-40000000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</row>
    <row r="85" spans="1:68">
      <c r="A85" s="3"/>
      <c r="B85" s="3"/>
      <c r="C85" s="3">
        <v>7680000</v>
      </c>
      <c r="D85" s="3">
        <v>0</v>
      </c>
      <c r="E85" s="3">
        <v>-9600000</v>
      </c>
      <c r="F85" s="3">
        <v>-7680000</v>
      </c>
      <c r="G85" s="3">
        <v>0</v>
      </c>
      <c r="H85" s="3">
        <v>-9600000</v>
      </c>
      <c r="I85" s="3"/>
      <c r="J85" s="3">
        <v>0</v>
      </c>
      <c r="K85">
        <v>1</v>
      </c>
      <c r="L85">
        <v>0</v>
      </c>
      <c r="M85">
        <v>0</v>
      </c>
      <c r="N85">
        <v>1</v>
      </c>
      <c r="O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-9600000</v>
      </c>
      <c r="AE85">
        <v>0</v>
      </c>
      <c r="AF85">
        <v>8000000</v>
      </c>
      <c r="AG85">
        <v>0</v>
      </c>
      <c r="AH85">
        <v>0</v>
      </c>
      <c r="AI85">
        <v>32000000</v>
      </c>
      <c r="AJ85">
        <v>9600000</v>
      </c>
      <c r="AK85">
        <v>0</v>
      </c>
      <c r="AL85">
        <v>8000000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</row>
    <row r="86" spans="1:68">
      <c r="A86" s="3"/>
      <c r="B86" s="3"/>
      <c r="C86" s="3">
        <v>0</v>
      </c>
      <c r="D86" s="3">
        <v>40000000</v>
      </c>
      <c r="E86" s="3">
        <v>0</v>
      </c>
      <c r="F86" s="3">
        <v>0</v>
      </c>
      <c r="G86" s="3">
        <v>-40000000</v>
      </c>
      <c r="H86" s="3">
        <v>0</v>
      </c>
      <c r="I86" s="3"/>
      <c r="J86" s="3">
        <v>-1</v>
      </c>
      <c r="K86">
        <v>0</v>
      </c>
      <c r="L86">
        <v>0</v>
      </c>
      <c r="M86">
        <v>-1</v>
      </c>
      <c r="N86">
        <v>0</v>
      </c>
      <c r="O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-7680000</v>
      </c>
      <c r="AH86">
        <v>0</v>
      </c>
      <c r="AI86">
        <v>9600000</v>
      </c>
      <c r="AJ86">
        <v>15360000</v>
      </c>
      <c r="AK86">
        <v>0</v>
      </c>
      <c r="AL86">
        <v>0</v>
      </c>
      <c r="AM86">
        <v>-7680000</v>
      </c>
      <c r="AN86">
        <v>0</v>
      </c>
      <c r="AO86">
        <v>-9600000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</row>
    <row r="87" spans="1:68">
      <c r="A87" s="3"/>
      <c r="C87">
        <v>-9600000</v>
      </c>
      <c r="D87">
        <v>0</v>
      </c>
      <c r="E87">
        <v>16000000</v>
      </c>
      <c r="F87">
        <v>9600000</v>
      </c>
      <c r="G87">
        <v>0</v>
      </c>
      <c r="H87" s="3">
        <v>8000000</v>
      </c>
      <c r="I87" s="3"/>
      <c r="J87" s="3">
        <v>0</v>
      </c>
      <c r="K87">
        <v>0</v>
      </c>
      <c r="L87">
        <v>1</v>
      </c>
      <c r="M87">
        <v>0</v>
      </c>
      <c r="N87">
        <v>0</v>
      </c>
      <c r="O87">
        <v>1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-40000000</v>
      </c>
      <c r="AI87">
        <v>0</v>
      </c>
      <c r="AJ87">
        <v>0</v>
      </c>
      <c r="AK87">
        <v>80000000</v>
      </c>
      <c r="AL87">
        <v>0</v>
      </c>
      <c r="AM87">
        <v>0</v>
      </c>
      <c r="AN87">
        <v>-40000000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</row>
    <row r="88" spans="1:68">
      <c r="A88" s="3"/>
      <c r="C88">
        <v>-7680000</v>
      </c>
      <c r="D88">
        <v>0</v>
      </c>
      <c r="E88">
        <v>9600000</v>
      </c>
      <c r="F88">
        <v>7680000</v>
      </c>
      <c r="G88">
        <v>0</v>
      </c>
      <c r="H88" s="3">
        <v>9600000</v>
      </c>
      <c r="I88" s="3"/>
      <c r="J88" s="3">
        <v>0</v>
      </c>
      <c r="K88">
        <v>1</v>
      </c>
      <c r="L88">
        <v>0</v>
      </c>
      <c r="M88">
        <v>0</v>
      </c>
      <c r="N88">
        <v>1</v>
      </c>
      <c r="O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-9600000</v>
      </c>
      <c r="AH88">
        <v>0</v>
      </c>
      <c r="AI88">
        <v>8000000</v>
      </c>
      <c r="AJ88">
        <v>0</v>
      </c>
      <c r="AK88">
        <v>0</v>
      </c>
      <c r="AL88">
        <v>32000000</v>
      </c>
      <c r="AM88">
        <v>9600000</v>
      </c>
      <c r="AN88">
        <v>0</v>
      </c>
      <c r="AO88">
        <v>8000000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</row>
    <row r="89" spans="1:68">
      <c r="A89" s="3"/>
      <c r="C89">
        <v>0</v>
      </c>
      <c r="D89">
        <v>-40000000</v>
      </c>
      <c r="E89">
        <v>0</v>
      </c>
      <c r="F89">
        <v>0</v>
      </c>
      <c r="G89">
        <v>40000000</v>
      </c>
      <c r="H89" s="3">
        <v>0</v>
      </c>
      <c r="I89" s="3"/>
      <c r="J89" s="3">
        <v>-1</v>
      </c>
      <c r="K89">
        <v>0</v>
      </c>
      <c r="L89">
        <v>0</v>
      </c>
      <c r="M89">
        <v>-1</v>
      </c>
      <c r="N89">
        <v>0</v>
      </c>
      <c r="O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-7680000</v>
      </c>
      <c r="AK89">
        <v>0</v>
      </c>
      <c r="AL89">
        <v>9600000</v>
      </c>
      <c r="AM89">
        <v>15360000</v>
      </c>
      <c r="AN89">
        <v>0</v>
      </c>
      <c r="AO89">
        <v>0</v>
      </c>
      <c r="AP89">
        <v>-7680000</v>
      </c>
      <c r="AQ89">
        <v>0</v>
      </c>
      <c r="AR89">
        <v>-9600000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</row>
    <row r="90" spans="1:68">
      <c r="A90" s="3"/>
      <c r="C90">
        <v>-9600000</v>
      </c>
      <c r="D90">
        <v>0</v>
      </c>
      <c r="E90">
        <v>8000000</v>
      </c>
      <c r="F90">
        <v>9600000</v>
      </c>
      <c r="G90">
        <v>0</v>
      </c>
      <c r="H90">
        <v>16000000</v>
      </c>
      <c r="J90">
        <v>0</v>
      </c>
      <c r="K90">
        <v>0</v>
      </c>
      <c r="L90">
        <v>1</v>
      </c>
      <c r="M90">
        <v>0</v>
      </c>
      <c r="N90">
        <v>0</v>
      </c>
      <c r="O90">
        <v>1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-40000000</v>
      </c>
      <c r="AL90">
        <v>0</v>
      </c>
      <c r="AM90">
        <v>0</v>
      </c>
      <c r="AN90">
        <v>80000000</v>
      </c>
      <c r="AO90">
        <v>0</v>
      </c>
      <c r="AP90">
        <v>0</v>
      </c>
      <c r="AQ90">
        <v>-40000000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</row>
    <row r="91" spans="1:68">
      <c r="A91" s="3"/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-9600000</v>
      </c>
      <c r="AK91">
        <v>0</v>
      </c>
      <c r="AL91">
        <v>8000000</v>
      </c>
      <c r="AM91">
        <v>0</v>
      </c>
      <c r="AN91">
        <v>0</v>
      </c>
      <c r="AO91">
        <v>32000000</v>
      </c>
      <c r="AP91">
        <v>9600000</v>
      </c>
      <c r="AQ91">
        <v>0</v>
      </c>
      <c r="AR91">
        <v>8000000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</row>
    <row r="92" spans="1:68">
      <c r="A92" s="3"/>
      <c r="C92">
        <v>7680000</v>
      </c>
      <c r="D92">
        <v>0</v>
      </c>
      <c r="E92">
        <v>-9600000</v>
      </c>
      <c r="F92">
        <v>-7680000</v>
      </c>
      <c r="G92">
        <v>0</v>
      </c>
      <c r="H92">
        <v>-9600000</v>
      </c>
      <c r="J92">
        <v>0</v>
      </c>
      <c r="K92">
        <v>1</v>
      </c>
      <c r="L92">
        <v>0</v>
      </c>
      <c r="M92">
        <v>0</v>
      </c>
      <c r="N92">
        <v>1</v>
      </c>
      <c r="O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-7680000</v>
      </c>
      <c r="AN92">
        <v>0</v>
      </c>
      <c r="AO92">
        <v>9600000</v>
      </c>
      <c r="AP92">
        <v>15360000</v>
      </c>
      <c r="AQ92">
        <v>0</v>
      </c>
      <c r="AR92">
        <v>0</v>
      </c>
      <c r="AS92">
        <v>-7680000</v>
      </c>
      <c r="AT92">
        <v>0</v>
      </c>
      <c r="AU92">
        <v>-9600000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</row>
    <row r="93" spans="1:68">
      <c r="A93" s="3"/>
      <c r="C93">
        <v>0</v>
      </c>
      <c r="D93">
        <v>40000000</v>
      </c>
      <c r="E93">
        <v>0</v>
      </c>
      <c r="F93">
        <v>0</v>
      </c>
      <c r="G93">
        <v>-40000000</v>
      </c>
      <c r="H93">
        <v>0</v>
      </c>
      <c r="J93">
        <v>-1</v>
      </c>
      <c r="K93">
        <v>0</v>
      </c>
      <c r="L93">
        <v>0</v>
      </c>
      <c r="M93">
        <v>-1</v>
      </c>
      <c r="N93">
        <v>0</v>
      </c>
      <c r="O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-40000000</v>
      </c>
      <c r="AO93">
        <v>0</v>
      </c>
      <c r="AP93">
        <v>0</v>
      </c>
      <c r="AQ93">
        <v>80000000</v>
      </c>
      <c r="AR93">
        <v>0</v>
      </c>
      <c r="AS93">
        <v>0</v>
      </c>
      <c r="AT93">
        <v>-40000000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</row>
    <row r="94" spans="1:68">
      <c r="A94" s="3"/>
      <c r="C94">
        <v>-9600000</v>
      </c>
      <c r="D94">
        <v>0</v>
      </c>
      <c r="E94">
        <v>16000000</v>
      </c>
      <c r="F94">
        <v>9600000</v>
      </c>
      <c r="G94">
        <v>0</v>
      </c>
      <c r="H94">
        <v>8000000</v>
      </c>
      <c r="J94">
        <v>0</v>
      </c>
      <c r="K94">
        <v>0</v>
      </c>
      <c r="L94">
        <v>1</v>
      </c>
      <c r="M94">
        <v>0</v>
      </c>
      <c r="N94">
        <v>0</v>
      </c>
      <c r="O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-9600000</v>
      </c>
      <c r="AN94">
        <v>0</v>
      </c>
      <c r="AO94">
        <v>8000000</v>
      </c>
      <c r="AP94">
        <v>0</v>
      </c>
      <c r="AQ94">
        <v>0</v>
      </c>
      <c r="AR94">
        <v>32000000</v>
      </c>
      <c r="AS94">
        <v>9600000</v>
      </c>
      <c r="AT94">
        <v>0</v>
      </c>
      <c r="AU94">
        <v>8000000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</row>
    <row r="95" spans="1:68">
      <c r="A95" s="3"/>
      <c r="C95">
        <v>-7680000</v>
      </c>
      <c r="D95">
        <v>0</v>
      </c>
      <c r="E95">
        <v>9600000</v>
      </c>
      <c r="F95">
        <v>7680000</v>
      </c>
      <c r="G95">
        <v>0</v>
      </c>
      <c r="H95">
        <v>9600000</v>
      </c>
      <c r="J95">
        <v>0</v>
      </c>
      <c r="K95">
        <v>1</v>
      </c>
      <c r="L95">
        <v>0</v>
      </c>
      <c r="M95">
        <v>0</v>
      </c>
      <c r="N95">
        <v>1</v>
      </c>
      <c r="O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-7680000</v>
      </c>
      <c r="AQ95">
        <v>0</v>
      </c>
      <c r="AR95">
        <v>9600000</v>
      </c>
      <c r="AS95">
        <v>7680000</v>
      </c>
      <c r="AT95">
        <v>0</v>
      </c>
      <c r="AU95">
        <v>9600000</v>
      </c>
      <c r="AV95">
        <v>-120000000</v>
      </c>
      <c r="AW95">
        <v>0</v>
      </c>
      <c r="AX95">
        <v>-60000000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</row>
    <row r="96" spans="1:68">
      <c r="A96" s="3"/>
      <c r="C96">
        <v>0</v>
      </c>
      <c r="D96">
        <v>-40000000</v>
      </c>
      <c r="E96">
        <v>0</v>
      </c>
      <c r="F96">
        <v>0</v>
      </c>
      <c r="G96">
        <v>40000000</v>
      </c>
      <c r="H96">
        <v>0</v>
      </c>
      <c r="J96">
        <v>-1</v>
      </c>
      <c r="K96">
        <v>0</v>
      </c>
      <c r="L96">
        <v>0</v>
      </c>
      <c r="M96">
        <v>-1</v>
      </c>
      <c r="N96">
        <v>0</v>
      </c>
      <c r="O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-40000000</v>
      </c>
      <c r="AR96">
        <v>0</v>
      </c>
      <c r="AS96">
        <v>0</v>
      </c>
      <c r="AT96">
        <v>40000000</v>
      </c>
      <c r="AU96">
        <v>0</v>
      </c>
      <c r="AV96">
        <v>0</v>
      </c>
      <c r="AW96">
        <v>-100000000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</row>
    <row r="97" spans="1:68">
      <c r="A97" s="3"/>
      <c r="C97">
        <v>-9600000</v>
      </c>
      <c r="D97">
        <v>0</v>
      </c>
      <c r="E97">
        <v>8000000</v>
      </c>
      <c r="F97">
        <v>9600000</v>
      </c>
      <c r="G97">
        <v>0</v>
      </c>
      <c r="H97">
        <v>16000000</v>
      </c>
      <c r="J97">
        <v>0</v>
      </c>
      <c r="K97">
        <v>0</v>
      </c>
      <c r="L97">
        <v>1</v>
      </c>
      <c r="M97">
        <v>0</v>
      </c>
      <c r="N97">
        <v>0</v>
      </c>
      <c r="O97">
        <v>1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-9600000</v>
      </c>
      <c r="AQ97">
        <v>0</v>
      </c>
      <c r="AR97">
        <v>8000000</v>
      </c>
      <c r="AS97">
        <v>9600000</v>
      </c>
      <c r="AT97">
        <v>0</v>
      </c>
      <c r="AU97">
        <v>16000000</v>
      </c>
      <c r="AV97">
        <v>60000000</v>
      </c>
      <c r="AW97">
        <v>0</v>
      </c>
      <c r="AX97">
        <v>20000000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</row>
    <row r="98" spans="1:68">
      <c r="A98" s="3"/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-120000000</v>
      </c>
      <c r="AT98">
        <v>0</v>
      </c>
      <c r="AU98">
        <v>60000000</v>
      </c>
      <c r="AV98">
        <v>240000000</v>
      </c>
      <c r="AW98">
        <v>0</v>
      </c>
      <c r="AX98">
        <v>0</v>
      </c>
      <c r="AY98">
        <v>-120000000</v>
      </c>
      <c r="AZ98">
        <v>0</v>
      </c>
      <c r="BA98">
        <v>-60000000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</row>
    <row r="99" spans="1:68">
      <c r="A99" s="3"/>
      <c r="C99">
        <v>7680000</v>
      </c>
      <c r="D99">
        <v>0</v>
      </c>
      <c r="E99">
        <v>-9600000</v>
      </c>
      <c r="F99">
        <v>-7680000</v>
      </c>
      <c r="G99">
        <v>0</v>
      </c>
      <c r="H99">
        <v>-9600000</v>
      </c>
      <c r="J99">
        <v>0</v>
      </c>
      <c r="K99">
        <v>1</v>
      </c>
      <c r="L99">
        <v>0</v>
      </c>
      <c r="M99">
        <v>0</v>
      </c>
      <c r="N99">
        <v>1</v>
      </c>
      <c r="O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-100000000</v>
      </c>
      <c r="AU99">
        <v>0</v>
      </c>
      <c r="AV99">
        <v>0</v>
      </c>
      <c r="AW99">
        <v>200000000</v>
      </c>
      <c r="AX99">
        <v>0</v>
      </c>
      <c r="AY99">
        <v>0</v>
      </c>
      <c r="AZ99">
        <v>-100000000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</row>
    <row r="100" spans="1:68">
      <c r="A100" s="3"/>
      <c r="C100">
        <v>0</v>
      </c>
      <c r="D100">
        <v>40000000</v>
      </c>
      <c r="E100">
        <v>0</v>
      </c>
      <c r="F100">
        <v>0</v>
      </c>
      <c r="G100">
        <v>-40000000</v>
      </c>
      <c r="H100">
        <v>0</v>
      </c>
      <c r="J100">
        <v>-1</v>
      </c>
      <c r="K100">
        <v>0</v>
      </c>
      <c r="L100">
        <v>0</v>
      </c>
      <c r="M100" s="7">
        <v>-1</v>
      </c>
      <c r="N100">
        <v>0</v>
      </c>
      <c r="O100">
        <v>0</v>
      </c>
      <c r="P100" s="2"/>
      <c r="S100" s="2"/>
      <c r="T100" s="2"/>
      <c r="U100" s="3">
        <v>0</v>
      </c>
      <c r="V100" s="3">
        <v>0</v>
      </c>
      <c r="W100">
        <v>0</v>
      </c>
      <c r="X100" s="20">
        <v>0</v>
      </c>
      <c r="Y100" s="21">
        <v>0</v>
      </c>
      <c r="Z100" s="21">
        <v>0</v>
      </c>
      <c r="AA100" s="21">
        <v>0</v>
      </c>
      <c r="AB100" s="22">
        <v>0</v>
      </c>
      <c r="AC100" s="22">
        <v>0</v>
      </c>
      <c r="AD100" s="22">
        <v>0</v>
      </c>
      <c r="AE100" s="23">
        <v>0</v>
      </c>
      <c r="AF100" s="24">
        <v>0</v>
      </c>
      <c r="AG100" s="24">
        <v>0</v>
      </c>
      <c r="AH100" s="24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-60000000</v>
      </c>
      <c r="AT100">
        <v>0</v>
      </c>
      <c r="AU100">
        <v>20000000</v>
      </c>
      <c r="AV100">
        <v>0</v>
      </c>
      <c r="AW100">
        <v>0</v>
      </c>
      <c r="AX100">
        <v>80000000</v>
      </c>
      <c r="AY100">
        <v>60000000</v>
      </c>
      <c r="AZ100">
        <v>0</v>
      </c>
      <c r="BA100">
        <v>20000000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</row>
    <row r="101" spans="1:68">
      <c r="A101" s="3"/>
      <c r="C101">
        <v>-9600000</v>
      </c>
      <c r="D101">
        <v>0</v>
      </c>
      <c r="E101">
        <v>16000000</v>
      </c>
      <c r="F101">
        <v>9600000</v>
      </c>
      <c r="G101">
        <v>0</v>
      </c>
      <c r="H101">
        <v>8000000</v>
      </c>
      <c r="J101">
        <v>0</v>
      </c>
      <c r="K101">
        <v>0</v>
      </c>
      <c r="L101">
        <v>1</v>
      </c>
      <c r="M101" s="7">
        <v>0</v>
      </c>
      <c r="N101">
        <v>0</v>
      </c>
      <c r="O101">
        <v>1</v>
      </c>
      <c r="P101" s="2"/>
      <c r="S101" s="2"/>
      <c r="T101" s="2"/>
      <c r="U101" s="3">
        <v>0</v>
      </c>
      <c r="V101" s="3">
        <v>0</v>
      </c>
      <c r="W101">
        <v>0</v>
      </c>
      <c r="X101" s="20">
        <v>0</v>
      </c>
      <c r="Y101" s="21">
        <v>0</v>
      </c>
      <c r="Z101" s="21">
        <v>0</v>
      </c>
      <c r="AA101" s="21">
        <v>0</v>
      </c>
      <c r="AB101" s="22">
        <v>0</v>
      </c>
      <c r="AC101" s="22">
        <v>0</v>
      </c>
      <c r="AD101" s="22">
        <v>0</v>
      </c>
      <c r="AE101" s="23">
        <v>0</v>
      </c>
      <c r="AF101" s="24">
        <v>0</v>
      </c>
      <c r="AG101" s="24">
        <v>0</v>
      </c>
      <c r="AH101" s="24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-120000000</v>
      </c>
      <c r="AW101">
        <v>0</v>
      </c>
      <c r="AX101">
        <v>60000000</v>
      </c>
      <c r="AY101">
        <v>120000000</v>
      </c>
      <c r="AZ101">
        <v>0</v>
      </c>
      <c r="BA101">
        <v>60000000</v>
      </c>
      <c r="BB101">
        <v>-120000000</v>
      </c>
      <c r="BC101">
        <v>0</v>
      </c>
      <c r="BD101">
        <v>-60000000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</row>
    <row r="102" spans="1:68">
      <c r="A102" s="3"/>
      <c r="C102">
        <v>-7680000</v>
      </c>
      <c r="D102">
        <v>0</v>
      </c>
      <c r="E102">
        <v>9600000</v>
      </c>
      <c r="F102">
        <v>7680000</v>
      </c>
      <c r="G102">
        <v>0</v>
      </c>
      <c r="H102">
        <v>9600000</v>
      </c>
      <c r="J102">
        <v>0</v>
      </c>
      <c r="K102">
        <v>1</v>
      </c>
      <c r="L102">
        <v>0</v>
      </c>
      <c r="M102" s="7">
        <v>0</v>
      </c>
      <c r="N102">
        <v>1</v>
      </c>
      <c r="O102">
        <v>0</v>
      </c>
      <c r="P102" s="2"/>
      <c r="S102" s="2"/>
      <c r="T102" s="2"/>
      <c r="U102" s="3">
        <v>0</v>
      </c>
      <c r="V102" s="3">
        <v>0</v>
      </c>
      <c r="W102">
        <v>0</v>
      </c>
      <c r="X102" s="20">
        <v>0</v>
      </c>
      <c r="Y102" s="21">
        <v>0</v>
      </c>
      <c r="Z102" s="21">
        <v>0</v>
      </c>
      <c r="AA102" s="21">
        <v>0</v>
      </c>
      <c r="AB102" s="22">
        <v>0</v>
      </c>
      <c r="AC102" s="22">
        <v>0</v>
      </c>
      <c r="AD102" s="22">
        <v>0</v>
      </c>
      <c r="AE102" s="23">
        <v>0</v>
      </c>
      <c r="AF102" s="24">
        <v>0</v>
      </c>
      <c r="AG102" s="24">
        <v>0</v>
      </c>
      <c r="AH102" s="24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-100000000</v>
      </c>
      <c r="AX102">
        <v>0</v>
      </c>
      <c r="AY102">
        <v>0</v>
      </c>
      <c r="AZ102">
        <v>100000000</v>
      </c>
      <c r="BA102">
        <v>0</v>
      </c>
      <c r="BB102">
        <v>0</v>
      </c>
      <c r="BC102">
        <v>-100000000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</row>
    <row r="103" spans="1:68">
      <c r="A103" s="3"/>
      <c r="C103">
        <v>0</v>
      </c>
      <c r="D103">
        <v>-40000000</v>
      </c>
      <c r="E103">
        <v>0</v>
      </c>
      <c r="F103">
        <v>0</v>
      </c>
      <c r="G103">
        <v>40000000</v>
      </c>
      <c r="H103">
        <v>0</v>
      </c>
      <c r="J103">
        <v>-1</v>
      </c>
      <c r="K103">
        <v>0</v>
      </c>
      <c r="L103">
        <v>0</v>
      </c>
      <c r="M103" s="7">
        <v>-1</v>
      </c>
      <c r="N103">
        <v>0</v>
      </c>
      <c r="O103">
        <v>0</v>
      </c>
      <c r="P103" s="2"/>
      <c r="S103" s="2"/>
      <c r="T103" s="2"/>
      <c r="U103" s="3">
        <v>0</v>
      </c>
      <c r="V103" s="3">
        <v>0</v>
      </c>
      <c r="W103">
        <v>0</v>
      </c>
      <c r="X103" s="20">
        <v>0</v>
      </c>
      <c r="Y103" s="21">
        <v>0</v>
      </c>
      <c r="Z103" s="21">
        <v>0</v>
      </c>
      <c r="AA103" s="21">
        <v>0</v>
      </c>
      <c r="AB103" s="22">
        <v>0</v>
      </c>
      <c r="AC103" s="22">
        <v>0</v>
      </c>
      <c r="AD103" s="22">
        <v>0</v>
      </c>
      <c r="AE103" s="23">
        <v>0</v>
      </c>
      <c r="AF103" s="24">
        <v>0</v>
      </c>
      <c r="AG103" s="24">
        <v>0</v>
      </c>
      <c r="AH103" s="24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-60000000</v>
      </c>
      <c r="AW103">
        <v>0</v>
      </c>
      <c r="AX103">
        <v>20000000</v>
      </c>
      <c r="AY103">
        <v>60000000</v>
      </c>
      <c r="AZ103">
        <v>0</v>
      </c>
      <c r="BA103">
        <v>40000000</v>
      </c>
      <c r="BB103">
        <v>60000000</v>
      </c>
      <c r="BC103">
        <v>0</v>
      </c>
      <c r="BD103">
        <v>20000000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</row>
    <row r="104" spans="1:68">
      <c r="A104" s="3"/>
      <c r="C104">
        <v>-9600000</v>
      </c>
      <c r="D104">
        <v>0</v>
      </c>
      <c r="E104">
        <v>8000000</v>
      </c>
      <c r="F104">
        <v>9600000</v>
      </c>
      <c r="G104">
        <v>0</v>
      </c>
      <c r="H104">
        <v>16000000</v>
      </c>
      <c r="J104">
        <v>0</v>
      </c>
      <c r="K104">
        <v>0</v>
      </c>
      <c r="L104">
        <v>1</v>
      </c>
      <c r="M104" s="7">
        <v>0</v>
      </c>
      <c r="N104">
        <v>0</v>
      </c>
      <c r="O104">
        <v>1</v>
      </c>
      <c r="P104" s="2"/>
      <c r="S104" s="2"/>
      <c r="T104" s="2"/>
      <c r="U104" s="3">
        <v>0</v>
      </c>
      <c r="V104" s="3">
        <v>0</v>
      </c>
      <c r="W104">
        <v>0</v>
      </c>
      <c r="X104" s="20">
        <v>0</v>
      </c>
      <c r="Y104" s="21">
        <v>0</v>
      </c>
      <c r="Z104" s="21">
        <v>0</v>
      </c>
      <c r="AA104" s="21">
        <v>0</v>
      </c>
      <c r="AB104" s="22">
        <v>0</v>
      </c>
      <c r="AC104" s="22">
        <v>0</v>
      </c>
      <c r="AD104" s="22">
        <v>0</v>
      </c>
      <c r="AE104" s="23">
        <v>0</v>
      </c>
      <c r="AF104" s="24">
        <v>0</v>
      </c>
      <c r="AG104" s="24">
        <v>0</v>
      </c>
      <c r="AH104" s="2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-120000000</v>
      </c>
      <c r="AZ104">
        <v>0</v>
      </c>
      <c r="BA104">
        <v>60000000</v>
      </c>
      <c r="BB104">
        <v>240000000</v>
      </c>
      <c r="BC104">
        <v>0</v>
      </c>
      <c r="BD104">
        <v>0</v>
      </c>
      <c r="BE104">
        <v>-120000000</v>
      </c>
      <c r="BF104">
        <v>0</v>
      </c>
      <c r="BG104">
        <v>-60000000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</row>
    <row r="105" spans="1:68">
      <c r="A105" s="3"/>
      <c r="M105" s="7"/>
      <c r="P105" s="2"/>
      <c r="S105" s="2"/>
      <c r="T105" s="2"/>
      <c r="U105" s="3">
        <v>0</v>
      </c>
      <c r="V105" s="3">
        <v>0</v>
      </c>
      <c r="W105">
        <v>0</v>
      </c>
      <c r="X105" s="20">
        <v>0</v>
      </c>
      <c r="Y105" s="21">
        <v>0</v>
      </c>
      <c r="Z105" s="21">
        <v>0</v>
      </c>
      <c r="AA105" s="21">
        <v>0</v>
      </c>
      <c r="AB105" s="22">
        <v>0</v>
      </c>
      <c r="AC105" s="22">
        <v>0</v>
      </c>
      <c r="AD105" s="22">
        <v>0</v>
      </c>
      <c r="AE105" s="23">
        <v>0</v>
      </c>
      <c r="AF105" s="24">
        <v>0</v>
      </c>
      <c r="AG105" s="24">
        <v>0</v>
      </c>
      <c r="AH105" s="24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-100000000</v>
      </c>
      <c r="BA105">
        <v>0</v>
      </c>
      <c r="BB105">
        <v>0</v>
      </c>
      <c r="BC105">
        <v>200000000</v>
      </c>
      <c r="BD105">
        <v>0</v>
      </c>
      <c r="BE105">
        <v>0</v>
      </c>
      <c r="BF105">
        <v>-100000000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</row>
    <row r="106" spans="1:68">
      <c r="A106" s="3"/>
      <c r="C106">
        <v>7680000</v>
      </c>
      <c r="D106">
        <v>0</v>
      </c>
      <c r="E106">
        <v>-9600000</v>
      </c>
      <c r="F106">
        <v>-7680000</v>
      </c>
      <c r="G106">
        <v>0</v>
      </c>
      <c r="H106">
        <v>-9600000</v>
      </c>
      <c r="J106">
        <v>0</v>
      </c>
      <c r="K106">
        <v>1</v>
      </c>
      <c r="L106">
        <v>0</v>
      </c>
      <c r="M106" s="7">
        <v>0</v>
      </c>
      <c r="N106">
        <v>1</v>
      </c>
      <c r="O106">
        <v>0</v>
      </c>
      <c r="P106" s="2"/>
      <c r="S106" s="2"/>
      <c r="T106" s="2"/>
      <c r="U106" s="3">
        <v>0</v>
      </c>
      <c r="V106" s="3">
        <v>0</v>
      </c>
      <c r="W106">
        <v>0</v>
      </c>
      <c r="X106" s="20">
        <v>0</v>
      </c>
      <c r="Y106" s="21">
        <v>0</v>
      </c>
      <c r="Z106" s="21">
        <v>0</v>
      </c>
      <c r="AA106" s="21">
        <v>0</v>
      </c>
      <c r="AB106" s="22">
        <v>0</v>
      </c>
      <c r="AC106" s="22">
        <v>0</v>
      </c>
      <c r="AD106" s="22">
        <v>0</v>
      </c>
      <c r="AE106" s="23">
        <v>0</v>
      </c>
      <c r="AF106" s="24">
        <v>0</v>
      </c>
      <c r="AG106" s="24">
        <v>0</v>
      </c>
      <c r="AH106" s="24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-60000000</v>
      </c>
      <c r="AZ106">
        <v>0</v>
      </c>
      <c r="BA106">
        <v>20000000</v>
      </c>
      <c r="BB106">
        <v>0</v>
      </c>
      <c r="BC106">
        <v>0</v>
      </c>
      <c r="BD106">
        <v>80000000</v>
      </c>
      <c r="BE106">
        <v>60000000</v>
      </c>
      <c r="BF106">
        <v>0</v>
      </c>
      <c r="BG106">
        <v>20000000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</row>
    <row r="107" spans="1:68">
      <c r="A107" s="3"/>
      <c r="C107">
        <v>0</v>
      </c>
      <c r="D107">
        <v>40000000</v>
      </c>
      <c r="E107">
        <v>0</v>
      </c>
      <c r="F107">
        <v>0</v>
      </c>
      <c r="G107">
        <v>-40000000</v>
      </c>
      <c r="H107">
        <v>0</v>
      </c>
      <c r="J107">
        <v>-1</v>
      </c>
      <c r="K107">
        <v>0</v>
      </c>
      <c r="L107">
        <v>0</v>
      </c>
      <c r="M107" s="7">
        <v>-1</v>
      </c>
      <c r="N107">
        <v>0</v>
      </c>
      <c r="O107">
        <v>0</v>
      </c>
      <c r="P107" s="2"/>
      <c r="S107" s="2"/>
      <c r="T107" s="2"/>
      <c r="U107" s="3">
        <v>0</v>
      </c>
      <c r="V107" s="3">
        <v>0</v>
      </c>
      <c r="W107">
        <v>0</v>
      </c>
      <c r="X107" s="20">
        <v>0</v>
      </c>
      <c r="Y107" s="21">
        <v>0</v>
      </c>
      <c r="Z107" s="21">
        <v>0</v>
      </c>
      <c r="AA107" s="21">
        <v>0</v>
      </c>
      <c r="AB107" s="22">
        <v>0</v>
      </c>
      <c r="AC107" s="22">
        <v>0</v>
      </c>
      <c r="AD107" s="22">
        <v>0</v>
      </c>
      <c r="AE107" s="23">
        <v>0</v>
      </c>
      <c r="AF107" s="24">
        <v>0</v>
      </c>
      <c r="AG107" s="24">
        <v>0</v>
      </c>
      <c r="AH107" s="24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-120000000</v>
      </c>
      <c r="BC107">
        <v>0</v>
      </c>
      <c r="BD107">
        <v>60000000</v>
      </c>
      <c r="BE107">
        <v>240000000</v>
      </c>
      <c r="BF107">
        <v>0</v>
      </c>
      <c r="BG107">
        <v>0</v>
      </c>
      <c r="BH107">
        <v>-120000000</v>
      </c>
      <c r="BI107">
        <v>0</v>
      </c>
      <c r="BJ107">
        <v>-60000000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</row>
    <row r="108" spans="1:68">
      <c r="A108" s="3"/>
      <c r="C108">
        <v>-9600000</v>
      </c>
      <c r="D108">
        <v>0</v>
      </c>
      <c r="E108">
        <v>16000000</v>
      </c>
      <c r="F108">
        <v>9600000</v>
      </c>
      <c r="G108">
        <v>0</v>
      </c>
      <c r="H108">
        <v>8000000</v>
      </c>
      <c r="J108">
        <v>0</v>
      </c>
      <c r="K108">
        <v>0</v>
      </c>
      <c r="L108">
        <v>1</v>
      </c>
      <c r="M108" s="7">
        <v>0</v>
      </c>
      <c r="N108">
        <v>0</v>
      </c>
      <c r="O108">
        <v>1</v>
      </c>
      <c r="P108" s="2"/>
      <c r="S108" s="2"/>
      <c r="T108" s="2"/>
      <c r="U108" s="3">
        <v>0</v>
      </c>
      <c r="V108" s="3">
        <v>0</v>
      </c>
      <c r="W108">
        <v>0</v>
      </c>
      <c r="X108" s="20">
        <v>0</v>
      </c>
      <c r="Y108" s="21">
        <v>0</v>
      </c>
      <c r="Z108" s="21">
        <v>0</v>
      </c>
      <c r="AA108" s="21">
        <v>0</v>
      </c>
      <c r="AB108" s="22">
        <v>0</v>
      </c>
      <c r="AC108" s="22">
        <v>0</v>
      </c>
      <c r="AD108" s="22">
        <v>0</v>
      </c>
      <c r="AE108" s="23">
        <v>0</v>
      </c>
      <c r="AF108" s="24">
        <v>0</v>
      </c>
      <c r="AG108" s="24">
        <v>0</v>
      </c>
      <c r="AH108" s="24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-100000000</v>
      </c>
      <c r="BD108">
        <v>0</v>
      </c>
      <c r="BE108">
        <v>0</v>
      </c>
      <c r="BF108">
        <v>200000000</v>
      </c>
      <c r="BG108">
        <v>0</v>
      </c>
      <c r="BH108">
        <v>0</v>
      </c>
      <c r="BI108">
        <v>-100000000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</row>
    <row r="109" spans="1:68">
      <c r="A109" s="3"/>
      <c r="C109">
        <v>-7680000</v>
      </c>
      <c r="D109">
        <v>0</v>
      </c>
      <c r="E109">
        <v>9600000</v>
      </c>
      <c r="F109">
        <v>7680000</v>
      </c>
      <c r="G109">
        <v>0</v>
      </c>
      <c r="H109">
        <v>9600000</v>
      </c>
      <c r="J109">
        <v>0</v>
      </c>
      <c r="K109">
        <v>1</v>
      </c>
      <c r="L109">
        <v>0</v>
      </c>
      <c r="M109" s="7">
        <v>0</v>
      </c>
      <c r="N109">
        <v>1</v>
      </c>
      <c r="O109">
        <v>0</v>
      </c>
      <c r="P109" s="2"/>
      <c r="S109" s="2"/>
      <c r="T109" s="2"/>
      <c r="U109" s="3">
        <v>0</v>
      </c>
      <c r="V109" s="3">
        <v>0</v>
      </c>
      <c r="W109">
        <v>0</v>
      </c>
      <c r="X109" s="20">
        <v>0</v>
      </c>
      <c r="Y109" s="21">
        <v>0</v>
      </c>
      <c r="Z109" s="21">
        <v>0</v>
      </c>
      <c r="AA109" s="21">
        <v>0</v>
      </c>
      <c r="AB109" s="22">
        <v>0</v>
      </c>
      <c r="AC109" s="22">
        <v>0</v>
      </c>
      <c r="AD109" s="22">
        <v>0</v>
      </c>
      <c r="AE109" s="23">
        <v>0</v>
      </c>
      <c r="AF109" s="24">
        <v>0</v>
      </c>
      <c r="AG109" s="24">
        <v>0</v>
      </c>
      <c r="AH109" s="24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-60000000</v>
      </c>
      <c r="BC109">
        <v>0</v>
      </c>
      <c r="BD109">
        <v>20000000</v>
      </c>
      <c r="BE109">
        <v>0</v>
      </c>
      <c r="BF109">
        <v>0</v>
      </c>
      <c r="BG109">
        <v>80000000</v>
      </c>
      <c r="BH109">
        <v>60000000</v>
      </c>
      <c r="BI109">
        <v>0</v>
      </c>
      <c r="BJ109">
        <v>20000000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</row>
    <row r="110" spans="1:68">
      <c r="A110" s="3"/>
      <c r="C110">
        <v>0</v>
      </c>
      <c r="D110">
        <v>-40000000</v>
      </c>
      <c r="E110">
        <v>0</v>
      </c>
      <c r="F110">
        <v>0</v>
      </c>
      <c r="G110">
        <v>40000000</v>
      </c>
      <c r="H110">
        <v>0</v>
      </c>
      <c r="J110">
        <v>-1</v>
      </c>
      <c r="K110">
        <v>0</v>
      </c>
      <c r="L110">
        <v>0</v>
      </c>
      <c r="M110" s="7">
        <v>-1</v>
      </c>
      <c r="N110">
        <v>0</v>
      </c>
      <c r="O110">
        <v>0</v>
      </c>
      <c r="P110" s="2"/>
      <c r="S110" s="2"/>
      <c r="T110" s="2"/>
      <c r="U110" s="3">
        <v>0</v>
      </c>
      <c r="V110" s="3">
        <v>0</v>
      </c>
      <c r="W110">
        <v>0</v>
      </c>
      <c r="X110" s="20">
        <v>0</v>
      </c>
      <c r="Y110" s="21">
        <v>0</v>
      </c>
      <c r="Z110" s="21">
        <v>0</v>
      </c>
      <c r="AA110" s="21">
        <v>0</v>
      </c>
      <c r="AB110" s="22">
        <v>0</v>
      </c>
      <c r="AC110" s="22">
        <v>0</v>
      </c>
      <c r="AD110" s="22">
        <v>0</v>
      </c>
      <c r="AE110" s="23">
        <v>0</v>
      </c>
      <c r="AF110" s="24">
        <v>0</v>
      </c>
      <c r="AG110" s="24">
        <v>0</v>
      </c>
      <c r="AH110" s="24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-120000000</v>
      </c>
      <c r="BF110">
        <v>0</v>
      </c>
      <c r="BG110">
        <v>60000000</v>
      </c>
      <c r="BH110">
        <v>240000000</v>
      </c>
      <c r="BI110">
        <v>0</v>
      </c>
      <c r="BJ110">
        <v>0</v>
      </c>
      <c r="BK110">
        <v>-120000000</v>
      </c>
      <c r="BL110">
        <v>0</v>
      </c>
      <c r="BM110">
        <v>-60000000</v>
      </c>
      <c r="BN110">
        <v>0</v>
      </c>
      <c r="BO110">
        <v>0</v>
      </c>
      <c r="BP110">
        <v>0</v>
      </c>
    </row>
    <row r="111" spans="1:68">
      <c r="C111">
        <v>-9600000</v>
      </c>
      <c r="D111">
        <v>0</v>
      </c>
      <c r="E111">
        <v>8000000</v>
      </c>
      <c r="F111">
        <v>9600000</v>
      </c>
      <c r="G111">
        <v>0</v>
      </c>
      <c r="H111">
        <v>16000000</v>
      </c>
      <c r="J111">
        <v>0</v>
      </c>
      <c r="K111">
        <v>0</v>
      </c>
      <c r="L111">
        <v>1</v>
      </c>
      <c r="M111" s="7">
        <v>0</v>
      </c>
      <c r="N111">
        <v>0</v>
      </c>
      <c r="O111">
        <v>1</v>
      </c>
      <c r="P111" s="2"/>
      <c r="S111" s="2"/>
      <c r="T111" s="2"/>
      <c r="U111" s="3">
        <v>0</v>
      </c>
      <c r="V111" s="3">
        <v>0</v>
      </c>
      <c r="W111">
        <v>0</v>
      </c>
      <c r="X111" s="20">
        <v>0</v>
      </c>
      <c r="Y111" s="21">
        <v>0</v>
      </c>
      <c r="Z111" s="21">
        <v>0</v>
      </c>
      <c r="AA111" s="21">
        <v>0</v>
      </c>
      <c r="AB111" s="22">
        <v>0</v>
      </c>
      <c r="AC111" s="22">
        <v>0</v>
      </c>
      <c r="AD111" s="22">
        <v>0</v>
      </c>
      <c r="AE111" s="23">
        <v>0</v>
      </c>
      <c r="AF111" s="24">
        <v>0</v>
      </c>
      <c r="AG111" s="24">
        <v>0</v>
      </c>
      <c r="AH111" s="24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-100000000</v>
      </c>
      <c r="BG111">
        <v>0</v>
      </c>
      <c r="BH111">
        <v>0</v>
      </c>
      <c r="BI111">
        <v>200000000</v>
      </c>
      <c r="BJ111">
        <v>0</v>
      </c>
      <c r="BK111">
        <v>0</v>
      </c>
      <c r="BL111">
        <v>-100000000</v>
      </c>
      <c r="BM111">
        <v>0</v>
      </c>
      <c r="BN111">
        <v>0</v>
      </c>
      <c r="BO111">
        <v>0</v>
      </c>
      <c r="BP111">
        <v>0</v>
      </c>
    </row>
    <row r="112" spans="1:68">
      <c r="M112" s="7"/>
      <c r="P112" s="2"/>
      <c r="S112" s="2"/>
      <c r="T112" s="2"/>
      <c r="U112" s="3">
        <v>0</v>
      </c>
      <c r="V112" s="3">
        <v>0</v>
      </c>
      <c r="W112">
        <v>0</v>
      </c>
      <c r="X112" s="20">
        <v>0</v>
      </c>
      <c r="Y112" s="21">
        <v>0</v>
      </c>
      <c r="Z112" s="21">
        <v>0</v>
      </c>
      <c r="AA112" s="21">
        <v>0</v>
      </c>
      <c r="AB112" s="22">
        <v>0</v>
      </c>
      <c r="AC112" s="22">
        <v>0</v>
      </c>
      <c r="AD112" s="22">
        <v>0</v>
      </c>
      <c r="AE112" s="23">
        <v>0</v>
      </c>
      <c r="AF112" s="24">
        <v>0</v>
      </c>
      <c r="AG112" s="24">
        <v>0</v>
      </c>
      <c r="AH112" s="24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-60000000</v>
      </c>
      <c r="BF112">
        <v>0</v>
      </c>
      <c r="BG112">
        <v>20000000</v>
      </c>
      <c r="BH112">
        <v>0</v>
      </c>
      <c r="BI112">
        <v>0</v>
      </c>
      <c r="BJ112">
        <v>80000000</v>
      </c>
      <c r="BK112">
        <v>60000000</v>
      </c>
      <c r="BL112">
        <v>0</v>
      </c>
      <c r="BM112">
        <v>20000000</v>
      </c>
      <c r="BN112">
        <v>0</v>
      </c>
      <c r="BO112">
        <v>0</v>
      </c>
      <c r="BP112">
        <v>0</v>
      </c>
    </row>
    <row r="113" spans="3:68">
      <c r="C113">
        <v>7680000</v>
      </c>
      <c r="D113">
        <v>0</v>
      </c>
      <c r="E113">
        <v>-9600000</v>
      </c>
      <c r="F113">
        <v>-7680000</v>
      </c>
      <c r="G113">
        <v>0</v>
      </c>
      <c r="H113">
        <v>-9600000</v>
      </c>
      <c r="J113">
        <v>0</v>
      </c>
      <c r="K113">
        <v>1</v>
      </c>
      <c r="L113">
        <v>0</v>
      </c>
      <c r="M113" s="7">
        <v>0</v>
      </c>
      <c r="N113">
        <v>1</v>
      </c>
      <c r="O113">
        <v>0</v>
      </c>
      <c r="P113" s="2"/>
      <c r="S113" s="2"/>
      <c r="T113" s="2"/>
      <c r="U113" s="3">
        <v>0</v>
      </c>
      <c r="V113" s="3">
        <v>0</v>
      </c>
      <c r="W113">
        <v>0</v>
      </c>
      <c r="X113" s="20">
        <v>0</v>
      </c>
      <c r="Y113" s="21">
        <v>0</v>
      </c>
      <c r="Z113" s="21">
        <v>0</v>
      </c>
      <c r="AA113" s="21">
        <v>0</v>
      </c>
      <c r="AB113" s="22">
        <v>0</v>
      </c>
      <c r="AC113" s="22">
        <v>0</v>
      </c>
      <c r="AD113" s="22">
        <v>0</v>
      </c>
      <c r="AE113" s="23">
        <v>0</v>
      </c>
      <c r="AF113" s="24">
        <v>0</v>
      </c>
      <c r="AG113" s="24">
        <v>0</v>
      </c>
      <c r="AH113" s="24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-120000000</v>
      </c>
      <c r="BI113">
        <v>0</v>
      </c>
      <c r="BJ113">
        <v>60000000</v>
      </c>
      <c r="BK113">
        <v>240000000</v>
      </c>
      <c r="BL113">
        <v>0</v>
      </c>
      <c r="BM113">
        <v>0</v>
      </c>
      <c r="BN113">
        <v>-120000000</v>
      </c>
      <c r="BO113">
        <v>0</v>
      </c>
      <c r="BP113">
        <v>-60000000</v>
      </c>
    </row>
    <row r="114" spans="3:68">
      <c r="C114">
        <v>0</v>
      </c>
      <c r="D114">
        <v>40000000</v>
      </c>
      <c r="E114">
        <v>0</v>
      </c>
      <c r="F114">
        <v>0</v>
      </c>
      <c r="G114">
        <v>-40000000</v>
      </c>
      <c r="H114">
        <v>0</v>
      </c>
      <c r="J114">
        <v>-1</v>
      </c>
      <c r="K114">
        <v>0</v>
      </c>
      <c r="L114">
        <v>0</v>
      </c>
      <c r="M114" s="7">
        <v>-1</v>
      </c>
      <c r="N114">
        <v>0</v>
      </c>
      <c r="O114">
        <v>0</v>
      </c>
      <c r="P114" s="2"/>
      <c r="S114" s="2"/>
      <c r="T114" s="2"/>
      <c r="U114" s="3">
        <v>0</v>
      </c>
      <c r="V114" s="3">
        <v>0</v>
      </c>
      <c r="W114">
        <v>0</v>
      </c>
      <c r="X114" s="20">
        <v>0</v>
      </c>
      <c r="Y114" s="21">
        <v>0</v>
      </c>
      <c r="Z114" s="21">
        <v>0</v>
      </c>
      <c r="AA114" s="21">
        <v>0</v>
      </c>
      <c r="AB114" s="22">
        <v>0</v>
      </c>
      <c r="AC114" s="22">
        <v>0</v>
      </c>
      <c r="AD114" s="22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-100000000</v>
      </c>
      <c r="BJ114">
        <v>0</v>
      </c>
      <c r="BK114">
        <v>0</v>
      </c>
      <c r="BL114">
        <v>200000000</v>
      </c>
      <c r="BM114">
        <v>0</v>
      </c>
      <c r="BN114">
        <v>0</v>
      </c>
      <c r="BO114">
        <v>-100000000</v>
      </c>
      <c r="BP114">
        <v>0</v>
      </c>
    </row>
    <row r="115" spans="3:68">
      <c r="C115">
        <v>-9600000</v>
      </c>
      <c r="D115">
        <v>0</v>
      </c>
      <c r="E115">
        <v>16000000</v>
      </c>
      <c r="F115">
        <v>9600000</v>
      </c>
      <c r="G115">
        <v>0</v>
      </c>
      <c r="H115">
        <v>8000000</v>
      </c>
      <c r="J115">
        <v>0</v>
      </c>
      <c r="K115">
        <v>0</v>
      </c>
      <c r="L115">
        <v>1</v>
      </c>
      <c r="M115" s="7">
        <v>0</v>
      </c>
      <c r="N115">
        <v>0</v>
      </c>
      <c r="O115">
        <v>1</v>
      </c>
      <c r="P115" s="2"/>
      <c r="S115" s="2"/>
      <c r="T115" s="2"/>
      <c r="U115" s="3">
        <v>0</v>
      </c>
      <c r="V115" s="3">
        <v>0</v>
      </c>
      <c r="W115">
        <v>0</v>
      </c>
      <c r="X115" s="20">
        <v>0</v>
      </c>
      <c r="Y115" s="21">
        <v>0</v>
      </c>
      <c r="Z115" s="21">
        <v>0</v>
      </c>
      <c r="AA115" s="21">
        <v>0</v>
      </c>
      <c r="AB115" s="22">
        <v>0</v>
      </c>
      <c r="AC115" s="22">
        <v>0</v>
      </c>
      <c r="AD115" s="22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-60000000</v>
      </c>
      <c r="BI115">
        <v>0</v>
      </c>
      <c r="BJ115">
        <v>20000000</v>
      </c>
      <c r="BK115">
        <v>0</v>
      </c>
      <c r="BL115">
        <v>0</v>
      </c>
      <c r="BM115">
        <v>80000000</v>
      </c>
      <c r="BN115">
        <v>60000000</v>
      </c>
      <c r="BO115">
        <v>0</v>
      </c>
      <c r="BP115">
        <v>20000000</v>
      </c>
    </row>
    <row r="116" spans="3:68">
      <c r="C116">
        <v>-7680000</v>
      </c>
      <c r="D116">
        <v>0</v>
      </c>
      <c r="E116">
        <v>9600000</v>
      </c>
      <c r="F116">
        <v>7680000</v>
      </c>
      <c r="G116">
        <v>0</v>
      </c>
      <c r="H116">
        <v>9600000</v>
      </c>
      <c r="J116">
        <v>0</v>
      </c>
      <c r="K116">
        <v>1</v>
      </c>
      <c r="L116">
        <v>0</v>
      </c>
      <c r="M116" s="7">
        <v>0</v>
      </c>
      <c r="N116">
        <v>1</v>
      </c>
      <c r="O116">
        <v>0</v>
      </c>
      <c r="P116" s="2"/>
      <c r="S116" s="2"/>
      <c r="T116" s="2"/>
      <c r="U116" s="3">
        <v>0</v>
      </c>
      <c r="V116" s="3">
        <v>0</v>
      </c>
      <c r="W116">
        <v>0</v>
      </c>
      <c r="X116" s="20">
        <v>0</v>
      </c>
      <c r="Y116" s="21">
        <v>0</v>
      </c>
      <c r="Z116" s="21">
        <v>0</v>
      </c>
      <c r="AA116" s="21">
        <v>0</v>
      </c>
      <c r="AB116" s="22">
        <v>0</v>
      </c>
      <c r="AC116" s="22">
        <v>0</v>
      </c>
      <c r="AD116" s="22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-120000000</v>
      </c>
      <c r="BL116">
        <v>0</v>
      </c>
      <c r="BM116">
        <v>60000000</v>
      </c>
      <c r="BN116">
        <v>120000000</v>
      </c>
      <c r="BO116">
        <v>0</v>
      </c>
      <c r="BP116">
        <v>60000000</v>
      </c>
    </row>
    <row r="117" spans="3:68">
      <c r="C117">
        <v>0</v>
      </c>
      <c r="D117">
        <v>-40000000</v>
      </c>
      <c r="E117">
        <v>0</v>
      </c>
      <c r="F117">
        <v>0</v>
      </c>
      <c r="G117">
        <v>40000000</v>
      </c>
      <c r="H117">
        <v>0</v>
      </c>
      <c r="J117">
        <v>-1</v>
      </c>
      <c r="K117">
        <v>0</v>
      </c>
      <c r="L117">
        <v>0</v>
      </c>
      <c r="M117" s="7">
        <v>-1</v>
      </c>
      <c r="N117">
        <v>0</v>
      </c>
      <c r="O117">
        <v>0</v>
      </c>
      <c r="P117" s="2"/>
      <c r="S117" s="2"/>
      <c r="T117" s="2"/>
      <c r="U117" s="3">
        <v>0</v>
      </c>
      <c r="V117" s="3">
        <v>0</v>
      </c>
      <c r="W117">
        <v>0</v>
      </c>
      <c r="X117" s="20">
        <v>0</v>
      </c>
      <c r="Y117" s="21">
        <v>0</v>
      </c>
      <c r="Z117" s="21">
        <v>0</v>
      </c>
      <c r="AA117" s="21">
        <v>0</v>
      </c>
      <c r="AB117" s="22">
        <v>0</v>
      </c>
      <c r="AC117" s="22">
        <v>0</v>
      </c>
      <c r="AD117" s="22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-100000000</v>
      </c>
      <c r="BM117">
        <v>0</v>
      </c>
      <c r="BN117">
        <v>0</v>
      </c>
      <c r="BO117">
        <v>100000000</v>
      </c>
      <c r="BP117">
        <v>0</v>
      </c>
    </row>
    <row r="118" spans="3:68">
      <c r="C118">
        <v>-9600000</v>
      </c>
      <c r="D118">
        <v>0</v>
      </c>
      <c r="E118">
        <v>8000000</v>
      </c>
      <c r="F118">
        <v>9600000</v>
      </c>
      <c r="G118">
        <v>0</v>
      </c>
      <c r="H118">
        <v>16000000</v>
      </c>
      <c r="J118">
        <v>0</v>
      </c>
      <c r="K118">
        <v>0</v>
      </c>
      <c r="L118">
        <v>1</v>
      </c>
      <c r="M118" s="7">
        <v>0</v>
      </c>
      <c r="N118">
        <v>0</v>
      </c>
      <c r="O118">
        <v>1</v>
      </c>
      <c r="P118" s="2"/>
      <c r="S118" s="2"/>
      <c r="T118" s="2"/>
      <c r="U118" s="3">
        <v>0</v>
      </c>
      <c r="V118" s="3">
        <v>0</v>
      </c>
      <c r="W118">
        <v>0</v>
      </c>
      <c r="X118" s="20">
        <v>0</v>
      </c>
      <c r="Y118" s="21">
        <v>0</v>
      </c>
      <c r="Z118" s="21">
        <v>0</v>
      </c>
      <c r="AA118" s="21">
        <v>0</v>
      </c>
      <c r="AB118" s="22">
        <v>0</v>
      </c>
      <c r="AC118" s="22">
        <v>0</v>
      </c>
      <c r="AD118" s="22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-60000000</v>
      </c>
      <c r="BL118">
        <v>0</v>
      </c>
      <c r="BM118">
        <v>20000000</v>
      </c>
      <c r="BN118">
        <v>60000000</v>
      </c>
      <c r="BO118">
        <v>0</v>
      </c>
      <c r="BP118">
        <v>40000000</v>
      </c>
    </row>
    <row r="119" spans="3:68">
      <c r="M119" s="7"/>
      <c r="P119" s="2"/>
      <c r="S119" s="2"/>
      <c r="T119" s="2"/>
      <c r="U119" s="3"/>
      <c r="V119" s="3"/>
      <c r="X119" s="20"/>
      <c r="Y119" s="21"/>
      <c r="Z119" s="21"/>
      <c r="AA119" s="21"/>
      <c r="AB119" s="22"/>
      <c r="AC119" s="22"/>
      <c r="AD119" s="22"/>
    </row>
    <row r="120" spans="3:68">
      <c r="C120">
        <v>7680000</v>
      </c>
      <c r="D120">
        <v>0</v>
      </c>
      <c r="E120">
        <v>-9600000</v>
      </c>
      <c r="F120">
        <v>-7680000</v>
      </c>
      <c r="G120">
        <v>0</v>
      </c>
      <c r="H120">
        <v>-9600000</v>
      </c>
      <c r="J120">
        <v>0</v>
      </c>
      <c r="K120">
        <v>1</v>
      </c>
      <c r="L120">
        <v>0</v>
      </c>
      <c r="M120" s="7">
        <v>0</v>
      </c>
      <c r="N120">
        <v>1</v>
      </c>
      <c r="O120">
        <v>0</v>
      </c>
      <c r="P120" s="2"/>
      <c r="S120" s="2"/>
      <c r="T120" s="2"/>
      <c r="U120" s="3"/>
      <c r="V120" s="3"/>
      <c r="X120" s="20"/>
      <c r="Y120" s="21"/>
      <c r="Z120" s="21"/>
      <c r="AA120" s="21"/>
      <c r="AB120" s="22"/>
      <c r="AC120" s="22"/>
      <c r="AD120" s="22"/>
    </row>
    <row r="121" spans="3:68">
      <c r="C121">
        <v>0</v>
      </c>
      <c r="D121">
        <v>40000000</v>
      </c>
      <c r="E121">
        <v>0</v>
      </c>
      <c r="F121">
        <v>0</v>
      </c>
      <c r="G121">
        <v>-40000000</v>
      </c>
      <c r="H121">
        <v>0</v>
      </c>
      <c r="J121">
        <v>-1</v>
      </c>
      <c r="K121">
        <v>0</v>
      </c>
      <c r="L121">
        <v>0</v>
      </c>
      <c r="M121" s="7">
        <v>-1</v>
      </c>
      <c r="N121">
        <v>0</v>
      </c>
      <c r="O121">
        <v>0</v>
      </c>
      <c r="P121" s="2"/>
      <c r="S121" s="2"/>
      <c r="T121" s="2"/>
      <c r="U121" s="3"/>
      <c r="V121" s="3"/>
      <c r="X121" s="20"/>
      <c r="Y121" s="21"/>
      <c r="Z121" s="21"/>
      <c r="AA121" s="21"/>
      <c r="AB121" s="22"/>
      <c r="AC121" s="22"/>
      <c r="AD121" s="22"/>
    </row>
    <row r="122" spans="3:68">
      <c r="C122">
        <v>-9600000</v>
      </c>
      <c r="D122">
        <v>0</v>
      </c>
      <c r="E122">
        <v>16000000</v>
      </c>
      <c r="F122">
        <v>9600000</v>
      </c>
      <c r="G122">
        <v>0</v>
      </c>
      <c r="H122">
        <v>8000000</v>
      </c>
      <c r="J122">
        <v>0</v>
      </c>
      <c r="K122">
        <v>0</v>
      </c>
      <c r="L122">
        <v>1</v>
      </c>
      <c r="M122" s="7">
        <v>0</v>
      </c>
      <c r="N122">
        <v>0</v>
      </c>
      <c r="O122">
        <v>1</v>
      </c>
      <c r="P122" s="2"/>
      <c r="S122" s="2"/>
      <c r="T122" s="2"/>
      <c r="U122" s="3"/>
      <c r="V122" s="3"/>
      <c r="X122" s="20"/>
      <c r="Y122" s="21"/>
      <c r="Z122" s="21"/>
      <c r="AA122" s="21"/>
      <c r="AB122" s="22"/>
      <c r="AC122" s="22"/>
      <c r="AD122" s="22"/>
    </row>
    <row r="123" spans="3:68">
      <c r="C123">
        <v>-7680000</v>
      </c>
      <c r="D123">
        <v>0</v>
      </c>
      <c r="E123">
        <v>9600000</v>
      </c>
      <c r="F123">
        <v>7680000</v>
      </c>
      <c r="G123">
        <v>0</v>
      </c>
      <c r="H123">
        <v>9600000</v>
      </c>
      <c r="J123">
        <v>0</v>
      </c>
      <c r="K123">
        <v>1</v>
      </c>
      <c r="L123">
        <v>0</v>
      </c>
      <c r="M123" s="7">
        <v>0</v>
      </c>
      <c r="N123">
        <v>1</v>
      </c>
      <c r="O123">
        <v>0</v>
      </c>
      <c r="P123" s="2"/>
      <c r="S123" s="2"/>
      <c r="T123" s="2"/>
      <c r="U123" s="3"/>
      <c r="V123" s="3"/>
      <c r="X123" s="20"/>
      <c r="Y123" s="21"/>
      <c r="Z123" s="21"/>
      <c r="AA123" s="21"/>
      <c r="AB123" s="22"/>
      <c r="AC123" s="22"/>
      <c r="AD123" s="22"/>
    </row>
    <row r="124" spans="3:68">
      <c r="C124">
        <v>0</v>
      </c>
      <c r="D124">
        <v>-40000000</v>
      </c>
      <c r="E124">
        <v>0</v>
      </c>
      <c r="F124">
        <v>0</v>
      </c>
      <c r="G124">
        <v>40000000</v>
      </c>
      <c r="H124">
        <v>0</v>
      </c>
      <c r="J124">
        <v>-1</v>
      </c>
      <c r="K124">
        <v>0</v>
      </c>
      <c r="L124">
        <v>0</v>
      </c>
      <c r="M124">
        <v>-1</v>
      </c>
      <c r="N124">
        <v>0</v>
      </c>
      <c r="O124">
        <v>0</v>
      </c>
      <c r="X124" s="20"/>
      <c r="Y124" s="21"/>
      <c r="Z124" s="21"/>
      <c r="AA124" s="21"/>
      <c r="AB124" s="22"/>
      <c r="AC124" s="22"/>
      <c r="AD124" s="22"/>
    </row>
    <row r="125" spans="3:68">
      <c r="C125">
        <v>-9600000</v>
      </c>
      <c r="D125">
        <v>0</v>
      </c>
      <c r="E125">
        <v>8000000</v>
      </c>
      <c r="F125">
        <v>9600000</v>
      </c>
      <c r="G125">
        <v>0</v>
      </c>
      <c r="H125">
        <v>16000000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1</v>
      </c>
    </row>
    <row r="127" spans="3:68">
      <c r="C127">
        <v>120000000</v>
      </c>
      <c r="D127">
        <v>0</v>
      </c>
      <c r="E127">
        <v>-60000000</v>
      </c>
      <c r="F127">
        <v>-120000000</v>
      </c>
      <c r="G127">
        <v>0</v>
      </c>
      <c r="H127">
        <v>-60000000</v>
      </c>
      <c r="J127">
        <v>0</v>
      </c>
      <c r="K127">
        <v>1</v>
      </c>
      <c r="L127">
        <v>0</v>
      </c>
      <c r="M127">
        <v>0</v>
      </c>
      <c r="N127">
        <v>1</v>
      </c>
      <c r="O127">
        <v>0</v>
      </c>
    </row>
    <row r="128" spans="3:68">
      <c r="C128">
        <v>0</v>
      </c>
      <c r="D128">
        <v>100000000</v>
      </c>
      <c r="E128">
        <v>0</v>
      </c>
      <c r="F128">
        <v>0</v>
      </c>
      <c r="G128">
        <v>-100000000</v>
      </c>
      <c r="H128">
        <v>0</v>
      </c>
      <c r="J128">
        <v>-1</v>
      </c>
      <c r="K128">
        <v>0</v>
      </c>
      <c r="L128">
        <v>0</v>
      </c>
      <c r="M128">
        <v>-1</v>
      </c>
      <c r="N128">
        <v>0</v>
      </c>
      <c r="O128">
        <v>0</v>
      </c>
    </row>
    <row r="129" spans="3:15">
      <c r="C129">
        <v>-60000000</v>
      </c>
      <c r="D129">
        <v>0</v>
      </c>
      <c r="E129">
        <v>40000000</v>
      </c>
      <c r="F129">
        <v>60000000</v>
      </c>
      <c r="G129">
        <v>0</v>
      </c>
      <c r="H129">
        <v>20000000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1</v>
      </c>
    </row>
    <row r="130" spans="3:15">
      <c r="C130">
        <v>-120000000</v>
      </c>
      <c r="D130">
        <v>0</v>
      </c>
      <c r="E130">
        <v>60000000</v>
      </c>
      <c r="F130">
        <v>120000000</v>
      </c>
      <c r="G130">
        <v>0</v>
      </c>
      <c r="H130">
        <v>60000000</v>
      </c>
      <c r="J130">
        <v>0</v>
      </c>
      <c r="K130">
        <v>1</v>
      </c>
      <c r="L130">
        <v>0</v>
      </c>
      <c r="M130">
        <v>0</v>
      </c>
      <c r="N130">
        <v>1</v>
      </c>
      <c r="O130">
        <v>0</v>
      </c>
    </row>
    <row r="131" spans="3:15">
      <c r="C131">
        <v>0</v>
      </c>
      <c r="D131">
        <v>-100000000</v>
      </c>
      <c r="E131">
        <v>0</v>
      </c>
      <c r="F131">
        <v>0</v>
      </c>
      <c r="G131">
        <v>100000000</v>
      </c>
      <c r="H131">
        <v>0</v>
      </c>
      <c r="J131">
        <v>-1</v>
      </c>
      <c r="K131">
        <v>0</v>
      </c>
      <c r="L131">
        <v>0</v>
      </c>
      <c r="M131">
        <v>-1</v>
      </c>
      <c r="N131">
        <v>0</v>
      </c>
      <c r="O131">
        <v>0</v>
      </c>
    </row>
    <row r="132" spans="3:15">
      <c r="C132">
        <v>-60000000</v>
      </c>
      <c r="D132">
        <v>0</v>
      </c>
      <c r="E132">
        <v>20000000</v>
      </c>
      <c r="F132">
        <v>60000000</v>
      </c>
      <c r="G132">
        <v>0</v>
      </c>
      <c r="H132">
        <v>40000000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1</v>
      </c>
    </row>
    <row r="134" spans="3:15">
      <c r="C134">
        <v>120000000</v>
      </c>
      <c r="D134">
        <v>0</v>
      </c>
      <c r="E134">
        <v>-60000000</v>
      </c>
      <c r="F134">
        <v>-120000000</v>
      </c>
      <c r="G134">
        <v>0</v>
      </c>
      <c r="H134">
        <v>-60000000</v>
      </c>
      <c r="J134">
        <v>0</v>
      </c>
      <c r="K134">
        <v>1</v>
      </c>
      <c r="L134">
        <v>0</v>
      </c>
      <c r="M134">
        <v>0</v>
      </c>
      <c r="N134">
        <v>1</v>
      </c>
      <c r="O134">
        <v>0</v>
      </c>
    </row>
    <row r="135" spans="3:15">
      <c r="C135">
        <v>0</v>
      </c>
      <c r="D135">
        <v>100000000</v>
      </c>
      <c r="E135">
        <v>0</v>
      </c>
      <c r="F135">
        <v>0</v>
      </c>
      <c r="G135">
        <v>-100000000</v>
      </c>
      <c r="H135">
        <v>0</v>
      </c>
      <c r="J135">
        <v>-1</v>
      </c>
      <c r="K135">
        <v>0</v>
      </c>
      <c r="L135">
        <v>0</v>
      </c>
      <c r="M135">
        <v>-1</v>
      </c>
      <c r="N135">
        <v>0</v>
      </c>
      <c r="O135">
        <v>0</v>
      </c>
    </row>
    <row r="136" spans="3:15">
      <c r="C136">
        <v>-60000000</v>
      </c>
      <c r="D136">
        <v>0</v>
      </c>
      <c r="E136">
        <v>40000000</v>
      </c>
      <c r="F136">
        <v>60000000</v>
      </c>
      <c r="G136">
        <v>0</v>
      </c>
      <c r="H136">
        <v>20000000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1</v>
      </c>
    </row>
    <row r="137" spans="3:15">
      <c r="C137">
        <v>-120000000</v>
      </c>
      <c r="D137">
        <v>0</v>
      </c>
      <c r="E137">
        <v>60000000</v>
      </c>
      <c r="F137">
        <v>120000000</v>
      </c>
      <c r="G137">
        <v>0</v>
      </c>
      <c r="H137">
        <v>60000000</v>
      </c>
      <c r="J137">
        <v>0</v>
      </c>
      <c r="K137">
        <v>1</v>
      </c>
      <c r="L137">
        <v>0</v>
      </c>
      <c r="M137">
        <v>0</v>
      </c>
      <c r="N137">
        <v>1</v>
      </c>
      <c r="O137">
        <v>0</v>
      </c>
    </row>
    <row r="138" spans="3:15">
      <c r="C138">
        <v>0</v>
      </c>
      <c r="D138">
        <v>-100000000</v>
      </c>
      <c r="E138">
        <v>0</v>
      </c>
      <c r="F138">
        <v>0</v>
      </c>
      <c r="G138">
        <v>100000000</v>
      </c>
      <c r="H138">
        <v>0</v>
      </c>
      <c r="J138">
        <v>-1</v>
      </c>
      <c r="K138">
        <v>0</v>
      </c>
      <c r="L138">
        <v>0</v>
      </c>
      <c r="M138">
        <v>-1</v>
      </c>
      <c r="N138">
        <v>0</v>
      </c>
      <c r="O138">
        <v>0</v>
      </c>
    </row>
    <row r="139" spans="3:15">
      <c r="C139">
        <v>-60000000</v>
      </c>
      <c r="D139">
        <v>0</v>
      </c>
      <c r="E139">
        <v>20000000</v>
      </c>
      <c r="F139">
        <v>60000000</v>
      </c>
      <c r="G139">
        <v>0</v>
      </c>
      <c r="H139">
        <v>40000000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1</v>
      </c>
    </row>
    <row r="141" spans="3:15">
      <c r="C141">
        <v>120000000</v>
      </c>
      <c r="D141">
        <v>0</v>
      </c>
      <c r="E141">
        <v>-60000000</v>
      </c>
      <c r="F141">
        <v>-120000000</v>
      </c>
      <c r="G141">
        <v>0</v>
      </c>
      <c r="H141">
        <v>-60000000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</row>
    <row r="142" spans="3:15">
      <c r="C142">
        <v>0</v>
      </c>
      <c r="D142">
        <v>100000000</v>
      </c>
      <c r="E142">
        <v>0</v>
      </c>
      <c r="F142">
        <v>0</v>
      </c>
      <c r="G142">
        <v>-100000000</v>
      </c>
      <c r="H142">
        <v>0</v>
      </c>
      <c r="J142">
        <v>-1</v>
      </c>
      <c r="K142">
        <v>0</v>
      </c>
      <c r="L142">
        <v>0</v>
      </c>
      <c r="M142">
        <v>-1</v>
      </c>
      <c r="N142">
        <v>0</v>
      </c>
      <c r="O142">
        <v>0</v>
      </c>
    </row>
    <row r="143" spans="3:15">
      <c r="C143">
        <v>-60000000</v>
      </c>
      <c r="D143">
        <v>0</v>
      </c>
      <c r="E143">
        <v>40000000</v>
      </c>
      <c r="F143">
        <v>60000000</v>
      </c>
      <c r="G143">
        <v>0</v>
      </c>
      <c r="H143">
        <v>20000000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1</v>
      </c>
    </row>
    <row r="144" spans="3:15">
      <c r="C144">
        <v>-120000000</v>
      </c>
      <c r="D144">
        <v>0</v>
      </c>
      <c r="E144">
        <v>60000000</v>
      </c>
      <c r="F144">
        <v>120000000</v>
      </c>
      <c r="G144">
        <v>0</v>
      </c>
      <c r="H144">
        <v>60000000</v>
      </c>
      <c r="J144">
        <v>0</v>
      </c>
      <c r="K144">
        <v>1</v>
      </c>
      <c r="L144">
        <v>0</v>
      </c>
      <c r="M144">
        <v>0</v>
      </c>
      <c r="N144">
        <v>1</v>
      </c>
      <c r="O144">
        <v>0</v>
      </c>
    </row>
    <row r="145" spans="3:15">
      <c r="C145">
        <v>0</v>
      </c>
      <c r="D145">
        <v>-100000000</v>
      </c>
      <c r="E145">
        <v>0</v>
      </c>
      <c r="F145">
        <v>0</v>
      </c>
      <c r="G145">
        <v>100000000</v>
      </c>
      <c r="H145">
        <v>0</v>
      </c>
      <c r="J145">
        <v>-1</v>
      </c>
      <c r="K145">
        <v>0</v>
      </c>
      <c r="L145">
        <v>0</v>
      </c>
      <c r="M145">
        <v>-1</v>
      </c>
      <c r="N145">
        <v>0</v>
      </c>
      <c r="O145">
        <v>0</v>
      </c>
    </row>
    <row r="146" spans="3:15">
      <c r="C146">
        <v>-60000000</v>
      </c>
      <c r="D146">
        <v>0</v>
      </c>
      <c r="E146">
        <v>20000000</v>
      </c>
      <c r="F146">
        <v>60000000</v>
      </c>
      <c r="G146">
        <v>0</v>
      </c>
      <c r="H146">
        <v>40000000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1</v>
      </c>
    </row>
    <row r="148" spans="3:15">
      <c r="C148">
        <v>120000000</v>
      </c>
      <c r="D148">
        <v>0</v>
      </c>
      <c r="E148">
        <v>-60000000</v>
      </c>
      <c r="F148">
        <v>-120000000</v>
      </c>
      <c r="G148">
        <v>0</v>
      </c>
      <c r="H148">
        <v>-60000000</v>
      </c>
      <c r="J148">
        <v>0</v>
      </c>
      <c r="K148">
        <v>1</v>
      </c>
      <c r="L148">
        <v>0</v>
      </c>
      <c r="M148">
        <v>0</v>
      </c>
      <c r="N148">
        <v>1</v>
      </c>
      <c r="O148">
        <v>0</v>
      </c>
    </row>
    <row r="149" spans="3:15">
      <c r="C149">
        <v>0</v>
      </c>
      <c r="D149">
        <v>100000000</v>
      </c>
      <c r="E149">
        <v>0</v>
      </c>
      <c r="F149">
        <v>0</v>
      </c>
      <c r="G149">
        <v>-100000000</v>
      </c>
      <c r="H149">
        <v>0</v>
      </c>
      <c r="J149">
        <v>-1</v>
      </c>
      <c r="K149">
        <v>0</v>
      </c>
      <c r="L149">
        <v>0</v>
      </c>
      <c r="M149">
        <v>-1</v>
      </c>
      <c r="N149">
        <v>0</v>
      </c>
      <c r="O149">
        <v>0</v>
      </c>
    </row>
    <row r="150" spans="3:15">
      <c r="C150">
        <v>-60000000</v>
      </c>
      <c r="D150">
        <v>0</v>
      </c>
      <c r="E150">
        <v>40000000</v>
      </c>
      <c r="F150">
        <v>60000000</v>
      </c>
      <c r="G150">
        <v>0</v>
      </c>
      <c r="H150">
        <v>20000000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1</v>
      </c>
    </row>
    <row r="151" spans="3:15">
      <c r="C151">
        <v>-120000000</v>
      </c>
      <c r="D151">
        <v>0</v>
      </c>
      <c r="E151">
        <v>60000000</v>
      </c>
      <c r="F151">
        <v>120000000</v>
      </c>
      <c r="G151">
        <v>0</v>
      </c>
      <c r="H151">
        <v>60000000</v>
      </c>
      <c r="J151">
        <v>0</v>
      </c>
      <c r="K151">
        <v>1</v>
      </c>
      <c r="L151">
        <v>0</v>
      </c>
      <c r="M151">
        <v>0</v>
      </c>
      <c r="N151">
        <v>1</v>
      </c>
      <c r="O151">
        <v>0</v>
      </c>
    </row>
    <row r="152" spans="3:15">
      <c r="C152">
        <v>0</v>
      </c>
      <c r="D152">
        <v>-100000000</v>
      </c>
      <c r="E152">
        <v>0</v>
      </c>
      <c r="F152">
        <v>0</v>
      </c>
      <c r="G152">
        <v>100000000</v>
      </c>
      <c r="H152">
        <v>0</v>
      </c>
      <c r="J152">
        <v>-1</v>
      </c>
      <c r="K152">
        <v>0</v>
      </c>
      <c r="L152">
        <v>0</v>
      </c>
      <c r="M152">
        <v>-1</v>
      </c>
      <c r="N152">
        <v>0</v>
      </c>
      <c r="O152">
        <v>0</v>
      </c>
    </row>
    <row r="153" spans="3:15">
      <c r="C153">
        <v>-60000000</v>
      </c>
      <c r="D153">
        <v>0</v>
      </c>
      <c r="E153">
        <v>20000000</v>
      </c>
      <c r="F153">
        <v>60000000</v>
      </c>
      <c r="G153">
        <v>0</v>
      </c>
      <c r="H153">
        <v>40000000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1</v>
      </c>
    </row>
    <row r="155" spans="3:15">
      <c r="C155">
        <v>120000000</v>
      </c>
      <c r="D155">
        <v>0</v>
      </c>
      <c r="E155">
        <v>-60000000</v>
      </c>
      <c r="F155">
        <v>-120000000</v>
      </c>
      <c r="G155">
        <v>0</v>
      </c>
      <c r="H155">
        <v>-60000000</v>
      </c>
      <c r="J155">
        <v>0</v>
      </c>
      <c r="K155">
        <v>1</v>
      </c>
      <c r="L155">
        <v>0</v>
      </c>
      <c r="M155">
        <v>0</v>
      </c>
      <c r="N155">
        <v>1</v>
      </c>
      <c r="O155">
        <v>0</v>
      </c>
    </row>
    <row r="156" spans="3:15">
      <c r="C156">
        <v>0</v>
      </c>
      <c r="D156">
        <v>100000000</v>
      </c>
      <c r="E156">
        <v>0</v>
      </c>
      <c r="F156">
        <v>0</v>
      </c>
      <c r="G156">
        <v>-100000000</v>
      </c>
      <c r="H156">
        <v>0</v>
      </c>
      <c r="J156">
        <v>-1</v>
      </c>
      <c r="K156">
        <v>0</v>
      </c>
      <c r="L156">
        <v>0</v>
      </c>
      <c r="M156">
        <v>-1</v>
      </c>
      <c r="N156">
        <v>0</v>
      </c>
      <c r="O156">
        <v>0</v>
      </c>
    </row>
    <row r="157" spans="3:15">
      <c r="C157">
        <v>-60000000</v>
      </c>
      <c r="D157">
        <v>0</v>
      </c>
      <c r="E157">
        <v>40000000</v>
      </c>
      <c r="F157">
        <v>60000000</v>
      </c>
      <c r="G157">
        <v>0</v>
      </c>
      <c r="H157">
        <v>20000000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</v>
      </c>
    </row>
    <row r="158" spans="3:15">
      <c r="C158">
        <v>-120000000</v>
      </c>
      <c r="D158">
        <v>0</v>
      </c>
      <c r="E158">
        <v>60000000</v>
      </c>
      <c r="F158">
        <v>120000000</v>
      </c>
      <c r="G158">
        <v>0</v>
      </c>
      <c r="H158">
        <v>60000000</v>
      </c>
      <c r="J158">
        <v>0</v>
      </c>
      <c r="K158">
        <v>1</v>
      </c>
      <c r="L158">
        <v>0</v>
      </c>
      <c r="M158">
        <v>0</v>
      </c>
      <c r="N158">
        <v>1</v>
      </c>
      <c r="O158">
        <v>0</v>
      </c>
    </row>
    <row r="159" spans="3:15">
      <c r="C159">
        <v>0</v>
      </c>
      <c r="D159">
        <v>-100000000</v>
      </c>
      <c r="E159">
        <v>0</v>
      </c>
      <c r="F159">
        <v>0</v>
      </c>
      <c r="G159">
        <v>100000000</v>
      </c>
      <c r="H159">
        <v>0</v>
      </c>
      <c r="J159">
        <v>-1</v>
      </c>
      <c r="K159">
        <v>0</v>
      </c>
      <c r="L159">
        <v>0</v>
      </c>
      <c r="M159">
        <v>-1</v>
      </c>
      <c r="N159">
        <v>0</v>
      </c>
      <c r="O159">
        <v>0</v>
      </c>
    </row>
    <row r="160" spans="3:15">
      <c r="C160">
        <v>-60000000</v>
      </c>
      <c r="D160">
        <v>0</v>
      </c>
      <c r="E160">
        <v>20000000</v>
      </c>
      <c r="F160">
        <v>60000000</v>
      </c>
      <c r="G160">
        <v>0</v>
      </c>
      <c r="H160">
        <v>40000000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1</v>
      </c>
    </row>
    <row r="162" spans="3:15">
      <c r="C162">
        <v>120000000</v>
      </c>
      <c r="D162">
        <v>0</v>
      </c>
      <c r="E162">
        <v>-60000000</v>
      </c>
      <c r="F162">
        <v>-120000000</v>
      </c>
      <c r="G162">
        <v>0</v>
      </c>
      <c r="H162">
        <v>-60000000</v>
      </c>
      <c r="J162">
        <v>0</v>
      </c>
      <c r="K162">
        <v>1</v>
      </c>
      <c r="L162">
        <v>0</v>
      </c>
      <c r="M162">
        <v>0</v>
      </c>
      <c r="N162">
        <v>1</v>
      </c>
      <c r="O162">
        <v>0</v>
      </c>
    </row>
    <row r="163" spans="3:15">
      <c r="C163">
        <v>0</v>
      </c>
      <c r="D163">
        <v>100000000</v>
      </c>
      <c r="E163">
        <v>0</v>
      </c>
      <c r="F163">
        <v>0</v>
      </c>
      <c r="G163">
        <v>-100000000</v>
      </c>
      <c r="H163">
        <v>0</v>
      </c>
      <c r="J163">
        <v>-1</v>
      </c>
      <c r="K163">
        <v>0</v>
      </c>
      <c r="L163">
        <v>0</v>
      </c>
      <c r="M163">
        <v>-1</v>
      </c>
      <c r="N163">
        <v>0</v>
      </c>
      <c r="O163">
        <v>0</v>
      </c>
    </row>
    <row r="164" spans="3:15">
      <c r="C164">
        <v>-60000000</v>
      </c>
      <c r="D164">
        <v>0</v>
      </c>
      <c r="E164">
        <v>40000000</v>
      </c>
      <c r="F164">
        <v>60000000</v>
      </c>
      <c r="G164">
        <v>0</v>
      </c>
      <c r="H164">
        <v>20000000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1</v>
      </c>
    </row>
    <row r="165" spans="3:15">
      <c r="C165">
        <v>-120000000</v>
      </c>
      <c r="D165">
        <v>0</v>
      </c>
      <c r="E165">
        <v>60000000</v>
      </c>
      <c r="F165">
        <v>120000000</v>
      </c>
      <c r="G165">
        <v>0</v>
      </c>
      <c r="H165">
        <v>60000000</v>
      </c>
      <c r="J165">
        <v>0</v>
      </c>
      <c r="K165">
        <v>1</v>
      </c>
      <c r="L165">
        <v>0</v>
      </c>
      <c r="M165">
        <v>0</v>
      </c>
      <c r="N165">
        <v>1</v>
      </c>
      <c r="O165">
        <v>0</v>
      </c>
    </row>
    <row r="166" spans="3:15">
      <c r="C166">
        <v>0</v>
      </c>
      <c r="D166">
        <v>-100000000</v>
      </c>
      <c r="E166">
        <v>0</v>
      </c>
      <c r="F166">
        <v>0</v>
      </c>
      <c r="G166">
        <v>100000000</v>
      </c>
      <c r="H166">
        <v>0</v>
      </c>
      <c r="J166">
        <v>-1</v>
      </c>
      <c r="K166">
        <v>0</v>
      </c>
      <c r="L166">
        <v>0</v>
      </c>
      <c r="M166">
        <v>-1</v>
      </c>
      <c r="N166">
        <v>0</v>
      </c>
      <c r="O166">
        <v>0</v>
      </c>
    </row>
    <row r="167" spans="3:15">
      <c r="C167">
        <v>-60000000</v>
      </c>
      <c r="D167">
        <v>0</v>
      </c>
      <c r="E167">
        <v>20000000</v>
      </c>
      <c r="F167">
        <v>60000000</v>
      </c>
      <c r="G167">
        <v>0</v>
      </c>
      <c r="H167">
        <v>40000000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1</v>
      </c>
    </row>
    <row r="169" spans="3:15">
      <c r="C169">
        <v>120000000</v>
      </c>
      <c r="D169">
        <v>0</v>
      </c>
      <c r="E169">
        <v>-60000000</v>
      </c>
      <c r="F169">
        <v>-120000000</v>
      </c>
      <c r="G169">
        <v>0</v>
      </c>
      <c r="H169">
        <v>-60000000</v>
      </c>
      <c r="J169">
        <v>0</v>
      </c>
      <c r="K169">
        <v>1</v>
      </c>
      <c r="L169">
        <v>0</v>
      </c>
      <c r="M169">
        <v>0</v>
      </c>
      <c r="N169">
        <v>1</v>
      </c>
      <c r="O169">
        <v>0</v>
      </c>
    </row>
    <row r="170" spans="3:15">
      <c r="C170">
        <v>0</v>
      </c>
      <c r="D170">
        <v>100000000</v>
      </c>
      <c r="E170">
        <v>0</v>
      </c>
      <c r="F170">
        <v>0</v>
      </c>
      <c r="G170">
        <v>-100000000</v>
      </c>
      <c r="H170">
        <v>0</v>
      </c>
      <c r="J170">
        <v>-1</v>
      </c>
      <c r="K170">
        <v>0</v>
      </c>
      <c r="L170">
        <v>0</v>
      </c>
      <c r="M170">
        <v>-1</v>
      </c>
      <c r="N170">
        <v>0</v>
      </c>
      <c r="O170">
        <v>0</v>
      </c>
    </row>
    <row r="171" spans="3:15">
      <c r="C171">
        <v>-60000000</v>
      </c>
      <c r="D171">
        <v>0</v>
      </c>
      <c r="E171">
        <v>40000000</v>
      </c>
      <c r="F171">
        <v>60000000</v>
      </c>
      <c r="G171">
        <v>0</v>
      </c>
      <c r="H171">
        <v>20000000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1</v>
      </c>
    </row>
    <row r="172" spans="3:15">
      <c r="C172">
        <v>-120000000</v>
      </c>
      <c r="D172">
        <v>0</v>
      </c>
      <c r="E172">
        <v>60000000</v>
      </c>
      <c r="F172">
        <v>120000000</v>
      </c>
      <c r="G172">
        <v>0</v>
      </c>
      <c r="H172">
        <v>60000000</v>
      </c>
      <c r="J172">
        <v>0</v>
      </c>
      <c r="K172">
        <v>1</v>
      </c>
      <c r="L172">
        <v>0</v>
      </c>
      <c r="M172">
        <v>0</v>
      </c>
      <c r="N172">
        <v>1</v>
      </c>
      <c r="O172">
        <v>0</v>
      </c>
    </row>
    <row r="173" spans="3:15">
      <c r="C173">
        <v>0</v>
      </c>
      <c r="D173">
        <v>-100000000</v>
      </c>
      <c r="E173">
        <v>0</v>
      </c>
      <c r="F173">
        <v>0</v>
      </c>
      <c r="G173">
        <v>100000000</v>
      </c>
      <c r="H173">
        <v>0</v>
      </c>
      <c r="J173">
        <v>-1</v>
      </c>
      <c r="K173">
        <v>0</v>
      </c>
      <c r="L173">
        <v>0</v>
      </c>
      <c r="M173">
        <v>-1</v>
      </c>
      <c r="N173">
        <v>0</v>
      </c>
      <c r="O173">
        <v>0</v>
      </c>
    </row>
    <row r="174" spans="3:15">
      <c r="C174">
        <v>-60000000</v>
      </c>
      <c r="D174">
        <v>0</v>
      </c>
      <c r="E174">
        <v>20000000</v>
      </c>
      <c r="F174">
        <v>60000000</v>
      </c>
      <c r="G174">
        <v>0</v>
      </c>
      <c r="H174">
        <v>40000000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1</v>
      </c>
    </row>
    <row r="1048576" spans="2:4">
      <c r="B1048576">
        <v>1000000</v>
      </c>
      <c r="C1048576">
        <v>0</v>
      </c>
      <c r="D1048576">
        <v>0</v>
      </c>
    </row>
  </sheetData>
  <mergeCells count="14">
    <mergeCell ref="C8:E8"/>
    <mergeCell ref="C3:E3"/>
    <mergeCell ref="C4:E4"/>
    <mergeCell ref="C5:E5"/>
    <mergeCell ref="C6:E6"/>
    <mergeCell ref="C7:E7"/>
    <mergeCell ref="X44:AI44"/>
    <mergeCell ref="X45:AE45"/>
    <mergeCell ref="AF45:AI45"/>
    <mergeCell ref="C69:H69"/>
    <mergeCell ref="J69:O69"/>
    <mergeCell ref="B44:G44"/>
    <mergeCell ref="I44:K44"/>
    <mergeCell ref="M44:V44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nalysisOfTrussedFrame">
                <anchor moveWithCells="1" sizeWithCells="1">
                  <from>
                    <xdr:col>7</xdr:col>
                    <xdr:colOff>22860</xdr:colOff>
                    <xdr:row>2</xdr:row>
                    <xdr:rowOff>45720</xdr:rowOff>
                  </from>
                  <to>
                    <xdr:col>8</xdr:col>
                    <xdr:colOff>662940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TrussedFrame">
                <anchor moveWithCells="1" sizeWithCells="1">
                  <from>
                    <xdr:col>7</xdr:col>
                    <xdr:colOff>22860</xdr:colOff>
                    <xdr:row>4</xdr:row>
                    <xdr:rowOff>53340</xdr:rowOff>
                  </from>
                  <to>
                    <xdr:col>8</xdr:col>
                    <xdr:colOff>662940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FRAMED TRUSS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nour</dc:creator>
  <cp:lastModifiedBy>mohammed nour eldein</cp:lastModifiedBy>
  <dcterms:created xsi:type="dcterms:W3CDTF">2023-08-03T16:25:35Z</dcterms:created>
  <dcterms:modified xsi:type="dcterms:W3CDTF">2023-10-20T12:33:04Z</dcterms:modified>
</cp:coreProperties>
</file>