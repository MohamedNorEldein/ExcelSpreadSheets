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gineering\Spreed sheets\"/>
    </mc:Choice>
  </mc:AlternateContent>
  <xr:revisionPtr revIDLastSave="0" documentId="13_ncr:1_{23E4509C-ED46-4AFC-AF23-9FCDBDF868ED}" xr6:coauthVersionLast="47" xr6:coauthVersionMax="47" xr10:uidLastSave="{00000000-0000-0000-0000-000000000000}"/>
  <bookViews>
    <workbookView xWindow="-108" yWindow="-108" windowWidth="23256" windowHeight="12720" firstSheet="2" activeTab="5" xr2:uid="{A4065B85-E6E6-4098-BB81-C4983049A66A}"/>
  </bookViews>
  <sheets>
    <sheet name="Geostatic Loads" sheetId="2" r:id="rId1"/>
    <sheet name="Stress under uniform shapes" sheetId="4" r:id="rId2"/>
    <sheet name="Approximate Stress" sheetId="5" r:id="rId3"/>
    <sheet name="Stress under nonuniform shapes" sheetId="3" r:id="rId4"/>
    <sheet name="Geotechnical Design" sheetId="7" r:id="rId5"/>
    <sheet name="Consolidation Analysis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" i="7" l="1"/>
  <c r="F27" i="7"/>
  <c r="F28" i="7" s="1"/>
  <c r="F29" i="7"/>
  <c r="I37" i="7" s="1"/>
  <c r="F30" i="7"/>
  <c r="F31" i="7" s="1"/>
  <c r="D37" i="7"/>
  <c r="J37" i="7" a="1"/>
  <c r="F32" i="7" l="1"/>
  <c r="J37" i="7"/>
  <c r="Q37" i="7" s="1"/>
  <c r="T37" i="7" s="1"/>
  <c r="M37" i="7"/>
  <c r="N37" i="7"/>
  <c r="O37" i="7"/>
  <c r="P37" i="7"/>
  <c r="S37" i="7"/>
  <c r="C38" i="7"/>
  <c r="D38" i="7" s="1"/>
  <c r="I38" i="7" s="1"/>
  <c r="J38" i="7" a="1"/>
  <c r="J38" i="7" l="1"/>
  <c r="M38" i="7"/>
  <c r="N38" i="7"/>
  <c r="P38" i="7"/>
  <c r="O38" i="7" s="1"/>
  <c r="S38" i="7"/>
  <c r="C39" i="7"/>
  <c r="D39" i="7" s="1"/>
  <c r="I39" i="7" s="1"/>
  <c r="J39" i="7" a="1"/>
  <c r="R37" i="7" l="1"/>
  <c r="U37" i="7" s="1"/>
  <c r="V37" i="7" s="1"/>
  <c r="Q38" i="7"/>
  <c r="T38" i="7" s="1"/>
  <c r="J39" i="7"/>
  <c r="M39" i="7"/>
  <c r="R38" i="7" s="1"/>
  <c r="U38" i="7" s="1"/>
  <c r="N39" i="7"/>
  <c r="P39" i="7"/>
  <c r="O39" i="7" s="1"/>
  <c r="S39" i="7"/>
  <c r="C40" i="7"/>
  <c r="D40" i="7" s="1"/>
  <c r="I40" i="7" s="1"/>
  <c r="J40" i="7" a="1"/>
  <c r="R39" i="7" l="1"/>
  <c r="U39" i="7" s="1"/>
  <c r="Q39" i="7"/>
  <c r="T39" i="7" s="1"/>
  <c r="V38" i="7"/>
  <c r="J40" i="7"/>
  <c r="M40" i="7"/>
  <c r="N40" i="7"/>
  <c r="P40" i="7"/>
  <c r="O40" i="7" s="1"/>
  <c r="S40" i="7"/>
  <c r="C41" i="7"/>
  <c r="D41" i="7"/>
  <c r="I41" i="7"/>
  <c r="J41" i="7" a="1"/>
  <c r="Q40" i="7" l="1"/>
  <c r="T40" i="7" s="1"/>
  <c r="V39" i="7"/>
  <c r="J41" i="7"/>
  <c r="M41" i="7"/>
  <c r="N41" i="7"/>
  <c r="P41" i="7"/>
  <c r="O41" i="7" s="1"/>
  <c r="S41" i="7"/>
  <c r="C42" i="7"/>
  <c r="D42" i="7" s="1"/>
  <c r="I42" i="7" s="1"/>
  <c r="J42" i="7" a="1"/>
  <c r="R41" i="7" l="1"/>
  <c r="U41" i="7" s="1"/>
  <c r="Q41" i="7"/>
  <c r="T41" i="7" s="1"/>
  <c r="R40" i="7"/>
  <c r="U40" i="7" s="1"/>
  <c r="V40" i="7" s="1"/>
  <c r="J42" i="7"/>
  <c r="M42" i="7"/>
  <c r="N42" i="7"/>
  <c r="P42" i="7"/>
  <c r="O42" i="7" s="1"/>
  <c r="S42" i="7"/>
  <c r="C43" i="7"/>
  <c r="D43" i="7" s="1"/>
  <c r="I43" i="7" s="1"/>
  <c r="J43" i="7" a="1"/>
  <c r="Q42" i="7" l="1"/>
  <c r="T42" i="7" s="1"/>
  <c r="V41" i="7"/>
  <c r="J43" i="7"/>
  <c r="Q43" i="7" s="1"/>
  <c r="T43" i="7" s="1"/>
  <c r="M43" i="7"/>
  <c r="N43" i="7"/>
  <c r="P43" i="7"/>
  <c r="O43" i="7" s="1"/>
  <c r="S43" i="7"/>
  <c r="C44" i="7"/>
  <c r="D44" i="7" s="1"/>
  <c r="I44" i="7" s="1"/>
  <c r="J44" i="7" a="1"/>
  <c r="R43" i="7" l="1"/>
  <c r="U43" i="7" s="1"/>
  <c r="V43" i="7" s="1"/>
  <c r="R42" i="7"/>
  <c r="U42" i="7" s="1"/>
  <c r="V42" i="7" s="1"/>
  <c r="J44" i="7"/>
  <c r="M44" i="7"/>
  <c r="N44" i="7"/>
  <c r="O44" i="7"/>
  <c r="P44" i="7"/>
  <c r="S44" i="7"/>
  <c r="C45" i="7"/>
  <c r="D45" i="7" s="1"/>
  <c r="I45" i="7" s="1"/>
  <c r="J45" i="7" a="1"/>
  <c r="Q44" i="7" l="1"/>
  <c r="T44" i="7" s="1"/>
  <c r="J45" i="7"/>
  <c r="M45" i="7"/>
  <c r="N45" i="7"/>
  <c r="P45" i="7"/>
  <c r="O45" i="7" s="1"/>
  <c r="S45" i="7"/>
  <c r="C46" i="7"/>
  <c r="D46" i="7"/>
  <c r="I46" i="7" s="1"/>
  <c r="J46" i="7" a="1"/>
  <c r="Q45" i="7" l="1"/>
  <c r="T45" i="7" s="1"/>
  <c r="R44" i="7"/>
  <c r="U44" i="7" s="1"/>
  <c r="V44" i="7" s="1"/>
  <c r="J46" i="7"/>
  <c r="M46" i="7"/>
  <c r="R45" i="7" s="1"/>
  <c r="U45" i="7" s="1"/>
  <c r="N46" i="7"/>
  <c r="P46" i="7"/>
  <c r="O46" i="7" s="1"/>
  <c r="S46" i="7"/>
  <c r="C47" i="7"/>
  <c r="D47" i="7" s="1"/>
  <c r="I47" i="7" s="1"/>
  <c r="J47" i="7" a="1"/>
  <c r="Q46" i="7" l="1"/>
  <c r="T46" i="7" s="1"/>
  <c r="V45" i="7"/>
  <c r="J47" i="7"/>
  <c r="M47" i="7"/>
  <c r="N47" i="7"/>
  <c r="O47" i="7"/>
  <c r="Q47" i="7" s="1"/>
  <c r="T47" i="7" s="1"/>
  <c r="P47" i="7"/>
  <c r="S47" i="7"/>
  <c r="C48" i="7"/>
  <c r="D48" i="7" s="1"/>
  <c r="I48" i="7" s="1"/>
  <c r="J48" i="7" a="1"/>
  <c r="R46" i="7" l="1"/>
  <c r="U46" i="7" s="1"/>
  <c r="V46" i="7" s="1"/>
  <c r="J48" i="7"/>
  <c r="M48" i="7"/>
  <c r="N48" i="7"/>
  <c r="P48" i="7"/>
  <c r="O48" i="7" s="1"/>
  <c r="S48" i="7"/>
  <c r="C49" i="7"/>
  <c r="D49" i="7" s="1"/>
  <c r="I49" i="7" s="1"/>
  <c r="J49" i="7" a="1"/>
  <c r="Q48" i="7" l="1"/>
  <c r="T48" i="7" s="1"/>
  <c r="R47" i="7"/>
  <c r="U47" i="7" s="1"/>
  <c r="V47" i="7" s="1"/>
  <c r="J49" i="7"/>
  <c r="Q49" i="7" s="1"/>
  <c r="T49" i="7" s="1"/>
  <c r="M49" i="7"/>
  <c r="R48" i="7" s="1"/>
  <c r="U48" i="7" s="1"/>
  <c r="N49" i="7"/>
  <c r="O49" i="7"/>
  <c r="P49" i="7"/>
  <c r="S49" i="7"/>
  <c r="C50" i="7"/>
  <c r="D50" i="7"/>
  <c r="I50" i="7" s="1"/>
  <c r="J50" i="7" a="1"/>
  <c r="V48" i="7" l="1"/>
  <c r="J50" i="7"/>
  <c r="M50" i="7"/>
  <c r="R49" i="7" s="1"/>
  <c r="U49" i="7" s="1"/>
  <c r="V49" i="7" s="1"/>
  <c r="N50" i="7"/>
  <c r="P50" i="7"/>
  <c r="O50" i="7" s="1"/>
  <c r="S50" i="7"/>
  <c r="C51" i="7"/>
  <c r="D51" i="7" s="1"/>
  <c r="I51" i="7" s="1"/>
  <c r="J51" i="7" a="1"/>
  <c r="Q50" i="7" l="1"/>
  <c r="T50" i="7" s="1"/>
  <c r="J51" i="7"/>
  <c r="M51" i="7"/>
  <c r="N51" i="7"/>
  <c r="O51" i="7"/>
  <c r="Q51" i="7" s="1"/>
  <c r="T51" i="7" s="1"/>
  <c r="P51" i="7"/>
  <c r="S51" i="7"/>
  <c r="C52" i="7"/>
  <c r="D52" i="7" s="1"/>
  <c r="I52" i="7" s="1"/>
  <c r="J52" i="7" a="1"/>
  <c r="R50" i="7" l="1"/>
  <c r="U50" i="7" s="1"/>
  <c r="V50" i="7" s="1"/>
  <c r="J52" i="7"/>
  <c r="M52" i="7"/>
  <c r="N52" i="7"/>
  <c r="P52" i="7"/>
  <c r="O52" i="7" s="1"/>
  <c r="Q52" i="7" s="1"/>
  <c r="T52" i="7" s="1"/>
  <c r="S52" i="7"/>
  <c r="C53" i="7"/>
  <c r="D53" i="7"/>
  <c r="I53" i="7"/>
  <c r="J53" i="7" a="1"/>
  <c r="R51" i="7" l="1"/>
  <c r="U51" i="7" s="1"/>
  <c r="V51" i="7" s="1"/>
  <c r="J53" i="7"/>
  <c r="M53" i="7"/>
  <c r="N53" i="7"/>
  <c r="P53" i="7"/>
  <c r="O53" i="7" s="1"/>
  <c r="Q53" i="7" s="1"/>
  <c r="T53" i="7" s="1"/>
  <c r="S53" i="7"/>
  <c r="C54" i="7"/>
  <c r="D54" i="7" s="1"/>
  <c r="I54" i="7" s="1"/>
  <c r="J54" i="7" a="1"/>
  <c r="R52" i="7" l="1"/>
  <c r="U52" i="7" s="1"/>
  <c r="V52" i="7" s="1"/>
  <c r="J54" i="7"/>
  <c r="M54" i="7"/>
  <c r="N54" i="7"/>
  <c r="P54" i="7"/>
  <c r="O54" i="7" s="1"/>
  <c r="Q54" i="7" s="1"/>
  <c r="T54" i="7" s="1"/>
  <c r="S54" i="7"/>
  <c r="C55" i="7"/>
  <c r="D55" i="7"/>
  <c r="I55" i="7" s="1"/>
  <c r="J55" i="7" a="1"/>
  <c r="R53" i="7" l="1"/>
  <c r="U53" i="7" s="1"/>
  <c r="V53" i="7" s="1"/>
  <c r="J55" i="7"/>
  <c r="M55" i="7"/>
  <c r="N55" i="7"/>
  <c r="O55" i="7"/>
  <c r="P55" i="7"/>
  <c r="S55" i="7"/>
  <c r="C56" i="7"/>
  <c r="D56" i="7" s="1"/>
  <c r="I56" i="7" s="1"/>
  <c r="J56" i="7" a="1"/>
  <c r="Q55" i="7" l="1"/>
  <c r="T55" i="7" s="1"/>
  <c r="R54" i="7"/>
  <c r="U54" i="7" s="1"/>
  <c r="V54" i="7" s="1"/>
  <c r="J56" i="7"/>
  <c r="M56" i="7"/>
  <c r="N56" i="7"/>
  <c r="O56" i="7"/>
  <c r="P56" i="7"/>
  <c r="S56" i="7"/>
  <c r="C57" i="7"/>
  <c r="D57" i="7"/>
  <c r="I57" i="7" s="1"/>
  <c r="J57" i="7" a="1"/>
  <c r="Q56" i="7" l="1"/>
  <c r="T56" i="7" s="1"/>
  <c r="R55" i="7"/>
  <c r="U55" i="7" s="1"/>
  <c r="V55" i="7" s="1"/>
  <c r="J57" i="7"/>
  <c r="M57" i="7"/>
  <c r="R56" i="7" s="1"/>
  <c r="U56" i="7" s="1"/>
  <c r="V56" i="7" s="1"/>
  <c r="N57" i="7"/>
  <c r="P57" i="7"/>
  <c r="O57" i="7" s="1"/>
  <c r="Q57" i="7" s="1"/>
  <c r="T57" i="7" s="1"/>
  <c r="S57" i="7"/>
  <c r="C58" i="7"/>
  <c r="D58" i="7" s="1"/>
  <c r="I58" i="7" s="1"/>
  <c r="J58" i="7" a="1"/>
  <c r="J58" i="7" l="1"/>
  <c r="M58" i="7"/>
  <c r="N58" i="7"/>
  <c r="P58" i="7"/>
  <c r="O58" i="7" s="1"/>
  <c r="S58" i="7"/>
  <c r="C59" i="7"/>
  <c r="D59" i="7" s="1"/>
  <c r="I59" i="7" s="1"/>
  <c r="J59" i="7" a="1"/>
  <c r="Q58" i="7" l="1"/>
  <c r="T58" i="7" s="1"/>
  <c r="R57" i="7"/>
  <c r="U57" i="7" s="1"/>
  <c r="V57" i="7" s="1"/>
  <c r="J59" i="7"/>
  <c r="Q59" i="7" s="1"/>
  <c r="T59" i="7" s="1"/>
  <c r="M59" i="7"/>
  <c r="N59" i="7"/>
  <c r="O59" i="7"/>
  <c r="P59" i="7"/>
  <c r="S59" i="7"/>
  <c r="C60" i="7"/>
  <c r="D60" i="7" s="1"/>
  <c r="I60" i="7" s="1"/>
  <c r="J60" i="7" a="1"/>
  <c r="R58" i="7" l="1"/>
  <c r="U58" i="7" s="1"/>
  <c r="V58" i="7" s="1"/>
  <c r="J60" i="7"/>
  <c r="M60" i="7"/>
  <c r="N60" i="7"/>
  <c r="O60" i="7"/>
  <c r="Q60" i="7" s="1"/>
  <c r="T60" i="7" s="1"/>
  <c r="P60" i="7"/>
  <c r="S60" i="7"/>
  <c r="C61" i="7"/>
  <c r="D61" i="7" s="1"/>
  <c r="I61" i="7" s="1"/>
  <c r="J61" i="7" a="1"/>
  <c r="R59" i="7" l="1"/>
  <c r="U59" i="7" s="1"/>
  <c r="V59" i="7" s="1"/>
  <c r="J61" i="7"/>
  <c r="M61" i="7"/>
  <c r="N61" i="7"/>
  <c r="O61" i="7"/>
  <c r="Q61" i="7" s="1"/>
  <c r="T61" i="7" s="1"/>
  <c r="P61" i="7"/>
  <c r="S61" i="7"/>
  <c r="C62" i="7"/>
  <c r="D62" i="7" s="1"/>
  <c r="I62" i="7" s="1"/>
  <c r="J62" i="7" a="1"/>
  <c r="R60" i="7" l="1"/>
  <c r="U60" i="7" s="1"/>
  <c r="V60" i="7" s="1"/>
  <c r="J62" i="7"/>
  <c r="M62" i="7"/>
  <c r="N62" i="7"/>
  <c r="O62" i="7"/>
  <c r="P62" i="7"/>
  <c r="Q62" i="7"/>
  <c r="T62" i="7" s="1"/>
  <c r="S62" i="7"/>
  <c r="C63" i="7"/>
  <c r="D63" i="7" s="1"/>
  <c r="I63" i="7" s="1"/>
  <c r="J63" i="7" a="1"/>
  <c r="R61" i="7" l="1"/>
  <c r="U61" i="7" s="1"/>
  <c r="V61" i="7" s="1"/>
  <c r="J63" i="7"/>
  <c r="M63" i="7"/>
  <c r="N63" i="7"/>
  <c r="O63" i="7"/>
  <c r="Q63" i="7" s="1"/>
  <c r="T63" i="7" s="1"/>
  <c r="P63" i="7"/>
  <c r="S63" i="7"/>
  <c r="C64" i="7"/>
  <c r="D64" i="7" s="1"/>
  <c r="I64" i="7" s="1"/>
  <c r="J64" i="7" a="1"/>
  <c r="R62" i="7" l="1"/>
  <c r="U62" i="7" s="1"/>
  <c r="V62" i="7" s="1"/>
  <c r="J64" i="7"/>
  <c r="Q64" i="7" s="1"/>
  <c r="T64" i="7" s="1"/>
  <c r="M64" i="7"/>
  <c r="N64" i="7"/>
  <c r="O64" i="7"/>
  <c r="P64" i="7"/>
  <c r="S64" i="7"/>
  <c r="C65" i="7"/>
  <c r="D65" i="7"/>
  <c r="I65" i="7" s="1"/>
  <c r="J65" i="7" a="1"/>
  <c r="R63" i="7" l="1"/>
  <c r="U63" i="7" s="1"/>
  <c r="V63" i="7" s="1"/>
  <c r="J65" i="7"/>
  <c r="M65" i="7"/>
  <c r="R64" i="7" s="1"/>
  <c r="U64" i="7" s="1"/>
  <c r="V64" i="7" s="1"/>
  <c r="N65" i="7"/>
  <c r="O65" i="7"/>
  <c r="P65" i="7"/>
  <c r="Q65" i="7"/>
  <c r="T65" i="7" s="1"/>
  <c r="S65" i="7"/>
  <c r="C66" i="7"/>
  <c r="D66" i="7" s="1"/>
  <c r="I66" i="7" s="1"/>
  <c r="J66" i="7" a="1"/>
  <c r="J66" i="7" l="1"/>
  <c r="Q66" i="7" s="1"/>
  <c r="T66" i="7" s="1"/>
  <c r="M66" i="7"/>
  <c r="R65" i="7" s="1"/>
  <c r="U65" i="7" s="1"/>
  <c r="V65" i="7" s="1"/>
  <c r="N66" i="7"/>
  <c r="O66" i="7"/>
  <c r="P66" i="7"/>
  <c r="S66" i="7"/>
  <c r="C67" i="7"/>
  <c r="D67" i="7" s="1"/>
  <c r="I67" i="7" s="1"/>
  <c r="J67" i="7" a="1"/>
  <c r="J67" i="7" l="1"/>
  <c r="M67" i="7"/>
  <c r="N67" i="7"/>
  <c r="O67" i="7"/>
  <c r="P67" i="7"/>
  <c r="S67" i="7"/>
  <c r="C68" i="7"/>
  <c r="D68" i="7" s="1"/>
  <c r="I68" i="7" s="1"/>
  <c r="J68" i="7" a="1"/>
  <c r="Q67" i="7" l="1"/>
  <c r="T67" i="7" s="1"/>
  <c r="R66" i="7"/>
  <c r="U66" i="7" s="1"/>
  <c r="V66" i="7" s="1"/>
  <c r="J68" i="7"/>
  <c r="M68" i="7"/>
  <c r="N68" i="7"/>
  <c r="O68" i="7"/>
  <c r="P68" i="7"/>
  <c r="Q68" i="7"/>
  <c r="T68" i="7" s="1"/>
  <c r="S68" i="7"/>
  <c r="C69" i="7"/>
  <c r="D69" i="7" s="1"/>
  <c r="I69" i="7" s="1"/>
  <c r="J69" i="7" a="1"/>
  <c r="R67" i="7" l="1"/>
  <c r="U67" i="7" s="1"/>
  <c r="V67" i="7" s="1"/>
  <c r="J69" i="7"/>
  <c r="M69" i="7"/>
  <c r="N69" i="7"/>
  <c r="O69" i="7"/>
  <c r="P69" i="7"/>
  <c r="Q69" i="7"/>
  <c r="T69" i="7" s="1"/>
  <c r="S69" i="7"/>
  <c r="C70" i="7"/>
  <c r="D70" i="7" s="1"/>
  <c r="I70" i="7" s="1"/>
  <c r="J70" i="7" a="1"/>
  <c r="R68" i="7" l="1"/>
  <c r="U68" i="7" s="1"/>
  <c r="V68" i="7" s="1"/>
  <c r="J70" i="7"/>
  <c r="M70" i="7"/>
  <c r="N70" i="7"/>
  <c r="O70" i="7"/>
  <c r="P70" i="7"/>
  <c r="Q70" i="7"/>
  <c r="T70" i="7" s="1"/>
  <c r="S70" i="7"/>
  <c r="C71" i="7"/>
  <c r="D71" i="7" s="1"/>
  <c r="I71" i="7" s="1"/>
  <c r="J71" i="7" a="1"/>
  <c r="R69" i="7" l="1"/>
  <c r="U69" i="7" s="1"/>
  <c r="V69" i="7" s="1"/>
  <c r="J71" i="7"/>
  <c r="Q71" i="7" s="1"/>
  <c r="T71" i="7" s="1"/>
  <c r="M71" i="7"/>
  <c r="N71" i="7"/>
  <c r="O71" i="7"/>
  <c r="P71" i="7"/>
  <c r="S71" i="7"/>
  <c r="C72" i="7"/>
  <c r="D72" i="7" s="1"/>
  <c r="I72" i="7" s="1"/>
  <c r="J72" i="7" a="1"/>
  <c r="R70" i="7" l="1"/>
  <c r="U70" i="7" s="1"/>
  <c r="V70" i="7" s="1"/>
  <c r="J72" i="7"/>
  <c r="M72" i="7"/>
  <c r="N72" i="7"/>
  <c r="O72" i="7"/>
  <c r="P72" i="7"/>
  <c r="Q72" i="7"/>
  <c r="T72" i="7" s="1"/>
  <c r="S72" i="7"/>
  <c r="C73" i="7"/>
  <c r="D73" i="7" s="1"/>
  <c r="I73" i="7" s="1"/>
  <c r="J73" i="7" a="1"/>
  <c r="R71" i="7" l="1"/>
  <c r="U71" i="7" s="1"/>
  <c r="V71" i="7" s="1"/>
  <c r="J73" i="7"/>
  <c r="M73" i="7"/>
  <c r="N73" i="7"/>
  <c r="O73" i="7"/>
  <c r="Q73" i="7" s="1"/>
  <c r="T73" i="7" s="1"/>
  <c r="P73" i="7"/>
  <c r="S73" i="7"/>
  <c r="C74" i="7"/>
  <c r="D74" i="7" s="1"/>
  <c r="I74" i="7" s="1"/>
  <c r="J74" i="7" a="1"/>
  <c r="R72" i="7" l="1"/>
  <c r="U72" i="7" s="1"/>
  <c r="V72" i="7" s="1"/>
  <c r="J74" i="7"/>
  <c r="M74" i="7"/>
  <c r="N74" i="7"/>
  <c r="O74" i="7"/>
  <c r="P74" i="7"/>
  <c r="Q74" i="7"/>
  <c r="T74" i="7" s="1"/>
  <c r="S74" i="7"/>
  <c r="C75" i="7"/>
  <c r="D75" i="7" s="1"/>
  <c r="I75" i="7" s="1"/>
  <c r="J75" i="7" a="1"/>
  <c r="R73" i="7" l="1"/>
  <c r="U73" i="7" s="1"/>
  <c r="V73" i="7" s="1"/>
  <c r="J75" i="7"/>
  <c r="M75" i="7"/>
  <c r="N75" i="7"/>
  <c r="O75" i="7"/>
  <c r="P75" i="7"/>
  <c r="Q75" i="7"/>
  <c r="T75" i="7" s="1"/>
  <c r="S75" i="7"/>
  <c r="C76" i="7"/>
  <c r="D76" i="7" s="1"/>
  <c r="I76" i="7" s="1"/>
  <c r="J76" i="7" a="1"/>
  <c r="R74" i="7" l="1"/>
  <c r="U74" i="7" s="1"/>
  <c r="V74" i="7" s="1"/>
  <c r="J76" i="7"/>
  <c r="M76" i="7"/>
  <c r="N76" i="7"/>
  <c r="O76" i="7"/>
  <c r="Q76" i="7" s="1"/>
  <c r="T76" i="7" s="1"/>
  <c r="P76" i="7"/>
  <c r="S76" i="7"/>
  <c r="C77" i="7"/>
  <c r="D77" i="7"/>
  <c r="I77" i="7" s="1"/>
  <c r="J77" i="7" a="1"/>
  <c r="R75" i="7" l="1"/>
  <c r="U75" i="7" s="1"/>
  <c r="V75" i="7" s="1"/>
  <c r="J77" i="7"/>
  <c r="M77" i="7"/>
  <c r="N77" i="7"/>
  <c r="O77" i="7"/>
  <c r="P77" i="7"/>
  <c r="Q77" i="7"/>
  <c r="T77" i="7" s="1"/>
  <c r="S77" i="7"/>
  <c r="C78" i="7"/>
  <c r="D78" i="7" s="1"/>
  <c r="I78" i="7" s="1"/>
  <c r="J78" i="7" a="1"/>
  <c r="R76" i="7" l="1"/>
  <c r="U76" i="7" s="1"/>
  <c r="V76" i="7" s="1"/>
  <c r="J78" i="7"/>
  <c r="M78" i="7"/>
  <c r="N78" i="7"/>
  <c r="O78" i="7"/>
  <c r="P78" i="7"/>
  <c r="Q78" i="7"/>
  <c r="T78" i="7" s="1"/>
  <c r="S78" i="7"/>
  <c r="C79" i="7"/>
  <c r="D79" i="7" s="1"/>
  <c r="I79" i="7" s="1"/>
  <c r="J79" i="7" a="1"/>
  <c r="R77" i="7" l="1"/>
  <c r="U77" i="7" s="1"/>
  <c r="V77" i="7" s="1"/>
  <c r="J79" i="7"/>
  <c r="M79" i="7"/>
  <c r="N79" i="7"/>
  <c r="O79" i="7"/>
  <c r="P79" i="7"/>
  <c r="Q79" i="7"/>
  <c r="T79" i="7" s="1"/>
  <c r="S79" i="7"/>
  <c r="C80" i="7"/>
  <c r="D80" i="7" s="1"/>
  <c r="I80" i="7" s="1"/>
  <c r="J80" i="7" a="1"/>
  <c r="R78" i="7" l="1"/>
  <c r="U78" i="7" s="1"/>
  <c r="V78" i="7" s="1"/>
  <c r="J80" i="7"/>
  <c r="M80" i="7"/>
  <c r="N80" i="7"/>
  <c r="O80" i="7"/>
  <c r="P80" i="7"/>
  <c r="Q80" i="7"/>
  <c r="T80" i="7" s="1"/>
  <c r="S80" i="7"/>
  <c r="C81" i="7"/>
  <c r="D81" i="7"/>
  <c r="I81" i="7" s="1"/>
  <c r="J81" i="7" a="1"/>
  <c r="R79" i="7" l="1"/>
  <c r="U79" i="7" s="1"/>
  <c r="V79" i="7" s="1"/>
  <c r="J81" i="7"/>
  <c r="M81" i="7"/>
  <c r="N81" i="7"/>
  <c r="O81" i="7"/>
  <c r="P81" i="7"/>
  <c r="Q81" i="7"/>
  <c r="T81" i="7" s="1"/>
  <c r="S81" i="7"/>
  <c r="C82" i="7"/>
  <c r="D82" i="7" s="1"/>
  <c r="I82" i="7" s="1"/>
  <c r="J82" i="7" a="1"/>
  <c r="R80" i="7" l="1"/>
  <c r="U80" i="7" s="1"/>
  <c r="V80" i="7" s="1"/>
  <c r="J82" i="7"/>
  <c r="M82" i="7"/>
  <c r="N82" i="7"/>
  <c r="O82" i="7"/>
  <c r="P82" i="7"/>
  <c r="Q82" i="7" s="1"/>
  <c r="T82" i="7" s="1"/>
  <c r="S82" i="7"/>
  <c r="C83" i="7"/>
  <c r="D83" i="7" s="1"/>
  <c r="I83" i="7" s="1"/>
  <c r="J83" i="7" a="1"/>
  <c r="R81" i="7" l="1"/>
  <c r="U81" i="7" s="1"/>
  <c r="V81" i="7" s="1"/>
  <c r="J83" i="7"/>
  <c r="M83" i="7"/>
  <c r="N83" i="7"/>
  <c r="O83" i="7"/>
  <c r="P83" i="7"/>
  <c r="Q83" i="7"/>
  <c r="T83" i="7" s="1"/>
  <c r="S83" i="7"/>
  <c r="C84" i="7"/>
  <c r="D84" i="7" s="1"/>
  <c r="I84" i="7" s="1"/>
  <c r="J84" i="7" a="1"/>
  <c r="R82" i="7" l="1"/>
  <c r="U82" i="7" s="1"/>
  <c r="V82" i="7" s="1"/>
  <c r="J84" i="7"/>
  <c r="M84" i="7"/>
  <c r="N84" i="7"/>
  <c r="O84" i="7"/>
  <c r="P84" i="7"/>
  <c r="Q84" i="7"/>
  <c r="T84" i="7" s="1"/>
  <c r="S84" i="7"/>
  <c r="C85" i="7"/>
  <c r="D85" i="7" s="1"/>
  <c r="I85" i="7" s="1"/>
  <c r="J85" i="7" a="1"/>
  <c r="R83" i="7" l="1"/>
  <c r="U83" i="7" s="1"/>
  <c r="V83" i="7" s="1"/>
  <c r="J85" i="7"/>
  <c r="M85" i="7"/>
  <c r="N85" i="7"/>
  <c r="O85" i="7"/>
  <c r="P85" i="7"/>
  <c r="Q85" i="7"/>
  <c r="T85" i="7" s="1"/>
  <c r="S85" i="7"/>
  <c r="C86" i="7"/>
  <c r="D86" i="7" s="1"/>
  <c r="I86" i="7" s="1"/>
  <c r="J86" i="7" a="1"/>
  <c r="R84" i="7" l="1"/>
  <c r="U84" i="7" s="1"/>
  <c r="V84" i="7" s="1"/>
  <c r="J86" i="7"/>
  <c r="M86" i="7"/>
  <c r="N86" i="7"/>
  <c r="O86" i="7"/>
  <c r="P86" i="7"/>
  <c r="Q86" i="7"/>
  <c r="T86" i="7" s="1"/>
  <c r="S86" i="7"/>
  <c r="C87" i="7"/>
  <c r="D87" i="7" s="1"/>
  <c r="I87" i="7" s="1"/>
  <c r="J87" i="7" a="1"/>
  <c r="R85" i="7" l="1"/>
  <c r="U85" i="7" s="1"/>
  <c r="V85" i="7" s="1"/>
  <c r="J87" i="7"/>
  <c r="M87" i="7"/>
  <c r="N87" i="7"/>
  <c r="O87" i="7"/>
  <c r="P87" i="7"/>
  <c r="Q87" i="7"/>
  <c r="T87" i="7" s="1"/>
  <c r="V87" i="7" s="1"/>
  <c r="S87" i="7"/>
  <c r="U87" i="7"/>
  <c r="F90" i="7"/>
  <c r="F95" i="7"/>
  <c r="F96" i="7" s="1"/>
  <c r="J2" i="6"/>
  <c r="J3" i="6" s="1"/>
  <c r="C9" i="6"/>
  <c r="O9" i="6" s="1"/>
  <c r="K9" i="6"/>
  <c r="N9" i="6" s="1"/>
  <c r="L9" i="6"/>
  <c r="T9" i="6" a="1"/>
  <c r="R86" i="7" l="1"/>
  <c r="U86" i="7" s="1"/>
  <c r="V86" i="7" s="1"/>
  <c r="F91" i="7" s="1"/>
  <c r="F93" i="7" s="1"/>
  <c r="P9" i="6"/>
  <c r="R9" i="6" s="1"/>
  <c r="T9" i="6"/>
  <c r="U9" i="6" s="1"/>
  <c r="Q9" i="6" l="1"/>
  <c r="S9" i="6" s="1"/>
  <c r="V9" i="6"/>
  <c r="X9" i="6" s="1"/>
  <c r="Y9" i="6" l="1"/>
  <c r="Z9" i="6"/>
  <c r="AA9" i="6"/>
  <c r="AB9" i="6" l="1"/>
  <c r="B10" i="6" l="1"/>
  <c r="C10" i="6"/>
  <c r="O10" i="6" s="1"/>
  <c r="U10" i="6" s="1"/>
  <c r="K10" i="6"/>
  <c r="L10" i="6"/>
  <c r="M10" i="6"/>
  <c r="B11" i="6"/>
  <c r="U59" i="6"/>
  <c r="AV59" i="6"/>
  <c r="BE59" i="6"/>
  <c r="BN59" i="6"/>
  <c r="J6" i="5"/>
  <c r="Q6" i="5"/>
  <c r="E8" i="5"/>
  <c r="F8" i="5"/>
  <c r="G8" i="5" s="1"/>
  <c r="L8" i="5"/>
  <c r="M8" i="5"/>
  <c r="N8" i="5"/>
  <c r="S8" i="5"/>
  <c r="T8" i="5"/>
  <c r="U8" i="5"/>
  <c r="E9" i="5"/>
  <c r="F9" i="5"/>
  <c r="G9" i="5" s="1"/>
  <c r="L9" i="5"/>
  <c r="M9" i="5"/>
  <c r="N9" i="5"/>
  <c r="S9" i="5"/>
  <c r="T9" i="5"/>
  <c r="U9" i="5"/>
  <c r="E10" i="5"/>
  <c r="F10" i="5"/>
  <c r="G10" i="5"/>
  <c r="L10" i="5"/>
  <c r="M10" i="5"/>
  <c r="N10" i="5"/>
  <c r="S10" i="5"/>
  <c r="T10" i="5"/>
  <c r="U10" i="5"/>
  <c r="E11" i="5"/>
  <c r="F11" i="5"/>
  <c r="G11" i="5"/>
  <c r="L11" i="5"/>
  <c r="M11" i="5"/>
  <c r="N11" i="5"/>
  <c r="S11" i="5"/>
  <c r="T11" i="5"/>
  <c r="U11" i="5"/>
  <c r="E12" i="5"/>
  <c r="F12" i="5"/>
  <c r="G12" i="5" s="1"/>
  <c r="L12" i="5"/>
  <c r="M12" i="5"/>
  <c r="N12" i="5"/>
  <c r="S12" i="5"/>
  <c r="T12" i="5"/>
  <c r="U12" i="5"/>
  <c r="E13" i="5"/>
  <c r="F13" i="5"/>
  <c r="G13" i="5" s="1"/>
  <c r="L13" i="5"/>
  <c r="M13" i="5"/>
  <c r="N13" i="5" s="1"/>
  <c r="S13" i="5"/>
  <c r="T13" i="5"/>
  <c r="U13" i="5"/>
  <c r="E14" i="5"/>
  <c r="F14" i="5"/>
  <c r="G14" i="5" s="1"/>
  <c r="L14" i="5"/>
  <c r="M14" i="5"/>
  <c r="N14" i="5" s="1"/>
  <c r="S14" i="5"/>
  <c r="T14" i="5"/>
  <c r="U14" i="5" s="1"/>
  <c r="E15" i="5"/>
  <c r="F15" i="5"/>
  <c r="G15" i="5"/>
  <c r="L15" i="5"/>
  <c r="M15" i="5"/>
  <c r="N15" i="5" s="1"/>
  <c r="S15" i="5"/>
  <c r="T15" i="5"/>
  <c r="U15" i="5" s="1"/>
  <c r="E16" i="5"/>
  <c r="F16" i="5"/>
  <c r="G16" i="5" s="1"/>
  <c r="L16" i="5"/>
  <c r="M16" i="5"/>
  <c r="N16" i="5"/>
  <c r="S16" i="5"/>
  <c r="T16" i="5"/>
  <c r="U16" i="5" s="1"/>
  <c r="E17" i="5"/>
  <c r="F17" i="5"/>
  <c r="G17" i="5" s="1"/>
  <c r="L17" i="5"/>
  <c r="M17" i="5"/>
  <c r="N17" i="5" s="1"/>
  <c r="S17" i="5"/>
  <c r="T17" i="5"/>
  <c r="U17" i="5" s="1"/>
  <c r="E18" i="5"/>
  <c r="F18" i="5"/>
  <c r="G18" i="5" s="1"/>
  <c r="L18" i="5"/>
  <c r="M18" i="5"/>
  <c r="N18" i="5" s="1"/>
  <c r="S18" i="5"/>
  <c r="T18" i="5"/>
  <c r="U18" i="5" s="1"/>
  <c r="E19" i="5"/>
  <c r="F19" i="5"/>
  <c r="G19" i="5" s="1"/>
  <c r="L19" i="5"/>
  <c r="M19" i="5"/>
  <c r="N19" i="5" s="1"/>
  <c r="S19" i="5"/>
  <c r="T19" i="5"/>
  <c r="U19" i="5" s="1"/>
  <c r="E20" i="5"/>
  <c r="F20" i="5"/>
  <c r="G20" i="5" s="1"/>
  <c r="L20" i="5"/>
  <c r="M20" i="5"/>
  <c r="N20" i="5" s="1"/>
  <c r="S20" i="5"/>
  <c r="T20" i="5"/>
  <c r="U20" i="5" s="1"/>
  <c r="E21" i="5"/>
  <c r="F21" i="5"/>
  <c r="G21" i="5" s="1"/>
  <c r="L21" i="5"/>
  <c r="M21" i="5"/>
  <c r="N21" i="5" s="1"/>
  <c r="S21" i="5"/>
  <c r="T21" i="5"/>
  <c r="U21" i="5" s="1"/>
  <c r="E22" i="5"/>
  <c r="F22" i="5"/>
  <c r="G22" i="5" s="1"/>
  <c r="L22" i="5"/>
  <c r="M22" i="5"/>
  <c r="N22" i="5" s="1"/>
  <c r="S22" i="5"/>
  <c r="T22" i="5"/>
  <c r="U22" i="5" s="1"/>
  <c r="E23" i="5"/>
  <c r="F23" i="5"/>
  <c r="G23" i="5" s="1"/>
  <c r="L23" i="5"/>
  <c r="M23" i="5"/>
  <c r="N23" i="5" s="1"/>
  <c r="S23" i="5"/>
  <c r="T23" i="5"/>
  <c r="U23" i="5" s="1"/>
  <c r="E24" i="5"/>
  <c r="F24" i="5"/>
  <c r="G24" i="5" s="1"/>
  <c r="L24" i="5"/>
  <c r="M24" i="5"/>
  <c r="N24" i="5" s="1"/>
  <c r="S24" i="5"/>
  <c r="T24" i="5"/>
  <c r="U24" i="5" s="1"/>
  <c r="E25" i="5"/>
  <c r="F25" i="5"/>
  <c r="G25" i="5" s="1"/>
  <c r="L25" i="5"/>
  <c r="M25" i="5"/>
  <c r="N25" i="5" s="1"/>
  <c r="S25" i="5"/>
  <c r="T25" i="5"/>
  <c r="U25" i="5" s="1"/>
  <c r="E26" i="5"/>
  <c r="F26" i="5"/>
  <c r="G26" i="5" s="1"/>
  <c r="L26" i="5"/>
  <c r="M26" i="5"/>
  <c r="N26" i="5" s="1"/>
  <c r="S26" i="5"/>
  <c r="T26" i="5"/>
  <c r="U26" i="5" s="1"/>
  <c r="E27" i="5"/>
  <c r="F27" i="5"/>
  <c r="G27" i="5" s="1"/>
  <c r="L27" i="5"/>
  <c r="M27" i="5"/>
  <c r="N27" i="5" s="1"/>
  <c r="S27" i="5"/>
  <c r="T27" i="5"/>
  <c r="U27" i="5" s="1"/>
  <c r="E28" i="5"/>
  <c r="F28" i="5"/>
  <c r="G28" i="5" s="1"/>
  <c r="L28" i="5"/>
  <c r="M28" i="5"/>
  <c r="N28" i="5" s="1"/>
  <c r="S28" i="5"/>
  <c r="T28" i="5"/>
  <c r="U28" i="5" s="1"/>
  <c r="E29" i="5"/>
  <c r="F29" i="5"/>
  <c r="G29" i="5" s="1"/>
  <c r="L29" i="5"/>
  <c r="M29" i="5"/>
  <c r="N29" i="5" s="1"/>
  <c r="S29" i="5"/>
  <c r="T29" i="5"/>
  <c r="U29" i="5" s="1"/>
  <c r="E30" i="5"/>
  <c r="F30" i="5"/>
  <c r="G30" i="5" s="1"/>
  <c r="L30" i="5"/>
  <c r="M30" i="5"/>
  <c r="N30" i="5" s="1"/>
  <c r="S30" i="5"/>
  <c r="T30" i="5"/>
  <c r="U30" i="5" s="1"/>
  <c r="E31" i="5"/>
  <c r="F31" i="5"/>
  <c r="G31" i="5" s="1"/>
  <c r="L31" i="5"/>
  <c r="M31" i="5"/>
  <c r="N31" i="5" s="1"/>
  <c r="S31" i="5"/>
  <c r="T31" i="5"/>
  <c r="U31" i="5" s="1"/>
  <c r="E32" i="5"/>
  <c r="F32" i="5"/>
  <c r="G32" i="5" s="1"/>
  <c r="L32" i="5"/>
  <c r="M32" i="5"/>
  <c r="N32" i="5" s="1"/>
  <c r="S32" i="5"/>
  <c r="T32" i="5"/>
  <c r="U32" i="5" s="1"/>
  <c r="E33" i="5"/>
  <c r="F33" i="5"/>
  <c r="G33" i="5" s="1"/>
  <c r="L33" i="5"/>
  <c r="M33" i="5"/>
  <c r="N33" i="5" s="1"/>
  <c r="S33" i="5"/>
  <c r="T33" i="5"/>
  <c r="U33" i="5" s="1"/>
  <c r="E34" i="5"/>
  <c r="F34" i="5"/>
  <c r="G34" i="5" s="1"/>
  <c r="L34" i="5"/>
  <c r="M34" i="5"/>
  <c r="N34" i="5" s="1"/>
  <c r="S34" i="5"/>
  <c r="T34" i="5"/>
  <c r="U34" i="5" s="1"/>
  <c r="E35" i="5"/>
  <c r="F35" i="5"/>
  <c r="G35" i="5" s="1"/>
  <c r="L35" i="5"/>
  <c r="M35" i="5"/>
  <c r="N35" i="5" s="1"/>
  <c r="S35" i="5"/>
  <c r="T35" i="5"/>
  <c r="U35" i="5" s="1"/>
  <c r="E36" i="5"/>
  <c r="F36" i="5"/>
  <c r="G36" i="5" s="1"/>
  <c r="L36" i="5"/>
  <c r="M36" i="5"/>
  <c r="N36" i="5" s="1"/>
  <c r="S36" i="5"/>
  <c r="T36" i="5"/>
  <c r="U36" i="5" s="1"/>
  <c r="E37" i="5"/>
  <c r="F37" i="5"/>
  <c r="G37" i="5" s="1"/>
  <c r="L37" i="5"/>
  <c r="M37" i="5"/>
  <c r="N37" i="5" s="1"/>
  <c r="S37" i="5"/>
  <c r="T37" i="5"/>
  <c r="U37" i="5" s="1"/>
  <c r="E38" i="5"/>
  <c r="F38" i="5"/>
  <c r="G38" i="5" s="1"/>
  <c r="L38" i="5"/>
  <c r="M38" i="5"/>
  <c r="N38" i="5" s="1"/>
  <c r="S38" i="5"/>
  <c r="T38" i="5"/>
  <c r="U38" i="5" s="1"/>
  <c r="E39" i="5"/>
  <c r="F39" i="5"/>
  <c r="G39" i="5" s="1"/>
  <c r="L39" i="5"/>
  <c r="M39" i="5"/>
  <c r="N39" i="5" s="1"/>
  <c r="S39" i="5"/>
  <c r="T39" i="5"/>
  <c r="U39" i="5" s="1"/>
  <c r="E40" i="5"/>
  <c r="F40" i="5"/>
  <c r="G40" i="5" s="1"/>
  <c r="L40" i="5"/>
  <c r="M40" i="5"/>
  <c r="N40" i="5" s="1"/>
  <c r="S40" i="5"/>
  <c r="T40" i="5"/>
  <c r="U40" i="5" s="1"/>
  <c r="E41" i="5"/>
  <c r="F41" i="5"/>
  <c r="G41" i="5" s="1"/>
  <c r="L41" i="5"/>
  <c r="M41" i="5"/>
  <c r="N41" i="5" s="1"/>
  <c r="S41" i="5"/>
  <c r="T41" i="5"/>
  <c r="U41" i="5" s="1"/>
  <c r="E42" i="5"/>
  <c r="F42" i="5"/>
  <c r="G42" i="5" s="1"/>
  <c r="L42" i="5"/>
  <c r="M42" i="5"/>
  <c r="N42" i="5" s="1"/>
  <c r="S42" i="5"/>
  <c r="T42" i="5"/>
  <c r="U42" i="5" s="1"/>
  <c r="E43" i="5"/>
  <c r="F43" i="5"/>
  <c r="G43" i="5" s="1"/>
  <c r="L43" i="5"/>
  <c r="M43" i="5"/>
  <c r="N43" i="5" s="1"/>
  <c r="S43" i="5"/>
  <c r="T43" i="5"/>
  <c r="U43" i="5" s="1"/>
  <c r="E44" i="5"/>
  <c r="F44" i="5"/>
  <c r="G44" i="5" s="1"/>
  <c r="L44" i="5"/>
  <c r="M44" i="5"/>
  <c r="N44" i="5" s="1"/>
  <c r="S44" i="5"/>
  <c r="T44" i="5"/>
  <c r="U44" i="5" s="1"/>
  <c r="E45" i="5"/>
  <c r="F45" i="5"/>
  <c r="G45" i="5" s="1"/>
  <c r="L45" i="5"/>
  <c r="M45" i="5"/>
  <c r="N45" i="5" s="1"/>
  <c r="S45" i="5"/>
  <c r="T45" i="5"/>
  <c r="U45" i="5" s="1"/>
  <c r="E46" i="5"/>
  <c r="F46" i="5"/>
  <c r="G46" i="5" s="1"/>
  <c r="L46" i="5"/>
  <c r="M46" i="5"/>
  <c r="N46" i="5" s="1"/>
  <c r="S46" i="5"/>
  <c r="T46" i="5"/>
  <c r="U46" i="5" s="1"/>
  <c r="E47" i="5"/>
  <c r="F47" i="5"/>
  <c r="G47" i="5" s="1"/>
  <c r="L47" i="5"/>
  <c r="M47" i="5"/>
  <c r="N47" i="5" s="1"/>
  <c r="S47" i="5"/>
  <c r="T47" i="5"/>
  <c r="U47" i="5" s="1"/>
  <c r="E48" i="5"/>
  <c r="F48" i="5"/>
  <c r="G48" i="5" s="1"/>
  <c r="L48" i="5"/>
  <c r="M48" i="5"/>
  <c r="N48" i="5" s="1"/>
  <c r="S48" i="5"/>
  <c r="T48" i="5"/>
  <c r="U48" i="5" s="1"/>
  <c r="E49" i="5"/>
  <c r="F49" i="5"/>
  <c r="G49" i="5" s="1"/>
  <c r="L49" i="5"/>
  <c r="M49" i="5"/>
  <c r="N49" i="5" s="1"/>
  <c r="S49" i="5"/>
  <c r="T49" i="5"/>
  <c r="U49" i="5" s="1"/>
  <c r="E50" i="5"/>
  <c r="F50" i="5"/>
  <c r="G50" i="5" s="1"/>
  <c r="L50" i="5"/>
  <c r="M50" i="5"/>
  <c r="N50" i="5" s="1"/>
  <c r="S50" i="5"/>
  <c r="T50" i="5"/>
  <c r="U50" i="5" s="1"/>
  <c r="E51" i="5"/>
  <c r="F51" i="5"/>
  <c r="G51" i="5" s="1"/>
  <c r="L51" i="5"/>
  <c r="M51" i="5"/>
  <c r="N51" i="5" s="1"/>
  <c r="S51" i="5"/>
  <c r="T51" i="5"/>
  <c r="U51" i="5" s="1"/>
  <c r="E52" i="5"/>
  <c r="F52" i="5"/>
  <c r="G52" i="5" s="1"/>
  <c r="L52" i="5"/>
  <c r="M52" i="5"/>
  <c r="N52" i="5" s="1"/>
  <c r="S52" i="5"/>
  <c r="T52" i="5"/>
  <c r="U52" i="5" s="1"/>
  <c r="E53" i="5"/>
  <c r="F53" i="5"/>
  <c r="G53" i="5" s="1"/>
  <c r="L53" i="5"/>
  <c r="M53" i="5"/>
  <c r="N53" i="5" s="1"/>
  <c r="S53" i="5"/>
  <c r="T53" i="5"/>
  <c r="U53" i="5" s="1"/>
  <c r="E54" i="5"/>
  <c r="F54" i="5"/>
  <c r="G54" i="5" s="1"/>
  <c r="L54" i="5"/>
  <c r="M54" i="5"/>
  <c r="N54" i="5" s="1"/>
  <c r="S54" i="5"/>
  <c r="T54" i="5"/>
  <c r="U54" i="5" s="1"/>
  <c r="E55" i="5"/>
  <c r="F55" i="5"/>
  <c r="G55" i="5" s="1"/>
  <c r="L55" i="5"/>
  <c r="M55" i="5"/>
  <c r="N55" i="5" s="1"/>
  <c r="S55" i="5"/>
  <c r="T55" i="5"/>
  <c r="U55" i="5" s="1"/>
  <c r="E56" i="5"/>
  <c r="F56" i="5"/>
  <c r="G56" i="5" s="1"/>
  <c r="L56" i="5"/>
  <c r="M56" i="5"/>
  <c r="N56" i="5" s="1"/>
  <c r="S56" i="5"/>
  <c r="T56" i="5"/>
  <c r="U56" i="5" s="1"/>
  <c r="E57" i="5"/>
  <c r="F57" i="5"/>
  <c r="G57" i="5" s="1"/>
  <c r="L57" i="5"/>
  <c r="M57" i="5"/>
  <c r="N57" i="5" s="1"/>
  <c r="S57" i="5"/>
  <c r="T57" i="5"/>
  <c r="U57" i="5" s="1"/>
  <c r="H15" i="4" a="1"/>
  <c r="C11" i="6" l="1"/>
  <c r="K11" i="6"/>
  <c r="B12" i="6"/>
  <c r="N10" i="6"/>
  <c r="H15" i="4"/>
  <c r="U15" i="4" a="1"/>
  <c r="P10" i="6" l="1"/>
  <c r="M11" i="6"/>
  <c r="K12" i="6"/>
  <c r="B13" i="6"/>
  <c r="C12" i="6"/>
  <c r="L11" i="6"/>
  <c r="N11" i="6" s="1"/>
  <c r="O11" i="6"/>
  <c r="U11" i="6" s="1"/>
  <c r="U15" i="4"/>
  <c r="H16" i="4" a="1"/>
  <c r="M12" i="6" l="1"/>
  <c r="P11" i="6"/>
  <c r="V11" i="6" s="1"/>
  <c r="X11" i="6" s="1"/>
  <c r="N12" i="6"/>
  <c r="L12" i="6"/>
  <c r="O12" i="6"/>
  <c r="U12" i="6" s="1"/>
  <c r="B14" i="6"/>
  <c r="C13" i="6"/>
  <c r="K13" i="6"/>
  <c r="AA11" i="6"/>
  <c r="Q11" i="6"/>
  <c r="Q10" i="6"/>
  <c r="V10" i="6"/>
  <c r="X10" i="6" s="1"/>
  <c r="R10" i="6"/>
  <c r="H16" i="4"/>
  <c r="U16" i="4" a="1"/>
  <c r="Y11" i="6" l="1"/>
  <c r="R11" i="6"/>
  <c r="S10" i="6"/>
  <c r="R12" i="6"/>
  <c r="M13" i="6"/>
  <c r="P12" i="6"/>
  <c r="V12" i="6" s="1"/>
  <c r="X12" i="6" s="1"/>
  <c r="Z12" i="6" s="1"/>
  <c r="Y10" i="6"/>
  <c r="Z10" i="6"/>
  <c r="AA10" i="6"/>
  <c r="B15" i="6"/>
  <c r="C14" i="6"/>
  <c r="K14" i="6"/>
  <c r="Z11" i="6"/>
  <c r="AB11" i="6" s="1"/>
  <c r="L13" i="6"/>
  <c r="N13" i="6" s="1"/>
  <c r="O13" i="6"/>
  <c r="U13" i="6" s="1"/>
  <c r="S11" i="6"/>
  <c r="U16" i="4"/>
  <c r="AG16" i="4" a="1"/>
  <c r="AA12" i="6" l="1"/>
  <c r="AB12" i="6" s="1"/>
  <c r="P13" i="6"/>
  <c r="V13" i="6" s="1"/>
  <c r="X13" i="6" s="1"/>
  <c r="AA13" i="6" s="1"/>
  <c r="M14" i="6"/>
  <c r="B16" i="6"/>
  <c r="C15" i="6"/>
  <c r="K15" i="6"/>
  <c r="Q12" i="6"/>
  <c r="S12" i="6" s="1"/>
  <c r="Y12" i="6"/>
  <c r="AB10" i="6"/>
  <c r="Q13" i="6"/>
  <c r="R13" i="6"/>
  <c r="L14" i="6"/>
  <c r="N14" i="6" s="1"/>
  <c r="O14" i="6"/>
  <c r="U14" i="6" s="1"/>
  <c r="AG16" i="4"/>
  <c r="H17" i="4" a="1"/>
  <c r="Z13" i="6" l="1"/>
  <c r="AB13" i="6" s="1"/>
  <c r="P14" i="6"/>
  <c r="V14" i="6" s="1"/>
  <c r="X14" i="6" s="1"/>
  <c r="M15" i="6"/>
  <c r="S13" i="6"/>
  <c r="O15" i="6"/>
  <c r="U15" i="6" s="1"/>
  <c r="L15" i="6"/>
  <c r="Z14" i="6"/>
  <c r="AA14" i="6"/>
  <c r="Q14" i="6"/>
  <c r="R14" i="6"/>
  <c r="N15" i="6"/>
  <c r="C16" i="6"/>
  <c r="B17" i="6"/>
  <c r="K16" i="6"/>
  <c r="Y13" i="6"/>
  <c r="H17" i="4"/>
  <c r="H18" i="4" a="1"/>
  <c r="AB14" i="6" l="1"/>
  <c r="P15" i="6"/>
  <c r="V15" i="6" s="1"/>
  <c r="X15" i="6" s="1"/>
  <c r="AA15" i="6" s="1"/>
  <c r="M16" i="6"/>
  <c r="K17" i="6"/>
  <c r="B18" i="6"/>
  <c r="C17" i="6"/>
  <c r="S14" i="6"/>
  <c r="Z15" i="6"/>
  <c r="R15" i="6"/>
  <c r="Q15" i="6"/>
  <c r="Y14" i="6"/>
  <c r="O16" i="6"/>
  <c r="U16" i="6" s="1"/>
  <c r="L16" i="6"/>
  <c r="N16" i="6" s="1"/>
  <c r="H18" i="4"/>
  <c r="D10" i="3"/>
  <c r="F10" i="3" s="1"/>
  <c r="E10" i="3"/>
  <c r="G10" i="3"/>
  <c r="D11" i="3"/>
  <c r="E11" i="3"/>
  <c r="G11" i="3"/>
  <c r="I11" i="3" s="1"/>
  <c r="J11" i="3" s="1"/>
  <c r="H11" i="3"/>
  <c r="D12" i="3"/>
  <c r="H12" i="3" s="1"/>
  <c r="I12" i="3" s="1"/>
  <c r="J12" i="3" s="1"/>
  <c r="E12" i="3"/>
  <c r="E50" i="3" s="1"/>
  <c r="G12" i="3"/>
  <c r="D13" i="3"/>
  <c r="F12" i="3" s="1"/>
  <c r="E13" i="3"/>
  <c r="F13" i="3"/>
  <c r="G13" i="3"/>
  <c r="D14" i="3"/>
  <c r="E14" i="3"/>
  <c r="G14" i="3"/>
  <c r="H14" i="3"/>
  <c r="I14" i="3"/>
  <c r="J14" i="3" s="1"/>
  <c r="D15" i="3"/>
  <c r="F14" i="3" s="1"/>
  <c r="E15" i="3"/>
  <c r="G15" i="3"/>
  <c r="D16" i="3"/>
  <c r="F16" i="3" s="1"/>
  <c r="E16" i="3"/>
  <c r="G16" i="3"/>
  <c r="D17" i="3"/>
  <c r="E17" i="3"/>
  <c r="G17" i="3"/>
  <c r="H17" i="3"/>
  <c r="I17" i="3"/>
  <c r="J17" i="3" s="1"/>
  <c r="D18" i="3"/>
  <c r="F17" i="3" s="1"/>
  <c r="E18" i="3"/>
  <c r="G18" i="3"/>
  <c r="D19" i="3"/>
  <c r="F18" i="3" s="1"/>
  <c r="E19" i="3"/>
  <c r="F19" i="3"/>
  <c r="G19" i="3"/>
  <c r="D20" i="3"/>
  <c r="F20" i="3" s="1"/>
  <c r="E20" i="3"/>
  <c r="G20" i="3"/>
  <c r="H20" i="3"/>
  <c r="K20" i="3" s="1"/>
  <c r="L20" i="3" s="1"/>
  <c r="I20" i="3"/>
  <c r="J20" i="3" s="1"/>
  <c r="E21" i="3"/>
  <c r="F21" i="3"/>
  <c r="G21" i="3"/>
  <c r="I21" i="3" s="1"/>
  <c r="J21" i="3" s="1"/>
  <c r="H21" i="3"/>
  <c r="E22" i="3"/>
  <c r="F22" i="3"/>
  <c r="G22" i="3"/>
  <c r="K22" i="3" s="1"/>
  <c r="L22" i="3" s="1"/>
  <c r="H22" i="3"/>
  <c r="I22" i="3"/>
  <c r="J22" i="3" s="1"/>
  <c r="M22" i="3" s="1"/>
  <c r="E23" i="3"/>
  <c r="F23" i="3"/>
  <c r="G23" i="3"/>
  <c r="H23" i="3"/>
  <c r="I23" i="3"/>
  <c r="J23" i="3" s="1"/>
  <c r="E24" i="3"/>
  <c r="F24" i="3"/>
  <c r="G24" i="3"/>
  <c r="H24" i="3"/>
  <c r="K24" i="3" s="1"/>
  <c r="I24" i="3"/>
  <c r="J24" i="3" s="1"/>
  <c r="E25" i="3"/>
  <c r="F25" i="3"/>
  <c r="G25" i="3"/>
  <c r="I25" i="3" s="1"/>
  <c r="J25" i="3" s="1"/>
  <c r="H25" i="3"/>
  <c r="E26" i="3"/>
  <c r="F26" i="3"/>
  <c r="G26" i="3"/>
  <c r="K26" i="3" s="1"/>
  <c r="L26" i="3" s="1"/>
  <c r="H26" i="3"/>
  <c r="I26" i="3"/>
  <c r="J26" i="3" s="1"/>
  <c r="M26" i="3" s="1"/>
  <c r="E27" i="3"/>
  <c r="F27" i="3"/>
  <c r="G27" i="3"/>
  <c r="H27" i="3"/>
  <c r="I27" i="3"/>
  <c r="J27" i="3" s="1"/>
  <c r="E28" i="3"/>
  <c r="F28" i="3"/>
  <c r="G28" i="3"/>
  <c r="H28" i="3"/>
  <c r="K28" i="3" s="1"/>
  <c r="I28" i="3"/>
  <c r="J28" i="3" s="1"/>
  <c r="E29" i="3"/>
  <c r="F29" i="3"/>
  <c r="G29" i="3"/>
  <c r="I29" i="3" s="1"/>
  <c r="J29" i="3" s="1"/>
  <c r="H29" i="3"/>
  <c r="E30" i="3"/>
  <c r="F30" i="3"/>
  <c r="G30" i="3"/>
  <c r="K30" i="3" s="1"/>
  <c r="L30" i="3" s="1"/>
  <c r="H30" i="3"/>
  <c r="I30" i="3"/>
  <c r="J30" i="3" s="1"/>
  <c r="E31" i="3"/>
  <c r="F31" i="3"/>
  <c r="G31" i="3"/>
  <c r="H31" i="3"/>
  <c r="I31" i="3"/>
  <c r="J31" i="3" s="1"/>
  <c r="E32" i="3"/>
  <c r="F32" i="3"/>
  <c r="G32" i="3"/>
  <c r="H32" i="3"/>
  <c r="K32" i="3" s="1"/>
  <c r="L32" i="3" s="1"/>
  <c r="I32" i="3"/>
  <c r="J32" i="3" s="1"/>
  <c r="M32" i="3" s="1"/>
  <c r="E33" i="3"/>
  <c r="F33" i="3"/>
  <c r="G33" i="3"/>
  <c r="I33" i="3" s="1"/>
  <c r="H33" i="3"/>
  <c r="K33" i="3"/>
  <c r="E34" i="3"/>
  <c r="F34" i="3"/>
  <c r="G34" i="3"/>
  <c r="K34" i="3" s="1"/>
  <c r="L34" i="3" s="1"/>
  <c r="H34" i="3"/>
  <c r="I34" i="3"/>
  <c r="J34" i="3" s="1"/>
  <c r="E35" i="3"/>
  <c r="F35" i="3"/>
  <c r="G35" i="3"/>
  <c r="H35" i="3"/>
  <c r="I35" i="3"/>
  <c r="J35" i="3" s="1"/>
  <c r="E36" i="3"/>
  <c r="F36" i="3"/>
  <c r="G36" i="3"/>
  <c r="H36" i="3"/>
  <c r="K36" i="3" s="1"/>
  <c r="I36" i="3"/>
  <c r="J36" i="3" s="1"/>
  <c r="E37" i="3"/>
  <c r="F37" i="3"/>
  <c r="G37" i="3"/>
  <c r="I37" i="3" s="1"/>
  <c r="J37" i="3" s="1"/>
  <c r="H37" i="3"/>
  <c r="E38" i="3"/>
  <c r="F38" i="3"/>
  <c r="G38" i="3"/>
  <c r="K38" i="3" s="1"/>
  <c r="L38" i="3" s="1"/>
  <c r="H38" i="3"/>
  <c r="I38" i="3"/>
  <c r="J38" i="3" s="1"/>
  <c r="E39" i="3"/>
  <c r="F39" i="3"/>
  <c r="G39" i="3"/>
  <c r="H39" i="3"/>
  <c r="I39" i="3"/>
  <c r="J39" i="3" s="1"/>
  <c r="E40" i="3"/>
  <c r="F40" i="3"/>
  <c r="G40" i="3"/>
  <c r="H40" i="3"/>
  <c r="K40" i="3" s="1"/>
  <c r="L40" i="3" s="1"/>
  <c r="I40" i="3"/>
  <c r="J40" i="3" s="1"/>
  <c r="E41" i="3"/>
  <c r="F41" i="3"/>
  <c r="G41" i="3"/>
  <c r="I41" i="3" s="1"/>
  <c r="J41" i="3" s="1"/>
  <c r="H41" i="3"/>
  <c r="E42" i="3"/>
  <c r="F42" i="3"/>
  <c r="G42" i="3"/>
  <c r="K42" i="3" s="1"/>
  <c r="L42" i="3" s="1"/>
  <c r="H42" i="3"/>
  <c r="I42" i="3"/>
  <c r="J42" i="3" s="1"/>
  <c r="M42" i="3" s="1"/>
  <c r="E43" i="3"/>
  <c r="F43" i="3"/>
  <c r="G43" i="3"/>
  <c r="H43" i="3"/>
  <c r="I43" i="3"/>
  <c r="J43" i="3" s="1"/>
  <c r="M43" i="3" s="1"/>
  <c r="E44" i="3"/>
  <c r="F44" i="3"/>
  <c r="G44" i="3"/>
  <c r="K44" i="3" s="1"/>
  <c r="L44" i="3" s="1"/>
  <c r="H44" i="3"/>
  <c r="K43" i="3" s="1"/>
  <c r="L43" i="3" s="1"/>
  <c r="I44" i="3"/>
  <c r="J44" i="3" s="1"/>
  <c r="E45" i="3"/>
  <c r="F45" i="3"/>
  <c r="G45" i="3"/>
  <c r="I45" i="3" s="1"/>
  <c r="J45" i="3" s="1"/>
  <c r="H45" i="3"/>
  <c r="E46" i="3"/>
  <c r="F46" i="3"/>
  <c r="G46" i="3"/>
  <c r="K46" i="3" s="1"/>
  <c r="L46" i="3" s="1"/>
  <c r="H46" i="3"/>
  <c r="I46" i="3"/>
  <c r="J46" i="3" s="1"/>
  <c r="M46" i="3" s="1"/>
  <c r="E47" i="3"/>
  <c r="F47" i="3"/>
  <c r="G47" i="3"/>
  <c r="H47" i="3"/>
  <c r="I47" i="3"/>
  <c r="J47" i="3"/>
  <c r="E48" i="3"/>
  <c r="F48" i="3"/>
  <c r="G48" i="3"/>
  <c r="H48" i="3"/>
  <c r="K48" i="3" s="1"/>
  <c r="L48" i="3" s="1"/>
  <c r="I48" i="3"/>
  <c r="J48" i="3" s="1"/>
  <c r="E49" i="3"/>
  <c r="F49" i="3"/>
  <c r="G49" i="3"/>
  <c r="I49" i="3" s="1"/>
  <c r="J49" i="3" s="1"/>
  <c r="H49" i="3"/>
  <c r="C50" i="3"/>
  <c r="D50" i="3"/>
  <c r="H50" i="3" s="1"/>
  <c r="K49" i="3" s="1"/>
  <c r="G50" i="3"/>
  <c r="D7" i="2"/>
  <c r="D8" i="2" s="1"/>
  <c r="E7" i="2"/>
  <c r="E8" i="2" s="1"/>
  <c r="F7" i="2"/>
  <c r="G7" i="2" s="1"/>
  <c r="H7" i="2"/>
  <c r="AB15" i="6" l="1"/>
  <c r="M17" i="6"/>
  <c r="P16" i="6"/>
  <c r="V16" i="6" s="1"/>
  <c r="X16" i="6" s="1"/>
  <c r="S15" i="6"/>
  <c r="Z16" i="6"/>
  <c r="R16" i="6"/>
  <c r="AA16" i="6"/>
  <c r="Q16" i="6"/>
  <c r="Y15" i="6"/>
  <c r="L17" i="6"/>
  <c r="N17" i="6" s="1"/>
  <c r="O17" i="6"/>
  <c r="U17" i="6" s="1"/>
  <c r="K18" i="6"/>
  <c r="B19" i="6"/>
  <c r="C18" i="6"/>
  <c r="M37" i="3"/>
  <c r="L24" i="3"/>
  <c r="M24" i="3" s="1"/>
  <c r="L36" i="3"/>
  <c r="M36" i="3" s="1"/>
  <c r="M48" i="3"/>
  <c r="M38" i="3"/>
  <c r="M29" i="3"/>
  <c r="L28" i="3"/>
  <c r="M28" i="3" s="1"/>
  <c r="M31" i="3"/>
  <c r="M40" i="3"/>
  <c r="M35" i="3"/>
  <c r="J33" i="3"/>
  <c r="L33" i="3"/>
  <c r="M20" i="3"/>
  <c r="M30" i="3"/>
  <c r="M47" i="3"/>
  <c r="M45" i="3"/>
  <c r="M25" i="3"/>
  <c r="K17" i="3"/>
  <c r="L17" i="3" s="1"/>
  <c r="M17" i="3" s="1"/>
  <c r="M44" i="3"/>
  <c r="M39" i="3"/>
  <c r="M34" i="3"/>
  <c r="F11" i="3"/>
  <c r="F50" i="3" s="1"/>
  <c r="H19" i="3"/>
  <c r="K18" i="3" s="1"/>
  <c r="H13" i="3"/>
  <c r="K12" i="3" s="1"/>
  <c r="K45" i="3"/>
  <c r="L45" i="3" s="1"/>
  <c r="K41" i="3"/>
  <c r="L41" i="3" s="1"/>
  <c r="M41" i="3" s="1"/>
  <c r="K37" i="3"/>
  <c r="L37" i="3" s="1"/>
  <c r="K29" i="3"/>
  <c r="L29" i="3" s="1"/>
  <c r="K25" i="3"/>
  <c r="L25" i="3" s="1"/>
  <c r="K21" i="3"/>
  <c r="L21" i="3" s="1"/>
  <c r="M21" i="3" s="1"/>
  <c r="K10" i="3"/>
  <c r="H15" i="3"/>
  <c r="K11" i="3"/>
  <c r="L11" i="3" s="1"/>
  <c r="M11" i="3" s="1"/>
  <c r="H16" i="3"/>
  <c r="K15" i="3" s="1"/>
  <c r="F15" i="3"/>
  <c r="H10" i="3"/>
  <c r="I10" i="3" s="1"/>
  <c r="K47" i="3"/>
  <c r="L47" i="3" s="1"/>
  <c r="K39" i="3"/>
  <c r="L39" i="3" s="1"/>
  <c r="K35" i="3"/>
  <c r="L35" i="3" s="1"/>
  <c r="K31" i="3"/>
  <c r="L31" i="3" s="1"/>
  <c r="K27" i="3"/>
  <c r="L27" i="3" s="1"/>
  <c r="M27" i="3" s="1"/>
  <c r="K23" i="3"/>
  <c r="L23" i="3" s="1"/>
  <c r="M23" i="3" s="1"/>
  <c r="H18" i="3"/>
  <c r="I18" i="3" s="1"/>
  <c r="J18" i="3" s="1"/>
  <c r="I7" i="2"/>
  <c r="E9" i="2"/>
  <c r="G8" i="2"/>
  <c r="D9" i="2"/>
  <c r="H8" i="2"/>
  <c r="F8" i="2"/>
  <c r="AB16" i="6" l="1"/>
  <c r="P17" i="6"/>
  <c r="V17" i="6" s="1"/>
  <c r="X17" i="6" s="1"/>
  <c r="Z17" i="6" s="1"/>
  <c r="M18" i="6"/>
  <c r="L18" i="6"/>
  <c r="O18" i="6"/>
  <c r="U18" i="6" s="1"/>
  <c r="N18" i="6"/>
  <c r="C19" i="6"/>
  <c r="K19" i="6"/>
  <c r="B20" i="6"/>
  <c r="S16" i="6"/>
  <c r="Y16" i="6"/>
  <c r="R17" i="6"/>
  <c r="Q17" i="6"/>
  <c r="S17" i="6" s="1"/>
  <c r="J10" i="3"/>
  <c r="K13" i="3"/>
  <c r="L13" i="3" s="1"/>
  <c r="K19" i="3"/>
  <c r="K16" i="3"/>
  <c r="L16" i="3" s="1"/>
  <c r="I19" i="3"/>
  <c r="J19" i="3" s="1"/>
  <c r="K14" i="3"/>
  <c r="I15" i="3"/>
  <c r="J15" i="3" s="1"/>
  <c r="L10" i="3"/>
  <c r="I13" i="3"/>
  <c r="J13" i="3" s="1"/>
  <c r="L12" i="3"/>
  <c r="M12" i="3" s="1"/>
  <c r="I16" i="3"/>
  <c r="J16" i="3" s="1"/>
  <c r="M33" i="3"/>
  <c r="L15" i="3"/>
  <c r="I8" i="2"/>
  <c r="F9" i="2"/>
  <c r="G9" i="2" s="1"/>
  <c r="H9" i="2"/>
  <c r="D10" i="2"/>
  <c r="E10" i="2"/>
  <c r="AA17" i="6" l="1"/>
  <c r="AB17" i="6"/>
  <c r="L19" i="6"/>
  <c r="O19" i="6"/>
  <c r="U19" i="6" s="1"/>
  <c r="P18" i="6"/>
  <c r="V18" i="6" s="1"/>
  <c r="X18" i="6" s="1"/>
  <c r="Z18" i="6" s="1"/>
  <c r="M19" i="6"/>
  <c r="N19" i="6"/>
  <c r="B21" i="6"/>
  <c r="K20" i="6"/>
  <c r="C20" i="6"/>
  <c r="R18" i="6"/>
  <c r="Q18" i="6"/>
  <c r="Y17" i="6"/>
  <c r="M19" i="3"/>
  <c r="M16" i="3"/>
  <c r="I50" i="3"/>
  <c r="L49" i="3" s="1"/>
  <c r="M49" i="3" s="1"/>
  <c r="M13" i="3"/>
  <c r="M10" i="3"/>
  <c r="J50" i="3"/>
  <c r="M15" i="3"/>
  <c r="L14" i="3"/>
  <c r="M14" i="3" s="1"/>
  <c r="L19" i="3"/>
  <c r="K50" i="3"/>
  <c r="L18" i="3"/>
  <c r="M18" i="3" s="1"/>
  <c r="I9" i="2"/>
  <c r="D11" i="2"/>
  <c r="H10" i="2"/>
  <c r="F10" i="2"/>
  <c r="G10" i="2" s="1"/>
  <c r="E11" i="2"/>
  <c r="AA18" i="6" l="1"/>
  <c r="AB18" i="6" s="1"/>
  <c r="B22" i="6"/>
  <c r="C21" i="6"/>
  <c r="K21" i="6"/>
  <c r="P19" i="6"/>
  <c r="V19" i="6" s="1"/>
  <c r="X19" i="6" s="1"/>
  <c r="Z19" i="6" s="1"/>
  <c r="M20" i="6"/>
  <c r="Y18" i="6"/>
  <c r="S18" i="6"/>
  <c r="O20" i="6"/>
  <c r="U20" i="6" s="1"/>
  <c r="L20" i="6"/>
  <c r="N20" i="6" s="1"/>
  <c r="L50" i="3"/>
  <c r="M50" i="3"/>
  <c r="C7" i="3" s="1"/>
  <c r="I10" i="2"/>
  <c r="F11" i="2"/>
  <c r="G11" i="2" s="1"/>
  <c r="H11" i="2"/>
  <c r="D12" i="2"/>
  <c r="E12" i="2"/>
  <c r="AA19" i="6" l="1"/>
  <c r="AB19" i="6" s="1"/>
  <c r="P20" i="6"/>
  <c r="V20" i="6" s="1"/>
  <c r="X20" i="6" s="1"/>
  <c r="AA20" i="6" s="1"/>
  <c r="M21" i="6"/>
  <c r="Q20" i="6"/>
  <c r="S20" i="6" s="1"/>
  <c r="R20" i="6"/>
  <c r="C22" i="6"/>
  <c r="K22" i="6"/>
  <c r="B23" i="6"/>
  <c r="Y19" i="6"/>
  <c r="Q19" i="6"/>
  <c r="S19" i="6" s="1"/>
  <c r="R19" i="6"/>
  <c r="O21" i="6"/>
  <c r="U21" i="6" s="1"/>
  <c r="L21" i="6"/>
  <c r="N21" i="6"/>
  <c r="I11" i="2"/>
  <c r="D13" i="2"/>
  <c r="F12" i="2"/>
  <c r="G12" i="2" s="1"/>
  <c r="H12" i="2"/>
  <c r="E13" i="2"/>
  <c r="Z20" i="6" l="1"/>
  <c r="AB20" i="6"/>
  <c r="C23" i="6"/>
  <c r="K23" i="6"/>
  <c r="B24" i="6"/>
  <c r="M22" i="6"/>
  <c r="P21" i="6"/>
  <c r="V21" i="6" s="1"/>
  <c r="X21" i="6" s="1"/>
  <c r="AA21" i="6" s="1"/>
  <c r="N22" i="6"/>
  <c r="O22" i="6"/>
  <c r="U22" i="6" s="1"/>
  <c r="L22" i="6"/>
  <c r="Y20" i="6"/>
  <c r="I12" i="2"/>
  <c r="F13" i="2"/>
  <c r="G13" i="2" s="1"/>
  <c r="H13" i="2"/>
  <c r="D14" i="2"/>
  <c r="E14" i="2"/>
  <c r="M23" i="6" l="1"/>
  <c r="P22" i="6"/>
  <c r="V22" i="6" s="1"/>
  <c r="X22" i="6" s="1"/>
  <c r="AA22" i="6" s="1"/>
  <c r="R22" i="6"/>
  <c r="Q22" i="6"/>
  <c r="S22" i="6" s="1"/>
  <c r="O23" i="6"/>
  <c r="U23" i="6" s="1"/>
  <c r="L23" i="6"/>
  <c r="N23" i="6" s="1"/>
  <c r="R21" i="6"/>
  <c r="K24" i="6"/>
  <c r="B25" i="6"/>
  <c r="C24" i="6"/>
  <c r="Q21" i="6"/>
  <c r="Y21" i="6"/>
  <c r="Z21" i="6"/>
  <c r="AB21" i="6" s="1"/>
  <c r="I13" i="2"/>
  <c r="D15" i="2"/>
  <c r="F14" i="2"/>
  <c r="G14" i="2" s="1"/>
  <c r="H14" i="2"/>
  <c r="E15" i="2"/>
  <c r="Z22" i="6" l="1"/>
  <c r="AB22" i="6" s="1"/>
  <c r="P23" i="6"/>
  <c r="V23" i="6" s="1"/>
  <c r="X23" i="6" s="1"/>
  <c r="M24" i="6"/>
  <c r="S21" i="6"/>
  <c r="B26" i="6"/>
  <c r="K25" i="6"/>
  <c r="C25" i="6"/>
  <c r="Y22" i="6"/>
  <c r="L24" i="6"/>
  <c r="O24" i="6"/>
  <c r="U24" i="6" s="1"/>
  <c r="N24" i="6"/>
  <c r="I14" i="2"/>
  <c r="F15" i="2"/>
  <c r="G15" i="2" s="1"/>
  <c r="H15" i="2"/>
  <c r="D16" i="2"/>
  <c r="E16" i="2"/>
  <c r="C26" i="6" l="1"/>
  <c r="B27" i="6"/>
  <c r="K26" i="6"/>
  <c r="R23" i="6"/>
  <c r="Y23" i="6"/>
  <c r="Z23" i="6"/>
  <c r="Q23" i="6"/>
  <c r="L25" i="6"/>
  <c r="N25" i="6" s="1"/>
  <c r="O25" i="6"/>
  <c r="U25" i="6" s="1"/>
  <c r="P24" i="6"/>
  <c r="V24" i="6" s="1"/>
  <c r="X24" i="6" s="1"/>
  <c r="Z24" i="6" s="1"/>
  <c r="M25" i="6"/>
  <c r="AA23" i="6"/>
  <c r="Q24" i="6"/>
  <c r="R24" i="6"/>
  <c r="I15" i="2"/>
  <c r="E17" i="2"/>
  <c r="G16" i="2"/>
  <c r="D17" i="2"/>
  <c r="H16" i="2"/>
  <c r="F16" i="2"/>
  <c r="AA24" i="6" l="1"/>
  <c r="M26" i="6"/>
  <c r="P25" i="6"/>
  <c r="V25" i="6" s="1"/>
  <c r="X25" i="6" s="1"/>
  <c r="AA25" i="6" s="1"/>
  <c r="O26" i="6"/>
  <c r="U26" i="6" s="1"/>
  <c r="L26" i="6"/>
  <c r="N26" i="6" s="1"/>
  <c r="S24" i="6"/>
  <c r="R25" i="6"/>
  <c r="Q25" i="6"/>
  <c r="AB24" i="6"/>
  <c r="Y24" i="6"/>
  <c r="S23" i="6"/>
  <c r="AB23" i="6"/>
  <c r="K27" i="6"/>
  <c r="B28" i="6"/>
  <c r="C27" i="6"/>
  <c r="F17" i="2"/>
  <c r="H17" i="2"/>
  <c r="D18" i="2"/>
  <c r="G17" i="2"/>
  <c r="E18" i="2"/>
  <c r="I16" i="2"/>
  <c r="Z25" i="6" l="1"/>
  <c r="AB25" i="6"/>
  <c r="P26" i="6"/>
  <c r="V26" i="6" s="1"/>
  <c r="X26" i="6" s="1"/>
  <c r="Z26" i="6" s="1"/>
  <c r="M27" i="6"/>
  <c r="N27" i="6"/>
  <c r="L27" i="6"/>
  <c r="O27" i="6"/>
  <c r="U27" i="6" s="1"/>
  <c r="Y25" i="6"/>
  <c r="C28" i="6"/>
  <c r="B29" i="6"/>
  <c r="K28" i="6"/>
  <c r="S25" i="6"/>
  <c r="AA26" i="6"/>
  <c r="Q26" i="6"/>
  <c r="S26" i="6" s="1"/>
  <c r="R26" i="6"/>
  <c r="E19" i="2"/>
  <c r="D19" i="2"/>
  <c r="H18" i="2"/>
  <c r="F18" i="2"/>
  <c r="G18" i="2" s="1"/>
  <c r="I17" i="2"/>
  <c r="AB26" i="6" l="1"/>
  <c r="P27" i="6"/>
  <c r="V27" i="6" s="1"/>
  <c r="X27" i="6" s="1"/>
  <c r="Z27" i="6" s="1"/>
  <c r="M28" i="6"/>
  <c r="O28" i="6"/>
  <c r="U28" i="6" s="1"/>
  <c r="L28" i="6"/>
  <c r="N28" i="6" s="1"/>
  <c r="Q27" i="6"/>
  <c r="R27" i="6"/>
  <c r="B30" i="6"/>
  <c r="C29" i="6"/>
  <c r="K29" i="6"/>
  <c r="Y26" i="6"/>
  <c r="I18" i="2"/>
  <c r="E20" i="2"/>
  <c r="F19" i="2"/>
  <c r="G19" i="2" s="1"/>
  <c r="H19" i="2"/>
  <c r="D20" i="2"/>
  <c r="P28" i="6" l="1"/>
  <c r="V28" i="6" s="1"/>
  <c r="X28" i="6" s="1"/>
  <c r="AA28" i="6" s="1"/>
  <c r="M29" i="6"/>
  <c r="L29" i="6"/>
  <c r="O29" i="6"/>
  <c r="U29" i="6" s="1"/>
  <c r="Y27" i="6"/>
  <c r="AA27" i="6"/>
  <c r="AB27" i="6" s="1"/>
  <c r="S27" i="6"/>
  <c r="B31" i="6"/>
  <c r="C30" i="6"/>
  <c r="K30" i="6"/>
  <c r="N29" i="6"/>
  <c r="Q28" i="6"/>
  <c r="R28" i="6"/>
  <c r="I19" i="2"/>
  <c r="D21" i="2"/>
  <c r="H20" i="2"/>
  <c r="F20" i="2"/>
  <c r="G20" i="2" s="1"/>
  <c r="E21" i="2"/>
  <c r="Z28" i="6" l="1"/>
  <c r="AB28" i="6"/>
  <c r="C31" i="6"/>
  <c r="K31" i="6"/>
  <c r="B32" i="6"/>
  <c r="N30" i="6"/>
  <c r="O30" i="6"/>
  <c r="U30" i="6" s="1"/>
  <c r="L30" i="6"/>
  <c r="M30" i="6"/>
  <c r="P29" i="6"/>
  <c r="V29" i="6" s="1"/>
  <c r="X29" i="6" s="1"/>
  <c r="AA29" i="6" s="1"/>
  <c r="S28" i="6"/>
  <c r="Q29" i="6"/>
  <c r="R29" i="6"/>
  <c r="Y28" i="6"/>
  <c r="I20" i="2"/>
  <c r="E22" i="2"/>
  <c r="F21" i="2"/>
  <c r="G21" i="2" s="1"/>
  <c r="H21" i="2"/>
  <c r="D22" i="2"/>
  <c r="Z29" i="6" l="1"/>
  <c r="AB29" i="6" s="1"/>
  <c r="P30" i="6"/>
  <c r="V30" i="6" s="1"/>
  <c r="X30" i="6" s="1"/>
  <c r="AA30" i="6" s="1"/>
  <c r="M31" i="6"/>
  <c r="O31" i="6"/>
  <c r="U31" i="6" s="1"/>
  <c r="L31" i="6"/>
  <c r="K32" i="6"/>
  <c r="B33" i="6"/>
  <c r="C32" i="6"/>
  <c r="N31" i="6"/>
  <c r="Q30" i="6"/>
  <c r="S30" i="6" s="1"/>
  <c r="Z30" i="6"/>
  <c r="R30" i="6"/>
  <c r="Y29" i="6"/>
  <c r="S29" i="6"/>
  <c r="I21" i="2"/>
  <c r="H22" i="2"/>
  <c r="F22" i="2"/>
  <c r="G22" i="2" s="1"/>
  <c r="I22" i="2" s="1"/>
  <c r="B34" i="6" l="1"/>
  <c r="C33" i="6"/>
  <c r="K33" i="6"/>
  <c r="Q31" i="6"/>
  <c r="L32" i="6"/>
  <c r="N32" i="6" s="1"/>
  <c r="O32" i="6"/>
  <c r="U32" i="6" s="1"/>
  <c r="Y30" i="6"/>
  <c r="M32" i="6"/>
  <c r="P31" i="6"/>
  <c r="V31" i="6" s="1"/>
  <c r="X31" i="6" s="1"/>
  <c r="Z31" i="6" s="1"/>
  <c r="AB30" i="6"/>
  <c r="M33" i="6" l="1"/>
  <c r="P32" i="6"/>
  <c r="V32" i="6" s="1"/>
  <c r="X32" i="6" s="1"/>
  <c r="K34" i="6"/>
  <c r="B35" i="6"/>
  <c r="C34" i="6"/>
  <c r="Y31" i="6"/>
  <c r="R31" i="6"/>
  <c r="AA32" i="6"/>
  <c r="Q32" i="6"/>
  <c r="R32" i="6"/>
  <c r="Z32" i="6"/>
  <c r="S31" i="6"/>
  <c r="L33" i="6"/>
  <c r="N33" i="6" s="1"/>
  <c r="O33" i="6"/>
  <c r="U33" i="6" s="1"/>
  <c r="AA31" i="6"/>
  <c r="AB31" i="6" s="1"/>
  <c r="M34" i="6" l="1"/>
  <c r="P33" i="6"/>
  <c r="V33" i="6" s="1"/>
  <c r="X33" i="6" s="1"/>
  <c r="AA33" i="6" s="1"/>
  <c r="AB32" i="6"/>
  <c r="O34" i="6"/>
  <c r="U34" i="6" s="1"/>
  <c r="L34" i="6"/>
  <c r="N34" i="6" s="1"/>
  <c r="Y32" i="6"/>
  <c r="S32" i="6"/>
  <c r="C35" i="6"/>
  <c r="K35" i="6"/>
  <c r="B36" i="6"/>
  <c r="Z33" i="6"/>
  <c r="Q33" i="6"/>
  <c r="R33" i="6"/>
  <c r="M35" i="6" l="1"/>
  <c r="P34" i="6"/>
  <c r="V34" i="6" s="1"/>
  <c r="X34" i="6" s="1"/>
  <c r="L35" i="6"/>
  <c r="N35" i="6" s="1"/>
  <c r="O35" i="6"/>
  <c r="U35" i="6" s="1"/>
  <c r="Y33" i="6"/>
  <c r="S33" i="6"/>
  <c r="AB33" i="6"/>
  <c r="C36" i="6"/>
  <c r="K36" i="6"/>
  <c r="B37" i="6"/>
  <c r="R34" i="6"/>
  <c r="Z34" i="6"/>
  <c r="Q34" i="6"/>
  <c r="AA34" i="6"/>
  <c r="P35" i="6" l="1"/>
  <c r="V35" i="6" s="1"/>
  <c r="X35" i="6" s="1"/>
  <c r="M36" i="6"/>
  <c r="B38" i="6"/>
  <c r="K37" i="6"/>
  <c r="C37" i="6"/>
  <c r="S34" i="6"/>
  <c r="AB34" i="6"/>
  <c r="L36" i="6"/>
  <c r="N36" i="6" s="1"/>
  <c r="O36" i="6"/>
  <c r="U36" i="6" s="1"/>
  <c r="Y34" i="6"/>
  <c r="AA35" i="6"/>
  <c r="R35" i="6"/>
  <c r="Z35" i="6"/>
  <c r="Q35" i="6"/>
  <c r="S35" i="6" s="1"/>
  <c r="M37" i="6" l="1"/>
  <c r="P36" i="6"/>
  <c r="V36" i="6" s="1"/>
  <c r="X36" i="6" s="1"/>
  <c r="L37" i="6"/>
  <c r="N37" i="6" s="1"/>
  <c r="O37" i="6"/>
  <c r="U37" i="6" s="1"/>
  <c r="C38" i="6"/>
  <c r="K38" i="6"/>
  <c r="B39" i="6"/>
  <c r="AB35" i="6"/>
  <c r="AA36" i="6"/>
  <c r="Q36" i="6"/>
  <c r="R36" i="6"/>
  <c r="Z36" i="6"/>
  <c r="Y35" i="6"/>
  <c r="P37" i="6" l="1"/>
  <c r="V37" i="6" s="1"/>
  <c r="X37" i="6" s="1"/>
  <c r="M38" i="6"/>
  <c r="S36" i="6"/>
  <c r="C39" i="6"/>
  <c r="B40" i="6"/>
  <c r="K39" i="6"/>
  <c r="L38" i="6"/>
  <c r="N38" i="6" s="1"/>
  <c r="O38" i="6"/>
  <c r="U38" i="6" s="1"/>
  <c r="AB36" i="6"/>
  <c r="Y36" i="6"/>
  <c r="Q37" i="6"/>
  <c r="S37" i="6" s="1"/>
  <c r="R37" i="6"/>
  <c r="Z37" i="6"/>
  <c r="AA37" i="6"/>
  <c r="M39" i="6" l="1"/>
  <c r="P38" i="6"/>
  <c r="V38" i="6" s="1"/>
  <c r="X38" i="6" s="1"/>
  <c r="AA38" i="6" s="1"/>
  <c r="K40" i="6"/>
  <c r="C40" i="6"/>
  <c r="B41" i="6"/>
  <c r="O39" i="6"/>
  <c r="U39" i="6" s="1"/>
  <c r="L39" i="6"/>
  <c r="N39" i="6"/>
  <c r="AB37" i="6"/>
  <c r="Q38" i="6"/>
  <c r="R38" i="6"/>
  <c r="Z38" i="6"/>
  <c r="Y37" i="6"/>
  <c r="O40" i="6" l="1"/>
  <c r="U40" i="6" s="1"/>
  <c r="L40" i="6"/>
  <c r="N40" i="6"/>
  <c r="B42" i="6"/>
  <c r="C41" i="6"/>
  <c r="K41" i="6"/>
  <c r="S38" i="6"/>
  <c r="P39" i="6"/>
  <c r="V39" i="6" s="1"/>
  <c r="X39" i="6" s="1"/>
  <c r="AA39" i="6" s="1"/>
  <c r="M40" i="6"/>
  <c r="Y38" i="6"/>
  <c r="AB38" i="6"/>
  <c r="Z39" i="6" l="1"/>
  <c r="AB39" i="6"/>
  <c r="L41" i="6"/>
  <c r="N41" i="6" s="1"/>
  <c r="O41" i="6"/>
  <c r="U41" i="6" s="1"/>
  <c r="M41" i="6"/>
  <c r="P40" i="6"/>
  <c r="V40" i="6" s="1"/>
  <c r="X40" i="6" s="1"/>
  <c r="Q39" i="6"/>
  <c r="R39" i="6"/>
  <c r="B43" i="6"/>
  <c r="C42" i="6"/>
  <c r="K42" i="6"/>
  <c r="Y39" i="6"/>
  <c r="M42" i="6" l="1"/>
  <c r="P41" i="6"/>
  <c r="V41" i="6" s="1"/>
  <c r="X41" i="6" s="1"/>
  <c r="AA41" i="6" s="1"/>
  <c r="Y40" i="6"/>
  <c r="Q40" i="6"/>
  <c r="S40" i="6" s="1"/>
  <c r="L42" i="6"/>
  <c r="N42" i="6" s="1"/>
  <c r="O42" i="6"/>
  <c r="U42" i="6" s="1"/>
  <c r="R40" i="6"/>
  <c r="Z40" i="6"/>
  <c r="Z41" i="6"/>
  <c r="R41" i="6"/>
  <c r="Q41" i="6"/>
  <c r="S39" i="6"/>
  <c r="B44" i="6"/>
  <c r="C43" i="6"/>
  <c r="K43" i="6"/>
  <c r="AA40" i="6"/>
  <c r="AB41" i="6" l="1"/>
  <c r="P42" i="6"/>
  <c r="V42" i="6" s="1"/>
  <c r="X42" i="6" s="1"/>
  <c r="M43" i="6"/>
  <c r="C44" i="6"/>
  <c r="K44" i="6"/>
  <c r="B45" i="6"/>
  <c r="N43" i="6"/>
  <c r="L43" i="6"/>
  <c r="O43" i="6"/>
  <c r="U43" i="6" s="1"/>
  <c r="S41" i="6"/>
  <c r="AB40" i="6"/>
  <c r="Y41" i="6"/>
  <c r="Z42" i="6"/>
  <c r="R42" i="6"/>
  <c r="AA42" i="6"/>
  <c r="Q42" i="6"/>
  <c r="S42" i="6" s="1"/>
  <c r="AB42" i="6" l="1"/>
  <c r="O44" i="6"/>
  <c r="U44" i="6" s="1"/>
  <c r="L44" i="6"/>
  <c r="N44" i="6"/>
  <c r="C45" i="6"/>
  <c r="K45" i="6"/>
  <c r="B46" i="6"/>
  <c r="P43" i="6"/>
  <c r="V43" i="6" s="1"/>
  <c r="X43" i="6" s="1"/>
  <c r="AA43" i="6" s="1"/>
  <c r="M44" i="6"/>
  <c r="R43" i="6"/>
  <c r="Q43" i="6"/>
  <c r="S43" i="6" s="1"/>
  <c r="Y42" i="6"/>
  <c r="Z43" i="6" l="1"/>
  <c r="K46" i="6"/>
  <c r="C46" i="6"/>
  <c r="B47" i="6"/>
  <c r="O45" i="6"/>
  <c r="U45" i="6" s="1"/>
  <c r="L45" i="6"/>
  <c r="N45" i="6" s="1"/>
  <c r="M45" i="6"/>
  <c r="P44" i="6"/>
  <c r="V44" i="6" s="1"/>
  <c r="X44" i="6" s="1"/>
  <c r="AB43" i="6"/>
  <c r="Y43" i="6"/>
  <c r="P45" i="6" l="1"/>
  <c r="V45" i="6" s="1"/>
  <c r="X45" i="6" s="1"/>
  <c r="M46" i="6"/>
  <c r="Y44" i="6"/>
  <c r="R44" i="6"/>
  <c r="Q44" i="6"/>
  <c r="L46" i="6"/>
  <c r="O46" i="6"/>
  <c r="U46" i="6" s="1"/>
  <c r="N46" i="6"/>
  <c r="AA44" i="6"/>
  <c r="C47" i="6"/>
  <c r="B48" i="6"/>
  <c r="K47" i="6"/>
  <c r="Z45" i="6"/>
  <c r="Q45" i="6"/>
  <c r="R45" i="6"/>
  <c r="AA45" i="6"/>
  <c r="Z44" i="6"/>
  <c r="AB44" i="6" s="1"/>
  <c r="AB45" i="6" l="1"/>
  <c r="M47" i="6"/>
  <c r="P46" i="6"/>
  <c r="V46" i="6" s="1"/>
  <c r="X46" i="6" s="1"/>
  <c r="Z46" i="6" s="1"/>
  <c r="L47" i="6"/>
  <c r="N47" i="6" s="1"/>
  <c r="O47" i="6"/>
  <c r="U47" i="6" s="1"/>
  <c r="Q46" i="6"/>
  <c r="R46" i="6"/>
  <c r="K48" i="6"/>
  <c r="C48" i="6"/>
  <c r="B49" i="6"/>
  <c r="S45" i="6"/>
  <c r="S44" i="6"/>
  <c r="Y45" i="6"/>
  <c r="AA46" i="6" l="1"/>
  <c r="P47" i="6"/>
  <c r="V47" i="6" s="1"/>
  <c r="X47" i="6" s="1"/>
  <c r="M48" i="6"/>
  <c r="C49" i="6"/>
  <c r="K49" i="6"/>
  <c r="B50" i="6"/>
  <c r="O48" i="6"/>
  <c r="U48" i="6" s="1"/>
  <c r="L48" i="6"/>
  <c r="N48" i="6" s="1"/>
  <c r="AB46" i="6"/>
  <c r="S46" i="6"/>
  <c r="Y46" i="6"/>
  <c r="AA47" i="6"/>
  <c r="Q47" i="6"/>
  <c r="S47" i="6" s="1"/>
  <c r="Z47" i="6"/>
  <c r="R47" i="6"/>
  <c r="M49" i="6" l="1"/>
  <c r="P48" i="6"/>
  <c r="V48" i="6" s="1"/>
  <c r="X48" i="6" s="1"/>
  <c r="AA48" i="6" s="1"/>
  <c r="B51" i="6"/>
  <c r="C50" i="6"/>
  <c r="K50" i="6"/>
  <c r="O49" i="6"/>
  <c r="U49" i="6" s="1"/>
  <c r="L49" i="6"/>
  <c r="N49" i="6" s="1"/>
  <c r="R48" i="6"/>
  <c r="Q48" i="6"/>
  <c r="AB47" i="6"/>
  <c r="Y47" i="6"/>
  <c r="Z48" i="6" l="1"/>
  <c r="AB48" i="6" s="1"/>
  <c r="P49" i="6"/>
  <c r="V49" i="6" s="1"/>
  <c r="X49" i="6" s="1"/>
  <c r="M50" i="6"/>
  <c r="C51" i="6"/>
  <c r="K51" i="6"/>
  <c r="B52" i="6"/>
  <c r="L50" i="6"/>
  <c r="O50" i="6"/>
  <c r="U50" i="6" s="1"/>
  <c r="N50" i="6"/>
  <c r="S48" i="6"/>
  <c r="Y48" i="6"/>
  <c r="R49" i="6"/>
  <c r="Q49" i="6"/>
  <c r="Z49" i="6"/>
  <c r="AA49" i="6"/>
  <c r="C52" i="6" l="1"/>
  <c r="K52" i="6"/>
  <c r="B53" i="6"/>
  <c r="P50" i="6"/>
  <c r="V50" i="6" s="1"/>
  <c r="X50" i="6" s="1"/>
  <c r="AA50" i="6" s="1"/>
  <c r="M51" i="6"/>
  <c r="AB49" i="6"/>
  <c r="S49" i="6"/>
  <c r="O51" i="6"/>
  <c r="U51" i="6" s="1"/>
  <c r="L51" i="6"/>
  <c r="N51" i="6" s="1"/>
  <c r="R50" i="6"/>
  <c r="Y49" i="6"/>
  <c r="Z50" i="6" l="1"/>
  <c r="AB50" i="6" s="1"/>
  <c r="P51" i="6"/>
  <c r="V51" i="6" s="1"/>
  <c r="X51" i="6" s="1"/>
  <c r="M52" i="6"/>
  <c r="L52" i="6"/>
  <c r="O52" i="6"/>
  <c r="U52" i="6" s="1"/>
  <c r="K53" i="6"/>
  <c r="C53" i="6"/>
  <c r="B54" i="6"/>
  <c r="Z51" i="6"/>
  <c r="Q51" i="6"/>
  <c r="AA51" i="6"/>
  <c r="R51" i="6"/>
  <c r="Y50" i="6"/>
  <c r="Q50" i="6"/>
  <c r="S50" i="6" s="1"/>
  <c r="N52" i="6"/>
  <c r="S51" i="6" l="1"/>
  <c r="AB51" i="6"/>
  <c r="C54" i="6"/>
  <c r="K54" i="6"/>
  <c r="B55" i="6"/>
  <c r="L53" i="6"/>
  <c r="N53" i="6" s="1"/>
  <c r="O53" i="6"/>
  <c r="U53" i="6" s="1"/>
  <c r="P52" i="6"/>
  <c r="V52" i="6" s="1"/>
  <c r="X52" i="6" s="1"/>
  <c r="AA52" i="6" s="1"/>
  <c r="M53" i="6"/>
  <c r="Y51" i="6"/>
  <c r="M54" i="6" l="1"/>
  <c r="P53" i="6"/>
  <c r="V53" i="6" s="1"/>
  <c r="X53" i="6" s="1"/>
  <c r="B56" i="6"/>
  <c r="C55" i="6"/>
  <c r="K55" i="6"/>
  <c r="Q53" i="6"/>
  <c r="S53" i="6" s="1"/>
  <c r="Z53" i="6"/>
  <c r="AA53" i="6"/>
  <c r="R53" i="6"/>
  <c r="L54" i="6"/>
  <c r="N54" i="6" s="1"/>
  <c r="O54" i="6"/>
  <c r="U54" i="6" s="1"/>
  <c r="Z52" i="6"/>
  <c r="AB52" i="6" s="1"/>
  <c r="R52" i="6"/>
  <c r="Q52" i="6"/>
  <c r="S52" i="6" s="1"/>
  <c r="Y52" i="6"/>
  <c r="AB53" i="6" l="1"/>
  <c r="M55" i="6"/>
  <c r="P54" i="6"/>
  <c r="V54" i="6" s="1"/>
  <c r="X54" i="6" s="1"/>
  <c r="B57" i="6"/>
  <c r="C56" i="6"/>
  <c r="K56" i="6"/>
  <c r="O55" i="6"/>
  <c r="U55" i="6" s="1"/>
  <c r="L55" i="6"/>
  <c r="N55" i="6" s="1"/>
  <c r="Y53" i="6"/>
  <c r="Q54" i="6"/>
  <c r="R54" i="6"/>
  <c r="AA54" i="6"/>
  <c r="Z54" i="6"/>
  <c r="P55" i="6" l="1"/>
  <c r="V55" i="6" s="1"/>
  <c r="X55" i="6" s="1"/>
  <c r="M56" i="6"/>
  <c r="C57" i="6"/>
  <c r="B58" i="6"/>
  <c r="K57" i="6"/>
  <c r="AB54" i="6"/>
  <c r="S54" i="6"/>
  <c r="N56" i="6"/>
  <c r="O56" i="6"/>
  <c r="U56" i="6" s="1"/>
  <c r="L56" i="6"/>
  <c r="Y54" i="6"/>
  <c r="Q55" i="6"/>
  <c r="S55" i="6" s="1"/>
  <c r="AA55" i="6"/>
  <c r="Z55" i="6"/>
  <c r="AB55" i="6" s="1"/>
  <c r="R55" i="6"/>
  <c r="K58" i="6" l="1"/>
  <c r="C58" i="6"/>
  <c r="B59" i="6"/>
  <c r="O57" i="6"/>
  <c r="U57" i="6" s="1"/>
  <c r="L57" i="6"/>
  <c r="P56" i="6"/>
  <c r="V56" i="6" s="1"/>
  <c r="X56" i="6" s="1"/>
  <c r="M57" i="6"/>
  <c r="N57" i="6"/>
  <c r="R56" i="6"/>
  <c r="Y55" i="6"/>
  <c r="R57" i="6" l="1"/>
  <c r="Y56" i="6"/>
  <c r="Q56" i="6"/>
  <c r="S56" i="6" s="1"/>
  <c r="Z56" i="6"/>
  <c r="AI59" i="6"/>
  <c r="BC59" i="6"/>
  <c r="AR59" i="6"/>
  <c r="BL59" i="6"/>
  <c r="X59" i="6"/>
  <c r="AS59" i="6"/>
  <c r="Z59" i="6"/>
  <c r="AT59" i="6"/>
  <c r="C59" i="6"/>
  <c r="L59" i="6" s="1"/>
  <c r="AD59" i="6"/>
  <c r="BA59" i="6"/>
  <c r="P59" i="6"/>
  <c r="AY59" i="6"/>
  <c r="R59" i="6"/>
  <c r="S59" i="6"/>
  <c r="BH59" i="6"/>
  <c r="AA59" i="6"/>
  <c r="BJ59" i="6"/>
  <c r="AB59" i="6"/>
  <c r="BK59" i="6"/>
  <c r="AG59" i="6"/>
  <c r="AJ59" i="6"/>
  <c r="Q59" i="6"/>
  <c r="AK59" i="6"/>
  <c r="BB59" i="6"/>
  <c r="K59" i="6"/>
  <c r="AM59" i="6" s="1"/>
  <c r="AP59" i="6"/>
  <c r="L58" i="6"/>
  <c r="N58" i="6" s="1"/>
  <c r="P58" i="6" s="1"/>
  <c r="V58" i="6" s="1"/>
  <c r="X58" i="6" s="1"/>
  <c r="O58" i="6"/>
  <c r="U58" i="6" s="1"/>
  <c r="U60" i="6" s="1"/>
  <c r="P57" i="6"/>
  <c r="V57" i="6" s="1"/>
  <c r="X57" i="6" s="1"/>
  <c r="AA57" i="6" s="1"/>
  <c r="M58" i="6"/>
  <c r="AA56" i="6"/>
  <c r="Y58" i="6" l="1"/>
  <c r="AB56" i="6"/>
  <c r="Z57" i="6"/>
  <c r="AB57" i="6" s="1"/>
  <c r="Q57" i="6"/>
  <c r="S57" i="6" s="1"/>
  <c r="S60" i="6" s="1"/>
  <c r="U61" i="6" s="1"/>
  <c r="U62" i="6" s="1"/>
  <c r="Y57" i="6"/>
  <c r="Z58" i="6"/>
  <c r="AA58" i="6"/>
  <c r="R58" i="6"/>
  <c r="Q58" i="6"/>
  <c r="S58" i="6" s="1"/>
  <c r="AC9" i="6" a="1"/>
  <c r="AC9" i="6" l="1"/>
  <c r="AE10" i="6"/>
  <c r="AG10" i="6" s="1"/>
  <c r="AE11" i="6"/>
  <c r="AG11" i="6" s="1"/>
  <c r="AE12" i="6"/>
  <c r="AG12" i="6" s="1"/>
  <c r="AD11" i="6"/>
  <c r="AD10" i="6"/>
  <c r="AE13" i="6"/>
  <c r="AG13" i="6" s="1"/>
  <c r="AD12" i="6"/>
  <c r="AD13" i="6"/>
  <c r="AE14" i="6"/>
  <c r="AG14" i="6" s="1"/>
  <c r="AE15" i="6"/>
  <c r="AG15" i="6" s="1"/>
  <c r="AD14" i="6"/>
  <c r="AE16" i="6"/>
  <c r="AG16" i="6" s="1"/>
  <c r="AD15" i="6"/>
  <c r="AE17" i="6"/>
  <c r="AG17" i="6" s="1"/>
  <c r="AD16" i="6"/>
  <c r="AE18" i="6"/>
  <c r="AG18" i="6" s="1"/>
  <c r="AD17" i="6"/>
  <c r="AE19" i="6"/>
  <c r="AG19" i="6" s="1"/>
  <c r="AD18" i="6"/>
  <c r="AE20" i="6"/>
  <c r="AG20" i="6" s="1"/>
  <c r="AD19" i="6"/>
  <c r="AE21" i="6"/>
  <c r="AG21" i="6" s="1"/>
  <c r="AD20" i="6"/>
  <c r="AD21" i="6"/>
  <c r="AE22" i="6"/>
  <c r="AG22" i="6" s="1"/>
  <c r="AE23" i="6"/>
  <c r="AG23" i="6" s="1"/>
  <c r="AD22" i="6"/>
  <c r="AD23" i="6"/>
  <c r="AE24" i="6"/>
  <c r="AG24" i="6" s="1"/>
  <c r="AD24" i="6"/>
  <c r="AE25" i="6"/>
  <c r="AG25" i="6" s="1"/>
  <c r="AD25" i="6"/>
  <c r="AE26" i="6"/>
  <c r="AG26" i="6" s="1"/>
  <c r="AD26" i="6"/>
  <c r="AE27" i="6"/>
  <c r="AG27" i="6" s="1"/>
  <c r="AD27" i="6"/>
  <c r="AE28" i="6"/>
  <c r="AG28" i="6" s="1"/>
  <c r="AD28" i="6"/>
  <c r="AE29" i="6"/>
  <c r="AG29" i="6" s="1"/>
  <c r="AD29" i="6"/>
  <c r="AE30" i="6"/>
  <c r="AG30" i="6" s="1"/>
  <c r="AD30" i="6"/>
  <c r="AE31" i="6"/>
  <c r="AG31" i="6" s="1"/>
  <c r="AD31" i="6"/>
  <c r="AE32" i="6"/>
  <c r="AG32" i="6" s="1"/>
  <c r="AD32" i="6"/>
  <c r="AE33" i="6"/>
  <c r="AG33" i="6" s="1"/>
  <c r="AD33" i="6"/>
  <c r="AE34" i="6"/>
  <c r="AG34" i="6" s="1"/>
  <c r="AE35" i="6"/>
  <c r="AG35" i="6" s="1"/>
  <c r="AD34" i="6"/>
  <c r="AD35" i="6"/>
  <c r="AE36" i="6"/>
  <c r="AG36" i="6" s="1"/>
  <c r="AD36" i="6"/>
  <c r="AE37" i="6"/>
  <c r="AG37" i="6" s="1"/>
  <c r="AD37" i="6"/>
  <c r="AE38" i="6"/>
  <c r="AG38" i="6" s="1"/>
  <c r="AD38" i="6"/>
  <c r="AE39" i="6"/>
  <c r="AG39" i="6" s="1"/>
  <c r="AD39" i="6"/>
  <c r="AE40" i="6"/>
  <c r="AG40" i="6" s="1"/>
  <c r="AD40" i="6"/>
  <c r="AE41" i="6"/>
  <c r="AG41" i="6" s="1"/>
  <c r="AD41" i="6"/>
  <c r="AE42" i="6"/>
  <c r="AG42" i="6" s="1"/>
  <c r="AD42" i="6"/>
  <c r="AE43" i="6"/>
  <c r="AG43" i="6" s="1"/>
  <c r="AD43" i="6"/>
  <c r="AE44" i="6"/>
  <c r="AG44" i="6" s="1"/>
  <c r="AD44" i="6"/>
  <c r="AE45" i="6"/>
  <c r="AG45" i="6" s="1"/>
  <c r="AD45" i="6"/>
  <c r="AE46" i="6"/>
  <c r="AG46" i="6" s="1"/>
  <c r="AD46" i="6"/>
  <c r="AE47" i="6"/>
  <c r="AG47" i="6" s="1"/>
  <c r="AD47" i="6"/>
  <c r="AE48" i="6"/>
  <c r="AG48" i="6" s="1"/>
  <c r="AD48" i="6"/>
  <c r="AE49" i="6"/>
  <c r="AG49" i="6" s="1"/>
  <c r="AD49" i="6"/>
  <c r="AE50" i="6"/>
  <c r="AG50" i="6" s="1"/>
  <c r="AD50" i="6"/>
  <c r="AE51" i="6"/>
  <c r="AG51" i="6" s="1"/>
  <c r="AD51" i="6"/>
  <c r="AE52" i="6"/>
  <c r="AG52" i="6" s="1"/>
  <c r="AD52" i="6"/>
  <c r="AE53" i="6"/>
  <c r="AG53" i="6" s="1"/>
  <c r="AD53" i="6"/>
  <c r="AE54" i="6"/>
  <c r="AG54" i="6" s="1"/>
  <c r="AD54" i="6"/>
  <c r="AE55" i="6"/>
  <c r="AG55" i="6" s="1"/>
  <c r="AD55" i="6"/>
  <c r="AE56" i="6"/>
  <c r="AG56" i="6" s="1"/>
  <c r="AD56" i="6"/>
  <c r="AE57" i="6"/>
  <c r="AG57" i="6" s="1"/>
  <c r="AH57" i="6" s="1"/>
  <c r="AE58" i="6"/>
  <c r="AG58" i="6" s="1"/>
  <c r="AH58" i="6" s="1"/>
  <c r="AD58" i="6"/>
  <c r="AD57" i="6"/>
  <c r="AB58" i="6"/>
  <c r="AB60" i="6" s="1"/>
  <c r="AH39" i="6" l="1"/>
  <c r="AI39" i="6"/>
  <c r="AK39" i="6" s="1"/>
  <c r="AJ39" i="6"/>
  <c r="AE9" i="6"/>
  <c r="AG9" i="6" s="1"/>
  <c r="AD9" i="6"/>
  <c r="AD60" i="6" s="1"/>
  <c r="AD61" i="6" s="1"/>
  <c r="AH21" i="6"/>
  <c r="AI21" i="6"/>
  <c r="AK21" i="6" s="1"/>
  <c r="AJ21" i="6"/>
  <c r="AJ15" i="6"/>
  <c r="AH15" i="6"/>
  <c r="AI15" i="6"/>
  <c r="AH45" i="6"/>
  <c r="AI45" i="6"/>
  <c r="AK45" i="6" s="1"/>
  <c r="AJ45" i="6"/>
  <c r="AI50" i="6"/>
  <c r="AK50" i="6" s="1"/>
  <c r="AH50" i="6"/>
  <c r="AJ50" i="6"/>
  <c r="AJ44" i="6"/>
  <c r="AH44" i="6"/>
  <c r="AI44" i="6"/>
  <c r="AI38" i="6"/>
  <c r="AH38" i="6"/>
  <c r="AJ38" i="6"/>
  <c r="AH32" i="6"/>
  <c r="AJ32" i="6"/>
  <c r="AI32" i="6"/>
  <c r="AI26" i="6"/>
  <c r="AH26" i="6"/>
  <c r="AJ26" i="6"/>
  <c r="AJ14" i="6"/>
  <c r="AI14" i="6"/>
  <c r="AK14" i="6" s="1"/>
  <c r="AH14" i="6"/>
  <c r="AH27" i="6"/>
  <c r="AI27" i="6"/>
  <c r="AK27" i="6" s="1"/>
  <c r="AJ27" i="6"/>
  <c r="AI31" i="6"/>
  <c r="AK31" i="6" s="1"/>
  <c r="AH31" i="6"/>
  <c r="AJ31" i="6"/>
  <c r="AJ57" i="6"/>
  <c r="AI20" i="6"/>
  <c r="AJ20" i="6"/>
  <c r="AH20" i="6"/>
  <c r="AJ43" i="6"/>
  <c r="AH43" i="6"/>
  <c r="AI43" i="6"/>
  <c r="AH13" i="6"/>
  <c r="AJ13" i="6"/>
  <c r="AI13" i="6"/>
  <c r="AH54" i="6"/>
  <c r="AI54" i="6"/>
  <c r="AJ54" i="6"/>
  <c r="AJ48" i="6"/>
  <c r="AH48" i="6"/>
  <c r="AI48" i="6"/>
  <c r="AH42" i="6"/>
  <c r="AJ42" i="6"/>
  <c r="AI42" i="6"/>
  <c r="AJ36" i="6"/>
  <c r="AH36" i="6"/>
  <c r="AI36" i="6"/>
  <c r="AK36" i="6" s="1"/>
  <c r="AH30" i="6"/>
  <c r="AI30" i="6"/>
  <c r="AJ30" i="6"/>
  <c r="AH24" i="6"/>
  <c r="AJ24" i="6"/>
  <c r="AI24" i="6"/>
  <c r="AI57" i="6"/>
  <c r="AH25" i="6"/>
  <c r="AJ25" i="6"/>
  <c r="AI25" i="6"/>
  <c r="AK25" i="6" s="1"/>
  <c r="AH18" i="6"/>
  <c r="AI18" i="6"/>
  <c r="AJ18" i="6"/>
  <c r="AI58" i="6"/>
  <c r="AJ58" i="6"/>
  <c r="AJ55" i="6"/>
  <c r="AH55" i="6"/>
  <c r="AI55" i="6"/>
  <c r="AH37" i="6"/>
  <c r="AI37" i="6"/>
  <c r="AK37" i="6" s="1"/>
  <c r="AJ37" i="6"/>
  <c r="AH19" i="6"/>
  <c r="AJ19" i="6"/>
  <c r="AI19" i="6"/>
  <c r="AK19" i="6" s="1"/>
  <c r="AH53" i="6"/>
  <c r="AI53" i="6"/>
  <c r="AK53" i="6" s="1"/>
  <c r="AJ53" i="6"/>
  <c r="AI47" i="6"/>
  <c r="AK47" i="6" s="1"/>
  <c r="AJ47" i="6"/>
  <c r="AH47" i="6"/>
  <c r="AI41" i="6"/>
  <c r="AH41" i="6"/>
  <c r="AJ41" i="6"/>
  <c r="AI29" i="6"/>
  <c r="AK29" i="6" s="1"/>
  <c r="AH29" i="6"/>
  <c r="AJ29" i="6"/>
  <c r="AH12" i="6"/>
  <c r="AI12" i="6"/>
  <c r="AK12" i="6" s="1"/>
  <c r="AJ12" i="6"/>
  <c r="AH51" i="6"/>
  <c r="AI51" i="6"/>
  <c r="AJ51" i="6"/>
  <c r="AH56" i="6"/>
  <c r="AI56" i="6"/>
  <c r="AJ56" i="6"/>
  <c r="AH35" i="6"/>
  <c r="AJ35" i="6"/>
  <c r="AI35" i="6"/>
  <c r="AH23" i="6"/>
  <c r="AI23" i="6"/>
  <c r="AJ23" i="6"/>
  <c r="AI17" i="6"/>
  <c r="AH17" i="6"/>
  <c r="AJ17" i="6"/>
  <c r="AH11" i="6"/>
  <c r="AJ11" i="6"/>
  <c r="AI11" i="6"/>
  <c r="AH16" i="6"/>
  <c r="AJ16" i="6"/>
  <c r="AI16" i="6"/>
  <c r="AI33" i="6"/>
  <c r="AK33" i="6" s="1"/>
  <c r="AH33" i="6"/>
  <c r="AJ33" i="6"/>
  <c r="AH49" i="6"/>
  <c r="AI49" i="6"/>
  <c r="AJ49" i="6"/>
  <c r="AJ52" i="6"/>
  <c r="AH52" i="6"/>
  <c r="AI52" i="6"/>
  <c r="AK52" i="6" s="1"/>
  <c r="AH46" i="6"/>
  <c r="AJ46" i="6"/>
  <c r="AI46" i="6"/>
  <c r="AK46" i="6" s="1"/>
  <c r="AI40" i="6"/>
  <c r="AH40" i="6"/>
  <c r="AJ40" i="6"/>
  <c r="AI34" i="6"/>
  <c r="AJ34" i="6"/>
  <c r="AH34" i="6"/>
  <c r="AJ28" i="6"/>
  <c r="AI28" i="6"/>
  <c r="AK28" i="6" s="1"/>
  <c r="AH28" i="6"/>
  <c r="AI22" i="6"/>
  <c r="AK22" i="6" s="1"/>
  <c r="AJ22" i="6"/>
  <c r="AH22" i="6"/>
  <c r="AJ10" i="6"/>
  <c r="AH10" i="6"/>
  <c r="AI10" i="6"/>
  <c r="AK10" i="6" s="1"/>
  <c r="AK57" i="6"/>
  <c r="AK48" i="6" l="1"/>
  <c r="AK40" i="6"/>
  <c r="AK30" i="6"/>
  <c r="AK55" i="6"/>
  <c r="AK54" i="6"/>
  <c r="AK56" i="6"/>
  <c r="AK20" i="6"/>
  <c r="AH9" i="6"/>
  <c r="AJ9" i="6"/>
  <c r="AI9" i="6"/>
  <c r="AK9" i="6" s="1"/>
  <c r="AK60" i="6" s="1"/>
  <c r="AK17" i="6"/>
  <c r="AK24" i="6"/>
  <c r="AK42" i="6"/>
  <c r="AK13" i="6"/>
  <c r="AK38" i="6"/>
  <c r="AK44" i="6"/>
  <c r="AK15" i="6"/>
  <c r="AK34" i="6"/>
  <c r="AK16" i="6"/>
  <c r="AK23" i="6"/>
  <c r="AK51" i="6"/>
  <c r="AK58" i="6"/>
  <c r="AK41" i="6"/>
  <c r="AK18" i="6"/>
  <c r="AK43" i="6"/>
  <c r="AK26" i="6"/>
  <c r="AK49" i="6"/>
  <c r="AK11" i="6"/>
  <c r="AK35" i="6"/>
  <c r="AK32" i="6"/>
  <c r="AL9" i="6" a="1"/>
  <c r="AL9" i="6" l="1"/>
  <c r="AM58" i="6"/>
  <c r="AN43" i="6"/>
  <c r="AP43" i="6" s="1"/>
  <c r="AN48" i="6"/>
  <c r="AP48" i="6" s="1"/>
  <c r="AN30" i="6"/>
  <c r="AP30" i="6" s="1"/>
  <c r="AN37" i="6"/>
  <c r="AP37" i="6" s="1"/>
  <c r="AM57" i="6"/>
  <c r="AN44" i="6"/>
  <c r="AP44" i="6" s="1"/>
  <c r="AN19" i="6"/>
  <c r="AP19" i="6" s="1"/>
  <c r="AN39" i="6"/>
  <c r="AP39" i="6" s="1"/>
  <c r="AN15" i="6"/>
  <c r="AP15" i="6" s="1"/>
  <c r="AN26" i="6"/>
  <c r="AP26" i="6" s="1"/>
  <c r="AN13" i="6"/>
  <c r="AP13" i="6" s="1"/>
  <c r="AN42" i="6"/>
  <c r="AP42" i="6" s="1"/>
  <c r="AN24" i="6"/>
  <c r="AP24" i="6" s="1"/>
  <c r="AN41" i="6"/>
  <c r="AP41" i="6" s="1"/>
  <c r="AN31" i="6"/>
  <c r="AP31" i="6" s="1"/>
  <c r="AN45" i="6"/>
  <c r="AP45" i="6" s="1"/>
  <c r="AN52" i="6"/>
  <c r="AP52" i="6" s="1"/>
  <c r="AN10" i="6"/>
  <c r="AP10" i="6" s="1"/>
  <c r="AN28" i="6"/>
  <c r="AP28" i="6" s="1"/>
  <c r="AN38" i="6"/>
  <c r="AP38" i="6" s="1"/>
  <c r="AN29" i="6"/>
  <c r="AP29" i="6" s="1"/>
  <c r="AN33" i="6"/>
  <c r="AP33" i="6" s="1"/>
  <c r="AN34" i="6"/>
  <c r="AP34" i="6" s="1"/>
  <c r="AN21" i="6"/>
  <c r="AP21" i="6" s="1"/>
  <c r="AN46" i="6"/>
  <c r="AP46" i="6" s="1"/>
  <c r="AN16" i="6"/>
  <c r="AP16" i="6" s="1"/>
  <c r="AN14" i="6"/>
  <c r="AP14" i="6" s="1"/>
  <c r="AN54" i="6"/>
  <c r="AP54" i="6" s="1"/>
  <c r="AN36" i="6"/>
  <c r="AP36" i="6" s="1"/>
  <c r="AN55" i="6"/>
  <c r="AP55" i="6" s="1"/>
  <c r="AN53" i="6"/>
  <c r="AP53" i="6" s="1"/>
  <c r="AN47" i="6"/>
  <c r="AP47" i="6" s="1"/>
  <c r="AN35" i="6"/>
  <c r="AP35" i="6" s="1"/>
  <c r="AN58" i="6"/>
  <c r="AP58" i="6" s="1"/>
  <c r="AN40" i="6"/>
  <c r="AP40" i="6" s="1"/>
  <c r="AN20" i="6"/>
  <c r="AP20" i="6" s="1"/>
  <c r="AN25" i="6"/>
  <c r="AP25" i="6" s="1"/>
  <c r="AN56" i="6"/>
  <c r="AP56" i="6" s="1"/>
  <c r="AN17" i="6"/>
  <c r="AP17" i="6" s="1"/>
  <c r="AN11" i="6"/>
  <c r="AP11" i="6" s="1"/>
  <c r="AN57" i="6"/>
  <c r="AP57" i="6" s="1"/>
  <c r="AN50" i="6"/>
  <c r="AP50" i="6" s="1"/>
  <c r="AN32" i="6"/>
  <c r="AP32" i="6" s="1"/>
  <c r="AN27" i="6"/>
  <c r="AP27" i="6" s="1"/>
  <c r="AN18" i="6"/>
  <c r="AP18" i="6" s="1"/>
  <c r="AN12" i="6"/>
  <c r="AP12" i="6" s="1"/>
  <c r="AN49" i="6"/>
  <c r="AP49" i="6" s="1"/>
  <c r="AN23" i="6"/>
  <c r="AP23" i="6" s="1"/>
  <c r="AN22" i="6"/>
  <c r="AP22" i="6" s="1"/>
  <c r="AN51" i="6"/>
  <c r="AP51" i="6" s="1"/>
  <c r="AM32" i="6"/>
  <c r="AM30" i="6"/>
  <c r="AM49" i="6"/>
  <c r="AM51" i="6"/>
  <c r="AM34" i="6"/>
  <c r="AM43" i="6"/>
  <c r="AM56" i="6"/>
  <c r="AM47" i="6"/>
  <c r="AM27" i="6"/>
  <c r="AM35" i="6"/>
  <c r="AM15" i="6"/>
  <c r="AM21" i="6"/>
  <c r="AM46" i="6"/>
  <c r="AM37" i="6"/>
  <c r="AM13" i="6"/>
  <c r="AM17" i="6"/>
  <c r="AM33" i="6"/>
  <c r="AM48" i="6"/>
  <c r="AM36" i="6"/>
  <c r="AM55" i="6"/>
  <c r="AM54" i="6"/>
  <c r="AM42" i="6"/>
  <c r="AM28" i="6"/>
  <c r="AM18" i="6"/>
  <c r="AM50" i="6"/>
  <c r="AM14" i="6"/>
  <c r="AM11" i="6"/>
  <c r="AM26" i="6"/>
  <c r="AM19" i="6"/>
  <c r="AM52" i="6"/>
  <c r="AM29" i="6"/>
  <c r="AM53" i="6"/>
  <c r="AM44" i="6"/>
  <c r="AM40" i="6"/>
  <c r="AM24" i="6"/>
  <c r="AM41" i="6"/>
  <c r="AM25" i="6"/>
  <c r="AM45" i="6"/>
  <c r="AM10" i="6"/>
  <c r="AM31" i="6"/>
  <c r="AM12" i="6"/>
  <c r="AM38" i="6"/>
  <c r="AM22" i="6"/>
  <c r="AM39" i="6"/>
  <c r="AM20" i="6"/>
  <c r="AM23" i="6"/>
  <c r="AM16" i="6"/>
  <c r="AS41" i="6" l="1"/>
  <c r="AR41" i="6"/>
  <c r="AT41" i="6" s="1"/>
  <c r="AQ41" i="6"/>
  <c r="AQ22" i="6"/>
  <c r="AR22" i="6"/>
  <c r="AS22" i="6"/>
  <c r="AS46" i="6"/>
  <c r="AR46" i="6"/>
  <c r="AT46" i="6" s="1"/>
  <c r="AQ46" i="6"/>
  <c r="AS20" i="6"/>
  <c r="AR20" i="6"/>
  <c r="AT20" i="6" s="1"/>
  <c r="AQ20" i="6"/>
  <c r="AQ21" i="6"/>
  <c r="AS21" i="6"/>
  <c r="AR21" i="6"/>
  <c r="AT21" i="6" s="1"/>
  <c r="AR42" i="6"/>
  <c r="AT42" i="6" s="1"/>
  <c r="AQ42" i="6"/>
  <c r="AS42" i="6"/>
  <c r="AQ40" i="6"/>
  <c r="AR40" i="6"/>
  <c r="AS40" i="6"/>
  <c r="AQ13" i="6"/>
  <c r="AR13" i="6"/>
  <c r="AS13" i="6"/>
  <c r="AS12" i="6"/>
  <c r="AQ12" i="6"/>
  <c r="AR12" i="6"/>
  <c r="AS58" i="6"/>
  <c r="AQ58" i="6"/>
  <c r="AR58" i="6"/>
  <c r="AT58" i="6" s="1"/>
  <c r="AR33" i="6"/>
  <c r="AT33" i="6" s="1"/>
  <c r="AQ33" i="6"/>
  <c r="AS33" i="6"/>
  <c r="AR26" i="6"/>
  <c r="AS26" i="6"/>
  <c r="AQ26" i="6"/>
  <c r="AM9" i="6"/>
  <c r="AN9" i="6"/>
  <c r="AP9" i="6" s="1"/>
  <c r="AR18" i="6"/>
  <c r="AQ18" i="6"/>
  <c r="AS18" i="6"/>
  <c r="AQ35" i="6"/>
  <c r="AR35" i="6"/>
  <c r="AS35" i="6"/>
  <c r="AQ29" i="6"/>
  <c r="AR29" i="6"/>
  <c r="AS29" i="6"/>
  <c r="AQ15" i="6"/>
  <c r="AR15" i="6"/>
  <c r="AS15" i="6"/>
  <c r="AQ56" i="6"/>
  <c r="AR56" i="6"/>
  <c r="AS56" i="6"/>
  <c r="AM60" i="6"/>
  <c r="AM61" i="6" s="1"/>
  <c r="AQ49" i="6"/>
  <c r="AR49" i="6"/>
  <c r="AS49" i="6"/>
  <c r="AQ34" i="6"/>
  <c r="AR34" i="6"/>
  <c r="AS34" i="6"/>
  <c r="AR27" i="6"/>
  <c r="AS27" i="6"/>
  <c r="AQ27" i="6"/>
  <c r="AR47" i="6"/>
  <c r="AQ47" i="6"/>
  <c r="AS47" i="6"/>
  <c r="AQ38" i="6"/>
  <c r="AR38" i="6"/>
  <c r="AT38" i="6" s="1"/>
  <c r="AS38" i="6"/>
  <c r="AQ39" i="6"/>
  <c r="AS39" i="6"/>
  <c r="AR39" i="6"/>
  <c r="AT39" i="6" s="1"/>
  <c r="AR51" i="6"/>
  <c r="AS51" i="6"/>
  <c r="AQ51" i="6"/>
  <c r="AR48" i="6"/>
  <c r="AT48" i="6" s="1"/>
  <c r="AQ48" i="6"/>
  <c r="AS48" i="6"/>
  <c r="AR25" i="6"/>
  <c r="AS25" i="6"/>
  <c r="AQ25" i="6"/>
  <c r="AS43" i="6"/>
  <c r="AR43" i="6"/>
  <c r="AT43" i="6" s="1"/>
  <c r="AQ43" i="6"/>
  <c r="AQ53" i="6"/>
  <c r="AS53" i="6"/>
  <c r="AR53" i="6"/>
  <c r="AT53" i="6" s="1"/>
  <c r="AQ19" i="6"/>
  <c r="AR19" i="6"/>
  <c r="AS19" i="6"/>
  <c r="AQ50" i="6"/>
  <c r="AR50" i="6"/>
  <c r="AS50" i="6"/>
  <c r="AS10" i="6"/>
  <c r="AQ10" i="6"/>
  <c r="AR10" i="6"/>
  <c r="AR36" i="6"/>
  <c r="AS36" i="6"/>
  <c r="AQ36" i="6"/>
  <c r="AQ11" i="6"/>
  <c r="AR11" i="6"/>
  <c r="AS11" i="6"/>
  <c r="AR54" i="6"/>
  <c r="AT54" i="6" s="1"/>
  <c r="AQ54" i="6"/>
  <c r="AS54" i="6"/>
  <c r="AR45" i="6"/>
  <c r="AS45" i="6"/>
  <c r="AQ45" i="6"/>
  <c r="AQ37" i="6"/>
  <c r="AR37" i="6"/>
  <c r="AS37" i="6"/>
  <c r="AQ16" i="6"/>
  <c r="AR16" i="6"/>
  <c r="AT16" i="6" s="1"/>
  <c r="AS16" i="6"/>
  <c r="AS24" i="6"/>
  <c r="AR24" i="6"/>
  <c r="AT24" i="6" s="1"/>
  <c r="AQ24" i="6"/>
  <c r="AR23" i="6"/>
  <c r="AS23" i="6"/>
  <c r="AQ23" i="6"/>
  <c r="AS32" i="6"/>
  <c r="AR32" i="6"/>
  <c r="AT32" i="6" s="1"/>
  <c r="AQ32" i="6"/>
  <c r="AR28" i="6"/>
  <c r="AQ28" i="6"/>
  <c r="AS28" i="6"/>
  <c r="AS55" i="6"/>
  <c r="AR55" i="6"/>
  <c r="AT55" i="6" s="1"/>
  <c r="AQ55" i="6"/>
  <c r="AQ44" i="6"/>
  <c r="AR44" i="6"/>
  <c r="AT44" i="6" s="1"/>
  <c r="AS44" i="6"/>
  <c r="AS57" i="6"/>
  <c r="AQ57" i="6"/>
  <c r="AR57" i="6"/>
  <c r="AT57" i="6" s="1"/>
  <c r="AQ52" i="6"/>
  <c r="AR52" i="6"/>
  <c r="AS52" i="6"/>
  <c r="AR17" i="6"/>
  <c r="AT17" i="6" s="1"/>
  <c r="AQ17" i="6"/>
  <c r="AS17" i="6"/>
  <c r="AR14" i="6"/>
  <c r="AS14" i="6"/>
  <c r="AQ14" i="6"/>
  <c r="AS31" i="6"/>
  <c r="AR31" i="6"/>
  <c r="AT31" i="6" s="1"/>
  <c r="AQ31" i="6"/>
  <c r="AQ30" i="6"/>
  <c r="AR30" i="6"/>
  <c r="AT30" i="6" s="1"/>
  <c r="AS30" i="6"/>
  <c r="AT34" i="6" l="1"/>
  <c r="AT40" i="6"/>
  <c r="AT52" i="6"/>
  <c r="AT37" i="6"/>
  <c r="AR9" i="6"/>
  <c r="AS9" i="6"/>
  <c r="AT9" i="6" s="1"/>
  <c r="AQ9" i="6"/>
  <c r="AT11" i="6"/>
  <c r="AT50" i="6"/>
  <c r="AT23" i="6"/>
  <c r="AT51" i="6"/>
  <c r="AT47" i="6"/>
  <c r="AT29" i="6"/>
  <c r="AT12" i="6"/>
  <c r="AT19" i="6"/>
  <c r="AT26" i="6"/>
  <c r="AT14" i="6"/>
  <c r="AT35" i="6"/>
  <c r="AT28" i="6"/>
  <c r="AT56" i="6"/>
  <c r="AT45" i="6"/>
  <c r="AT36" i="6"/>
  <c r="AT25" i="6"/>
  <c r="AT27" i="6"/>
  <c r="AT10" i="6"/>
  <c r="AT60" i="6" s="1"/>
  <c r="AT13" i="6"/>
  <c r="AT22" i="6"/>
  <c r="AT15" i="6"/>
  <c r="AT18" i="6"/>
  <c r="AT49" i="6"/>
  <c r="AU9" i="6" a="1"/>
  <c r="AU9" i="6" l="1"/>
  <c r="AV11" i="6"/>
  <c r="AV15" i="6"/>
  <c r="AV19" i="6"/>
  <c r="AV23" i="6"/>
  <c r="AV27" i="6"/>
  <c r="AV31" i="6"/>
  <c r="AV35" i="6"/>
  <c r="AV43" i="6"/>
  <c r="AV47" i="6"/>
  <c r="AV55" i="6"/>
  <c r="AV12" i="6"/>
  <c r="AV16" i="6"/>
  <c r="AV20" i="6"/>
  <c r="AV24" i="6"/>
  <c r="AV28" i="6"/>
  <c r="AV32" i="6"/>
  <c r="AV36" i="6"/>
  <c r="AV40" i="6"/>
  <c r="AV44" i="6"/>
  <c r="AV48" i="6"/>
  <c r="AV52" i="6"/>
  <c r="AV56" i="6"/>
  <c r="AV25" i="6"/>
  <c r="AV53" i="6"/>
  <c r="AV58" i="6"/>
  <c r="AV17" i="6"/>
  <c r="AV33" i="6"/>
  <c r="AV41" i="6"/>
  <c r="AV49" i="6"/>
  <c r="AV50" i="6"/>
  <c r="AV13" i="6"/>
  <c r="AV29" i="6"/>
  <c r="AV37" i="6"/>
  <c r="AV45" i="6"/>
  <c r="AV57" i="6"/>
  <c r="AV46" i="6"/>
  <c r="AV21" i="6"/>
  <c r="AV10" i="6"/>
  <c r="AV14" i="6"/>
  <c r="AV18" i="6"/>
  <c r="AV22" i="6"/>
  <c r="AV26" i="6"/>
  <c r="AV30" i="6"/>
  <c r="AV34" i="6"/>
  <c r="AV38" i="6"/>
  <c r="AV42" i="6"/>
  <c r="AV54" i="6"/>
  <c r="AV39" i="6"/>
  <c r="AV51" i="6"/>
  <c r="AW55" i="6"/>
  <c r="AY55" i="6" s="1"/>
  <c r="AW29" i="6"/>
  <c r="AY29" i="6" s="1"/>
  <c r="AW50" i="6"/>
  <c r="AY50" i="6" s="1"/>
  <c r="AW11" i="6"/>
  <c r="AY11" i="6" s="1"/>
  <c r="AW23" i="6"/>
  <c r="AY23" i="6" s="1"/>
  <c r="AW10" i="6"/>
  <c r="AY10" i="6" s="1"/>
  <c r="AW32" i="6"/>
  <c r="AY32" i="6" s="1"/>
  <c r="AW30" i="6"/>
  <c r="AY30" i="6" s="1"/>
  <c r="AW16" i="6"/>
  <c r="AY16" i="6" s="1"/>
  <c r="AW34" i="6"/>
  <c r="AY34" i="6" s="1"/>
  <c r="AW53" i="6"/>
  <c r="AY53" i="6" s="1"/>
  <c r="AW56" i="6"/>
  <c r="AY56" i="6" s="1"/>
  <c r="AW46" i="6"/>
  <c r="AY46" i="6" s="1"/>
  <c r="AW12" i="6"/>
  <c r="AY12" i="6" s="1"/>
  <c r="AW26" i="6"/>
  <c r="AY26" i="6" s="1"/>
  <c r="AW39" i="6"/>
  <c r="AY39" i="6" s="1"/>
  <c r="AW19" i="6"/>
  <c r="AY19" i="6" s="1"/>
  <c r="AW24" i="6"/>
  <c r="AY24" i="6" s="1"/>
  <c r="AW27" i="6"/>
  <c r="AY27" i="6" s="1"/>
  <c r="AW45" i="6"/>
  <c r="AY45" i="6" s="1"/>
  <c r="AW21" i="6"/>
  <c r="AY21" i="6" s="1"/>
  <c r="AW33" i="6"/>
  <c r="AY33" i="6" s="1"/>
  <c r="AW44" i="6"/>
  <c r="AY44" i="6" s="1"/>
  <c r="AW28" i="6"/>
  <c r="AY28" i="6" s="1"/>
  <c r="AW14" i="6"/>
  <c r="AY14" i="6" s="1"/>
  <c r="AW35" i="6"/>
  <c r="AY35" i="6" s="1"/>
  <c r="AW57" i="6"/>
  <c r="AY57" i="6" s="1"/>
  <c r="AW42" i="6"/>
  <c r="AY42" i="6" s="1"/>
  <c r="AW25" i="6"/>
  <c r="AY25" i="6" s="1"/>
  <c r="AW36" i="6"/>
  <c r="AY36" i="6" s="1"/>
  <c r="AW13" i="6"/>
  <c r="AY13" i="6" s="1"/>
  <c r="AW48" i="6"/>
  <c r="AY48" i="6" s="1"/>
  <c r="AW52" i="6"/>
  <c r="AY52" i="6" s="1"/>
  <c r="AW31" i="6"/>
  <c r="AY31" i="6" s="1"/>
  <c r="AW20" i="6"/>
  <c r="AY20" i="6" s="1"/>
  <c r="AW49" i="6"/>
  <c r="AY49" i="6" s="1"/>
  <c r="AW43" i="6"/>
  <c r="AY43" i="6" s="1"/>
  <c r="AW37" i="6"/>
  <c r="AY37" i="6" s="1"/>
  <c r="AW40" i="6"/>
  <c r="AY40" i="6" s="1"/>
  <c r="AW58" i="6"/>
  <c r="AY58" i="6" s="1"/>
  <c r="AW47" i="6"/>
  <c r="AY47" i="6" s="1"/>
  <c r="AW15" i="6"/>
  <c r="AY15" i="6" s="1"/>
  <c r="AW51" i="6"/>
  <c r="AY51" i="6" s="1"/>
  <c r="AW41" i="6"/>
  <c r="AY41" i="6" s="1"/>
  <c r="AW18" i="6"/>
  <c r="AY18" i="6" s="1"/>
  <c r="AW38" i="6"/>
  <c r="AY38" i="6" s="1"/>
  <c r="AW54" i="6"/>
  <c r="AY54" i="6" s="1"/>
  <c r="AW22" i="6"/>
  <c r="AY22" i="6" s="1"/>
  <c r="AW17" i="6"/>
  <c r="AY17" i="6" s="1"/>
  <c r="BA50" i="6" l="1"/>
  <c r="BC50" i="6" s="1"/>
  <c r="AZ50" i="6"/>
  <c r="BB50" i="6"/>
  <c r="BB35" i="6"/>
  <c r="AZ35" i="6"/>
  <c r="BA35" i="6"/>
  <c r="AZ14" i="6"/>
  <c r="BA14" i="6"/>
  <c r="BC14" i="6" s="1"/>
  <c r="BB14" i="6"/>
  <c r="BB28" i="6"/>
  <c r="BA28" i="6"/>
  <c r="BC28" i="6" s="1"/>
  <c r="AZ28" i="6"/>
  <c r="AZ26" i="6"/>
  <c r="BB26" i="6"/>
  <c r="BA26" i="6"/>
  <c r="BC26" i="6" s="1"/>
  <c r="BA29" i="6"/>
  <c r="AZ29" i="6"/>
  <c r="BB29" i="6"/>
  <c r="AZ46" i="6"/>
  <c r="BA46" i="6"/>
  <c r="BC46" i="6" s="1"/>
  <c r="BB46" i="6"/>
  <c r="AZ49" i="6"/>
  <c r="BA49" i="6"/>
  <c r="BB49" i="6"/>
  <c r="BA54" i="6"/>
  <c r="BC54" i="6" s="1"/>
  <c r="AZ54" i="6"/>
  <c r="BB54" i="6"/>
  <c r="BB20" i="6"/>
  <c r="BA20" i="6"/>
  <c r="BC20" i="6" s="1"/>
  <c r="AZ20" i="6"/>
  <c r="BA44" i="6"/>
  <c r="BC44" i="6" s="1"/>
  <c r="AZ44" i="6"/>
  <c r="BB44" i="6"/>
  <c r="BB53" i="6"/>
  <c r="AZ53" i="6"/>
  <c r="BA53" i="6"/>
  <c r="BC53" i="6" s="1"/>
  <c r="AV9" i="6"/>
  <c r="AW9" i="6"/>
  <c r="AY9" i="6" s="1"/>
  <c r="AZ38" i="6"/>
  <c r="BA38" i="6"/>
  <c r="BB38" i="6"/>
  <c r="BB31" i="6"/>
  <c r="BA31" i="6"/>
  <c r="BC31" i="6" s="1"/>
  <c r="AZ31" i="6"/>
  <c r="BA33" i="6"/>
  <c r="BB33" i="6"/>
  <c r="AZ33" i="6"/>
  <c r="BA34" i="6"/>
  <c r="BC34" i="6" s="1"/>
  <c r="AZ34" i="6"/>
  <c r="BB34" i="6"/>
  <c r="BB18" i="6"/>
  <c r="BA18" i="6"/>
  <c r="BC18" i="6" s="1"/>
  <c r="AZ18" i="6"/>
  <c r="AZ52" i="6"/>
  <c r="BB52" i="6"/>
  <c r="BA52" i="6"/>
  <c r="BC52" i="6" s="1"/>
  <c r="AZ21" i="6"/>
  <c r="BB21" i="6"/>
  <c r="BA21" i="6"/>
  <c r="BC21" i="6" s="1"/>
  <c r="AZ16" i="6"/>
  <c r="BA16" i="6"/>
  <c r="BB16" i="6"/>
  <c r="BA57" i="6"/>
  <c r="BB57" i="6"/>
  <c r="AZ57" i="6"/>
  <c r="AZ12" i="6"/>
  <c r="BB12" i="6"/>
  <c r="BA12" i="6"/>
  <c r="BC12" i="6" s="1"/>
  <c r="AZ43" i="6"/>
  <c r="BB43" i="6"/>
  <c r="BA43" i="6"/>
  <c r="BC43" i="6" s="1"/>
  <c r="AZ55" i="6"/>
  <c r="BA55" i="6"/>
  <c r="BB55" i="6"/>
  <c r="AZ22" i="6"/>
  <c r="BB22" i="6"/>
  <c r="BA22" i="6"/>
  <c r="BC22" i="6" s="1"/>
  <c r="BB56" i="6"/>
  <c r="AZ56" i="6"/>
  <c r="BA56" i="6"/>
  <c r="BC56" i="6" s="1"/>
  <c r="BB41" i="6"/>
  <c r="AZ41" i="6"/>
  <c r="BA41" i="6"/>
  <c r="BC41" i="6" s="1"/>
  <c r="AZ48" i="6"/>
  <c r="BB48" i="6"/>
  <c r="BA48" i="6"/>
  <c r="BC48" i="6" s="1"/>
  <c r="BB45" i="6"/>
  <c r="BA45" i="6"/>
  <c r="BC45" i="6" s="1"/>
  <c r="AZ45" i="6"/>
  <c r="BA30" i="6"/>
  <c r="BB30" i="6"/>
  <c r="AZ30" i="6"/>
  <c r="BA51" i="6"/>
  <c r="AZ51" i="6"/>
  <c r="BB51" i="6"/>
  <c r="AZ13" i="6"/>
  <c r="BB13" i="6"/>
  <c r="BA13" i="6"/>
  <c r="BC13" i="6" s="1"/>
  <c r="AZ27" i="6"/>
  <c r="BB27" i="6"/>
  <c r="BA27" i="6"/>
  <c r="BC27" i="6" s="1"/>
  <c r="AZ32" i="6"/>
  <c r="BA32" i="6"/>
  <c r="BB32" i="6"/>
  <c r="AZ15" i="6"/>
  <c r="BB15" i="6"/>
  <c r="BA15" i="6"/>
  <c r="BC15" i="6" s="1"/>
  <c r="AZ36" i="6"/>
  <c r="BB36" i="6"/>
  <c r="BA36" i="6"/>
  <c r="BC36" i="6" s="1"/>
  <c r="AZ24" i="6"/>
  <c r="BA24" i="6"/>
  <c r="BB24" i="6"/>
  <c r="AZ10" i="6"/>
  <c r="BB10" i="6"/>
  <c r="BA10" i="6"/>
  <c r="BC10" i="6" s="1"/>
  <c r="BB40" i="6"/>
  <c r="AZ40" i="6"/>
  <c r="BA40" i="6"/>
  <c r="BC40" i="6" s="1"/>
  <c r="BA37" i="6"/>
  <c r="BC37" i="6" s="1"/>
  <c r="AZ37" i="6"/>
  <c r="BB37" i="6"/>
  <c r="BA17" i="6"/>
  <c r="BB17" i="6"/>
  <c r="AZ17" i="6"/>
  <c r="BA47" i="6"/>
  <c r="BB47" i="6"/>
  <c r="AZ47" i="6"/>
  <c r="BB25" i="6"/>
  <c r="AZ25" i="6"/>
  <c r="BA25" i="6"/>
  <c r="BC25" i="6" s="1"/>
  <c r="AZ19" i="6"/>
  <c r="BA19" i="6"/>
  <c r="BB19" i="6"/>
  <c r="AZ23" i="6"/>
  <c r="BA23" i="6"/>
  <c r="BB23" i="6"/>
  <c r="AV60" i="6"/>
  <c r="AV61" i="6" s="1"/>
  <c r="AZ58" i="6"/>
  <c r="BA58" i="6"/>
  <c r="BC58" i="6" s="1"/>
  <c r="BB58" i="6"/>
  <c r="BB42" i="6"/>
  <c r="BA42" i="6"/>
  <c r="BC42" i="6" s="1"/>
  <c r="AZ42" i="6"/>
  <c r="AZ39" i="6"/>
  <c r="BA39" i="6"/>
  <c r="BB39" i="6"/>
  <c r="AZ11" i="6"/>
  <c r="BA11" i="6"/>
  <c r="BC11" i="6" s="1"/>
  <c r="BB11" i="6"/>
  <c r="BA9" i="6" l="1"/>
  <c r="AZ9" i="6"/>
  <c r="BB9" i="6"/>
  <c r="BC9" i="6" s="1"/>
  <c r="BC60" i="6" s="1"/>
  <c r="BC55" i="6"/>
  <c r="BC23" i="6"/>
  <c r="BC47" i="6"/>
  <c r="BC30" i="6"/>
  <c r="BC57" i="6"/>
  <c r="BC33" i="6"/>
  <c r="BC29" i="6"/>
  <c r="BC17" i="6"/>
  <c r="BC35" i="6"/>
  <c r="BC39" i="6"/>
  <c r="BC16" i="6"/>
  <c r="BC19" i="6"/>
  <c r="BC49" i="6"/>
  <c r="BC32" i="6"/>
  <c r="BC38" i="6"/>
  <c r="BC24" i="6"/>
  <c r="BC51" i="6"/>
  <c r="BD9" i="6" a="1"/>
  <c r="BD9" i="6" l="1"/>
  <c r="BE15" i="6"/>
  <c r="BE33" i="6"/>
  <c r="BE48" i="6"/>
  <c r="BE14" i="6"/>
  <c r="BE37" i="6"/>
  <c r="BE28" i="6"/>
  <c r="BE19" i="6"/>
  <c r="BE45" i="6"/>
  <c r="BE52" i="6"/>
  <c r="BE18" i="6"/>
  <c r="BE42" i="6"/>
  <c r="BE23" i="6"/>
  <c r="BE57" i="6"/>
  <c r="BE56" i="6"/>
  <c r="BE22" i="6"/>
  <c r="BE34" i="6"/>
  <c r="BE17" i="6"/>
  <c r="BE58" i="6"/>
  <c r="BE27" i="6"/>
  <c r="BE12" i="6"/>
  <c r="BE13" i="6"/>
  <c r="BE26" i="6"/>
  <c r="BE20" i="6"/>
  <c r="BE31" i="6"/>
  <c r="BE16" i="6"/>
  <c r="BE29" i="6"/>
  <c r="BE30" i="6"/>
  <c r="BE35" i="6"/>
  <c r="BE43" i="6"/>
  <c r="BE10" i="6"/>
  <c r="BE39" i="6"/>
  <c r="BE24" i="6"/>
  <c r="BE49" i="6"/>
  <c r="BE38" i="6"/>
  <c r="BE44" i="6"/>
  <c r="BE47" i="6"/>
  <c r="BE32" i="6"/>
  <c r="BE41" i="6"/>
  <c r="BE46" i="6"/>
  <c r="BE21" i="6"/>
  <c r="BE51" i="6"/>
  <c r="BE36" i="6"/>
  <c r="BE25" i="6"/>
  <c r="BE50" i="6"/>
  <c r="BE55" i="6"/>
  <c r="BE40" i="6"/>
  <c r="BE53" i="6"/>
  <c r="BE54" i="6"/>
  <c r="BE11" i="6"/>
  <c r="BF27" i="6"/>
  <c r="BH27" i="6" s="1"/>
  <c r="BF21" i="6"/>
  <c r="BH21" i="6" s="1"/>
  <c r="BF25" i="6"/>
  <c r="BH25" i="6" s="1"/>
  <c r="BF12" i="6"/>
  <c r="BH12" i="6" s="1"/>
  <c r="BF26" i="6"/>
  <c r="BH26" i="6" s="1"/>
  <c r="BF34" i="6"/>
  <c r="BH34" i="6" s="1"/>
  <c r="BF48" i="6"/>
  <c r="BH48" i="6" s="1"/>
  <c r="BF24" i="6"/>
  <c r="BH24" i="6" s="1"/>
  <c r="BF11" i="6"/>
  <c r="BH11" i="6" s="1"/>
  <c r="BF35" i="6"/>
  <c r="BH35" i="6" s="1"/>
  <c r="BF49" i="6"/>
  <c r="BH49" i="6" s="1"/>
  <c r="BF44" i="6"/>
  <c r="BH44" i="6" s="1"/>
  <c r="BF22" i="6"/>
  <c r="BH22" i="6" s="1"/>
  <c r="BF37" i="6"/>
  <c r="BH37" i="6" s="1"/>
  <c r="BF58" i="6"/>
  <c r="BH58" i="6" s="1"/>
  <c r="BF31" i="6"/>
  <c r="BH31" i="6" s="1"/>
  <c r="BF43" i="6"/>
  <c r="BH43" i="6" s="1"/>
  <c r="BF56" i="6"/>
  <c r="BH56" i="6" s="1"/>
  <c r="BF45" i="6"/>
  <c r="BH45" i="6" s="1"/>
  <c r="BF13" i="6"/>
  <c r="BH13" i="6" s="1"/>
  <c r="BF17" i="6"/>
  <c r="BH17" i="6" s="1"/>
  <c r="BF16" i="6"/>
  <c r="BH16" i="6" s="1"/>
  <c r="BF54" i="6"/>
  <c r="BH54" i="6" s="1"/>
  <c r="BF18" i="6"/>
  <c r="BH18" i="6" s="1"/>
  <c r="BF51" i="6"/>
  <c r="BH51" i="6" s="1"/>
  <c r="BF10" i="6"/>
  <c r="BH10" i="6" s="1"/>
  <c r="BF42" i="6"/>
  <c r="BH42" i="6" s="1"/>
  <c r="BF33" i="6"/>
  <c r="BH33" i="6" s="1"/>
  <c r="BF15" i="6"/>
  <c r="BH15" i="6" s="1"/>
  <c r="BF19" i="6"/>
  <c r="BH19" i="6" s="1"/>
  <c r="BF46" i="6"/>
  <c r="BH46" i="6" s="1"/>
  <c r="BF20" i="6"/>
  <c r="BH20" i="6" s="1"/>
  <c r="BF30" i="6"/>
  <c r="BH30" i="6" s="1"/>
  <c r="BF23" i="6"/>
  <c r="BH23" i="6" s="1"/>
  <c r="BF40" i="6"/>
  <c r="BH40" i="6" s="1"/>
  <c r="BF50" i="6"/>
  <c r="BH50" i="6" s="1"/>
  <c r="BF38" i="6"/>
  <c r="BH38" i="6" s="1"/>
  <c r="BF32" i="6"/>
  <c r="BH32" i="6" s="1"/>
  <c r="BF14" i="6"/>
  <c r="BH14" i="6" s="1"/>
  <c r="BF29" i="6"/>
  <c r="BH29" i="6" s="1"/>
  <c r="BF53" i="6"/>
  <c r="BH53" i="6" s="1"/>
  <c r="BF55" i="6"/>
  <c r="BH55" i="6" s="1"/>
  <c r="BF41" i="6"/>
  <c r="BH41" i="6" s="1"/>
  <c r="BF52" i="6"/>
  <c r="BH52" i="6" s="1"/>
  <c r="BF57" i="6"/>
  <c r="BH57" i="6" s="1"/>
  <c r="BF36" i="6"/>
  <c r="BH36" i="6" s="1"/>
  <c r="BF47" i="6"/>
  <c r="BH47" i="6" s="1"/>
  <c r="BF28" i="6"/>
  <c r="BH28" i="6" s="1"/>
  <c r="BF39" i="6"/>
  <c r="BH39" i="6" s="1"/>
  <c r="BI42" i="6" l="1"/>
  <c r="BK42" i="6"/>
  <c r="BJ42" i="6"/>
  <c r="BL42" i="6" s="1"/>
  <c r="BI58" i="6"/>
  <c r="BJ58" i="6"/>
  <c r="BL58" i="6" s="1"/>
  <c r="BK58" i="6"/>
  <c r="BK39" i="6"/>
  <c r="BJ39" i="6"/>
  <c r="BL39" i="6" s="1"/>
  <c r="BI39" i="6"/>
  <c r="BK38" i="6"/>
  <c r="BI38" i="6"/>
  <c r="BJ38" i="6"/>
  <c r="BK51" i="6"/>
  <c r="BJ51" i="6"/>
  <c r="BL51" i="6" s="1"/>
  <c r="BI51" i="6"/>
  <c r="BI22" i="6"/>
  <c r="BK22" i="6"/>
  <c r="BJ22" i="6"/>
  <c r="BK27" i="6"/>
  <c r="BI27" i="6"/>
  <c r="BJ27" i="6"/>
  <c r="BL27" i="6" s="1"/>
  <c r="BI28" i="6"/>
  <c r="BJ28" i="6"/>
  <c r="BL28" i="6" s="1"/>
  <c r="BK28" i="6"/>
  <c r="BI50" i="6"/>
  <c r="BJ50" i="6"/>
  <c r="BK50" i="6"/>
  <c r="BI18" i="6"/>
  <c r="BJ18" i="6"/>
  <c r="BL18" i="6" s="1"/>
  <c r="BK18" i="6"/>
  <c r="BJ44" i="6"/>
  <c r="BI44" i="6"/>
  <c r="BK44" i="6"/>
  <c r="BI47" i="6"/>
  <c r="BJ47" i="6"/>
  <c r="BL47" i="6" s="1"/>
  <c r="BK47" i="6"/>
  <c r="BI40" i="6"/>
  <c r="BK40" i="6"/>
  <c r="BJ40" i="6"/>
  <c r="BL40" i="6" s="1"/>
  <c r="BK54" i="6"/>
  <c r="BI54" i="6"/>
  <c r="BJ54" i="6"/>
  <c r="BK49" i="6"/>
  <c r="BI49" i="6"/>
  <c r="BJ49" i="6"/>
  <c r="BL49" i="6" s="1"/>
  <c r="BE9" i="6"/>
  <c r="BE60" i="6" s="1"/>
  <c r="BE61" i="6" s="1"/>
  <c r="BF9" i="6"/>
  <c r="BH9" i="6" s="1"/>
  <c r="BI36" i="6"/>
  <c r="BK36" i="6"/>
  <c r="BJ36" i="6"/>
  <c r="BL36" i="6" s="1"/>
  <c r="BI23" i="6"/>
  <c r="BJ23" i="6"/>
  <c r="BK23" i="6"/>
  <c r="BI16" i="6"/>
  <c r="BJ16" i="6"/>
  <c r="BK16" i="6"/>
  <c r="BI35" i="6"/>
  <c r="BJ35" i="6"/>
  <c r="BK35" i="6"/>
  <c r="BJ30" i="6"/>
  <c r="BK30" i="6"/>
  <c r="BI30" i="6"/>
  <c r="BK17" i="6"/>
  <c r="BI17" i="6"/>
  <c r="BJ17" i="6"/>
  <c r="BL17" i="6" s="1"/>
  <c r="BK11" i="6"/>
  <c r="BI11" i="6"/>
  <c r="BJ11" i="6"/>
  <c r="BK52" i="6"/>
  <c r="BJ52" i="6"/>
  <c r="BL52" i="6" s="1"/>
  <c r="BI52" i="6"/>
  <c r="BI20" i="6"/>
  <c r="BK20" i="6"/>
  <c r="BJ20" i="6"/>
  <c r="BL20" i="6" s="1"/>
  <c r="BJ13" i="6"/>
  <c r="BI13" i="6"/>
  <c r="BK13" i="6"/>
  <c r="BJ24" i="6"/>
  <c r="BL24" i="6" s="1"/>
  <c r="BI24" i="6"/>
  <c r="BK24" i="6"/>
  <c r="BI41" i="6"/>
  <c r="BK41" i="6"/>
  <c r="BJ41" i="6"/>
  <c r="BL41" i="6" s="1"/>
  <c r="BK46" i="6"/>
  <c r="BI46" i="6"/>
  <c r="BJ46" i="6"/>
  <c r="BL46" i="6" s="1"/>
  <c r="BI45" i="6"/>
  <c r="BJ45" i="6"/>
  <c r="BK45" i="6"/>
  <c r="BI48" i="6"/>
  <c r="BK48" i="6"/>
  <c r="BJ48" i="6"/>
  <c r="BL48" i="6" s="1"/>
  <c r="BI55" i="6"/>
  <c r="BK55" i="6"/>
  <c r="BJ55" i="6"/>
  <c r="BL55" i="6" s="1"/>
  <c r="BI19" i="6"/>
  <c r="BK19" i="6"/>
  <c r="BJ19" i="6"/>
  <c r="BL19" i="6" s="1"/>
  <c r="BI56" i="6"/>
  <c r="BK56" i="6"/>
  <c r="BJ56" i="6"/>
  <c r="BL56" i="6" s="1"/>
  <c r="BJ34" i="6"/>
  <c r="BL34" i="6" s="1"/>
  <c r="BI34" i="6"/>
  <c r="BK34" i="6"/>
  <c r="BI53" i="6"/>
  <c r="BK53" i="6"/>
  <c r="BJ53" i="6"/>
  <c r="BL53" i="6" s="1"/>
  <c r="BI15" i="6"/>
  <c r="BJ15" i="6"/>
  <c r="BK15" i="6"/>
  <c r="BI43" i="6"/>
  <c r="BJ43" i="6"/>
  <c r="BK43" i="6"/>
  <c r="BI26" i="6"/>
  <c r="BJ26" i="6"/>
  <c r="BK26" i="6"/>
  <c r="BI57" i="6"/>
  <c r="BK57" i="6"/>
  <c r="BJ57" i="6"/>
  <c r="BL57" i="6" s="1"/>
  <c r="BJ29" i="6"/>
  <c r="BK29" i="6"/>
  <c r="BI29" i="6"/>
  <c r="BK33" i="6"/>
  <c r="BJ33" i="6"/>
  <c r="BL33" i="6" s="1"/>
  <c r="BI33" i="6"/>
  <c r="BJ31" i="6"/>
  <c r="BL31" i="6" s="1"/>
  <c r="BI31" i="6"/>
  <c r="BK31" i="6"/>
  <c r="BI12" i="6"/>
  <c r="BJ12" i="6"/>
  <c r="BK12" i="6"/>
  <c r="BJ14" i="6"/>
  <c r="BI14" i="6"/>
  <c r="BK14" i="6"/>
  <c r="BI25" i="6"/>
  <c r="BK25" i="6"/>
  <c r="BJ25" i="6"/>
  <c r="BL25" i="6" s="1"/>
  <c r="BI32" i="6"/>
  <c r="BJ32" i="6"/>
  <c r="BK32" i="6"/>
  <c r="BJ10" i="6"/>
  <c r="BI10" i="6"/>
  <c r="BK10" i="6"/>
  <c r="BI37" i="6"/>
  <c r="BJ37" i="6"/>
  <c r="BK37" i="6"/>
  <c r="BK21" i="6"/>
  <c r="BI21" i="6"/>
  <c r="BJ21" i="6"/>
  <c r="BL21" i="6" s="1"/>
  <c r="BL43" i="6" l="1"/>
  <c r="BL50" i="6"/>
  <c r="BL37" i="6"/>
  <c r="BL15" i="6"/>
  <c r="BL14" i="6"/>
  <c r="BL29" i="6"/>
  <c r="BL30" i="6"/>
  <c r="BL38" i="6"/>
  <c r="BL23" i="6"/>
  <c r="BL12" i="6"/>
  <c r="BL35" i="6"/>
  <c r="BL11" i="6"/>
  <c r="BL45" i="6"/>
  <c r="BK9" i="6"/>
  <c r="BJ9" i="6"/>
  <c r="BL9" i="6" s="1"/>
  <c r="BL60" i="6" s="1"/>
  <c r="BI9" i="6"/>
  <c r="BL10" i="6"/>
  <c r="BL32" i="6"/>
  <c r="BL26" i="6"/>
  <c r="BL16" i="6"/>
  <c r="BL44" i="6"/>
  <c r="BL54" i="6"/>
  <c r="BL22" i="6"/>
  <c r="BL13" i="6"/>
  <c r="BM9" i="6" a="1"/>
  <c r="BM9" i="6" l="1"/>
  <c r="BN9" i="6" s="1"/>
  <c r="BN55" i="6"/>
  <c r="BN11" i="6"/>
  <c r="BN12" i="6"/>
  <c r="BN13" i="6"/>
  <c r="BN10" i="6"/>
  <c r="BN19" i="6"/>
  <c r="BN22" i="6"/>
  <c r="BN23" i="6"/>
  <c r="BN25" i="6"/>
  <c r="BN27" i="6"/>
  <c r="BN30" i="6"/>
  <c r="BN52" i="6"/>
  <c r="BN58" i="6"/>
  <c r="BN15" i="6"/>
  <c r="BN16" i="6"/>
  <c r="BN17" i="6"/>
  <c r="BN14" i="6"/>
  <c r="BN20" i="6"/>
  <c r="BN21" i="6"/>
  <c r="BN24" i="6"/>
  <c r="BN26" i="6"/>
  <c r="BN28" i="6"/>
  <c r="BN29" i="6"/>
  <c r="BN51" i="6"/>
  <c r="BN56" i="6"/>
  <c r="BN31" i="6"/>
  <c r="BN32" i="6"/>
  <c r="BN33" i="6"/>
  <c r="BN34" i="6"/>
  <c r="BN18" i="6"/>
  <c r="BN44" i="6"/>
  <c r="BN46" i="6"/>
  <c r="BN47" i="6"/>
  <c r="BN49" i="6"/>
  <c r="BN57" i="6"/>
  <c r="BN35" i="6"/>
  <c r="BN36" i="6"/>
  <c r="BN37" i="6"/>
  <c r="BN38" i="6"/>
  <c r="BN39" i="6"/>
  <c r="BN40" i="6"/>
  <c r="BN41" i="6"/>
  <c r="BN42" i="6"/>
  <c r="BN43" i="6"/>
  <c r="BN45" i="6"/>
  <c r="BN50" i="6"/>
  <c r="BN48" i="6"/>
  <c r="BN54" i="6"/>
  <c r="BN53" i="6"/>
  <c r="BN60" i="6" l="1"/>
  <c r="BN6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<sst xmlns="http://schemas.openxmlformats.org/spreadsheetml/2006/main" count="317" uniqueCount="193">
  <si>
    <t xml:space="preserve"> </t>
  </si>
  <si>
    <t>σeff (mid)</t>
  </si>
  <si>
    <t>d (mid)</t>
  </si>
  <si>
    <t xml:space="preserve">σeff </t>
  </si>
  <si>
    <t>u</t>
  </si>
  <si>
    <t>σt</t>
  </si>
  <si>
    <t>depth</t>
  </si>
  <si>
    <t>denisty</t>
  </si>
  <si>
    <t>h</t>
  </si>
  <si>
    <t>water denisty</t>
  </si>
  <si>
    <t>ground water taple</t>
  </si>
  <si>
    <t>geostatic loads</t>
  </si>
  <si>
    <t>df</t>
  </si>
  <si>
    <t>dphi</t>
  </si>
  <si>
    <t>dA</t>
  </si>
  <si>
    <t>s</t>
  </si>
  <si>
    <t>r</t>
  </si>
  <si>
    <t>Y</t>
  </si>
  <si>
    <t>X</t>
  </si>
  <si>
    <t>dy</t>
  </si>
  <si>
    <t>dx</t>
  </si>
  <si>
    <t>y</t>
  </si>
  <si>
    <t>x</t>
  </si>
  <si>
    <t>index</t>
  </si>
  <si>
    <t>stress</t>
  </si>
  <si>
    <t>load</t>
  </si>
  <si>
    <t>D</t>
  </si>
  <si>
    <t>note that method used is highly approximate with increasing accuricy away from loadded surface where stress due each element</t>
  </si>
  <si>
    <t>z</t>
  </si>
  <si>
    <t>the position of the point of inspection is first inputted, depth of foundation, and the uniform loaded stress on area.</t>
  </si>
  <si>
    <t>τxy</t>
  </si>
  <si>
    <t>τxz</t>
  </si>
  <si>
    <t>τyz</t>
  </si>
  <si>
    <t>σz</t>
  </si>
  <si>
    <t>σy</t>
  </si>
  <si>
    <t>σx</t>
  </si>
  <si>
    <t>l</t>
  </si>
  <si>
    <t>w</t>
  </si>
  <si>
    <t>Point</t>
  </si>
  <si>
    <t xml:space="preserve">load </t>
  </si>
  <si>
    <t>b</t>
  </si>
  <si>
    <t xml:space="preserve">P </t>
  </si>
  <si>
    <t>Line_load(q , L, x , y , z , Optional num= 30, Optional poss = 0.45)</t>
  </si>
  <si>
    <t>point from center of rectangle</t>
  </si>
  <si>
    <t>point of inspection</t>
  </si>
  <si>
    <t>uniform line horizontal load</t>
  </si>
  <si>
    <t>uniform load on rectangular area</t>
  </si>
  <si>
    <t>point load</t>
  </si>
  <si>
    <t>Iq</t>
  </si>
  <si>
    <t>Z</t>
  </si>
  <si>
    <t>L</t>
  </si>
  <si>
    <t>B</t>
  </si>
  <si>
    <t>q</t>
  </si>
  <si>
    <t>under corner of Rectangular loaded area</t>
  </si>
  <si>
    <t>under center of Rectangular loaded area</t>
  </si>
  <si>
    <t>under center of Circular loaded area</t>
  </si>
  <si>
    <t>total setelment</t>
  </si>
  <si>
    <t>S</t>
  </si>
  <si>
    <t>settelment</t>
  </si>
  <si>
    <t>U</t>
  </si>
  <si>
    <t>ut</t>
  </si>
  <si>
    <t>Sp</t>
  </si>
  <si>
    <t>A12</t>
  </si>
  <si>
    <t>A11</t>
  </si>
  <si>
    <t>Δσ</t>
  </si>
  <si>
    <t>σf</t>
  </si>
  <si>
    <t>Δσ new</t>
  </si>
  <si>
    <t>σ4</t>
  </si>
  <si>
    <t>A10</t>
  </si>
  <si>
    <t>A9</t>
  </si>
  <si>
    <t>σ3</t>
  </si>
  <si>
    <t>A8</t>
  </si>
  <si>
    <t>A7</t>
  </si>
  <si>
    <t>σ2</t>
  </si>
  <si>
    <t>A6</t>
  </si>
  <si>
    <t>A5</t>
  </si>
  <si>
    <t>σ0</t>
  </si>
  <si>
    <t>u exc</t>
  </si>
  <si>
    <t>A4</t>
  </si>
  <si>
    <t>A3</t>
  </si>
  <si>
    <t xml:space="preserve">σ0 </t>
  </si>
  <si>
    <t>A2</t>
  </si>
  <si>
    <t>A1</t>
  </si>
  <si>
    <t>σf(mid)</t>
  </si>
  <si>
    <t xml:space="preserve">σg </t>
  </si>
  <si>
    <t>σc</t>
  </si>
  <si>
    <t>σm</t>
  </si>
  <si>
    <t xml:space="preserve">Drinage </t>
  </si>
  <si>
    <t>weight</t>
  </si>
  <si>
    <t>C v</t>
  </si>
  <si>
    <t>C c</t>
  </si>
  <si>
    <t>C r</t>
  </si>
  <si>
    <t>e0</t>
  </si>
  <si>
    <t>H</t>
  </si>
  <si>
    <t>T final</t>
  </si>
  <si>
    <t>Interval 6</t>
  </si>
  <si>
    <t>Interval 5</t>
  </si>
  <si>
    <t>Interval 4</t>
  </si>
  <si>
    <t>Interval 3</t>
  </si>
  <si>
    <t>Interval 2</t>
  </si>
  <si>
    <t>Interval 1</t>
  </si>
  <si>
    <t>soil proberties</t>
  </si>
  <si>
    <t>layers</t>
  </si>
  <si>
    <t>t</t>
  </si>
  <si>
    <t>start time</t>
  </si>
  <si>
    <t>σg 0(total)</t>
  </si>
  <si>
    <t xml:space="preserve">top Layer own weight </t>
  </si>
  <si>
    <t>yw</t>
  </si>
  <si>
    <t>dt</t>
  </si>
  <si>
    <t>element time period</t>
  </si>
  <si>
    <t>GWL</t>
  </si>
  <si>
    <t>ground water level</t>
  </si>
  <si>
    <t>dz</t>
  </si>
  <si>
    <t>element layer debth</t>
  </si>
  <si>
    <t>n</t>
  </si>
  <si>
    <t>number of layer</t>
  </si>
  <si>
    <t>H0</t>
  </si>
  <si>
    <t>depth of top layer</t>
  </si>
  <si>
    <t>=P/A/Se</t>
  </si>
  <si>
    <t>ton/m2/cm</t>
  </si>
  <si>
    <t>KE</t>
  </si>
  <si>
    <t xml:space="preserve">Elastic Spring Coff. </t>
  </si>
  <si>
    <t>cm</t>
  </si>
  <si>
    <t>Se</t>
  </si>
  <si>
    <t xml:space="preserve">Elastic settelment </t>
  </si>
  <si>
    <t>ton/m2</t>
  </si>
  <si>
    <t>BC</t>
  </si>
  <si>
    <t>Bearing Capacity</t>
  </si>
  <si>
    <t>SF des</t>
  </si>
  <si>
    <t>Design Safty factor</t>
  </si>
  <si>
    <t>SF act</t>
  </si>
  <si>
    <t xml:space="preserve">Actual safty factor </t>
  </si>
  <si>
    <t>f</t>
  </si>
  <si>
    <t>Footing Bearing stress</t>
  </si>
  <si>
    <t>SF</t>
  </si>
  <si>
    <t>qult</t>
  </si>
  <si>
    <t>Ys B</t>
  </si>
  <si>
    <t>ys</t>
  </si>
  <si>
    <t>qD(top)</t>
  </si>
  <si>
    <t>Ny</t>
  </si>
  <si>
    <t>Nq</t>
  </si>
  <si>
    <t>Nc</t>
  </si>
  <si>
    <t>Δσ(bottom)</t>
  </si>
  <si>
    <t>E(ton/m2)</t>
  </si>
  <si>
    <t>phi</t>
  </si>
  <si>
    <t>c</t>
  </si>
  <si>
    <t>Z (mid)</t>
  </si>
  <si>
    <t>layer</t>
  </si>
  <si>
    <t>safty factor</t>
  </si>
  <si>
    <t>lower face</t>
  </si>
  <si>
    <t>top face</t>
  </si>
  <si>
    <t>induced stress</t>
  </si>
  <si>
    <t>Soil analysis</t>
  </si>
  <si>
    <t>lmd y</t>
  </si>
  <si>
    <t>shape correction</t>
  </si>
  <si>
    <t>lmd c</t>
  </si>
  <si>
    <t>m</t>
  </si>
  <si>
    <t>Bn</t>
  </si>
  <si>
    <t>modefied width</t>
  </si>
  <si>
    <t>Ln</t>
  </si>
  <si>
    <t>modefied length</t>
  </si>
  <si>
    <t>r&gt;0</t>
  </si>
  <si>
    <t>fmin/fmax</t>
  </si>
  <si>
    <t>stressing ratio</t>
  </si>
  <si>
    <t>f(min)</t>
  </si>
  <si>
    <t>minum stress</t>
  </si>
  <si>
    <t>f(max)</t>
  </si>
  <si>
    <t>maxium stress</t>
  </si>
  <si>
    <t>ton/m3</t>
  </si>
  <si>
    <t>water weight</t>
  </si>
  <si>
    <t>yc</t>
  </si>
  <si>
    <t>concrete weight</t>
  </si>
  <si>
    <t>qd</t>
  </si>
  <si>
    <t>over burden pressure</t>
  </si>
  <si>
    <t>GWT</t>
  </si>
  <si>
    <t>Ground Water Level</t>
  </si>
  <si>
    <t>Z0</t>
  </si>
  <si>
    <t>depth of Foundation</t>
  </si>
  <si>
    <t>soil properties</t>
  </si>
  <si>
    <t>tc</t>
  </si>
  <si>
    <t>thickness</t>
  </si>
  <si>
    <t>Width</t>
  </si>
  <si>
    <t>Length</t>
  </si>
  <si>
    <t>footing</t>
  </si>
  <si>
    <t>ey</t>
  </si>
  <si>
    <t>eccentricity in y</t>
  </si>
  <si>
    <t>ex</t>
  </si>
  <si>
    <t>eccentricity in x</t>
  </si>
  <si>
    <t>ton</t>
  </si>
  <si>
    <t>P</t>
  </si>
  <si>
    <t>Total vertical load</t>
  </si>
  <si>
    <t>Loads</t>
  </si>
  <si>
    <t>Geotechnical Design Of Footing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</si>
</sst>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00000"/>
    <numFmt numFmtId="166" formatCode="0.0000"/>
    <numFmt numFmtId="167" formatCode="0.0%"/>
    <numFmt numFmtId="168" formatCode="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rgb="FF3F3F3F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6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1" fillId="4" borderId="3" applyNumberFormat="0" applyFont="0" applyAlignment="0" applyProtection="0"/>
    <xf numFmtId="9" fontId="1" fillId="0" borderId="0" applyFont="0" applyFill="0" applyBorder="0" applyAlignment="0" applyProtection="0"/>
  </cellStyleXfs>
  <cellXfs count="202">
    <xf numFmtId="0" fontId="0" fillId="0" borderId="0" xfId="0"/>
    <xf numFmtId="0" fontId="0" fillId="0" borderId="4" xfId="0" applyBorder="1"/>
    <xf numFmtId="0" fontId="2" fillId="2" borderId="4" xfId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2" borderId="9" xfId="1" applyBorder="1"/>
    <xf numFmtId="0" fontId="0" fillId="0" borderId="11" xfId="0" applyBorder="1" applyAlignment="1">
      <alignment horizontal="center"/>
    </xf>
    <xf numFmtId="0" fontId="6" fillId="5" borderId="2" xfId="2" applyFont="1" applyFill="1"/>
    <xf numFmtId="2" fontId="3" fillId="3" borderId="2" xfId="2" applyNumberFormat="1"/>
    <xf numFmtId="164" fontId="0" fillId="4" borderId="3" xfId="4" applyNumberFormat="1" applyFont="1"/>
    <xf numFmtId="0" fontId="0" fillId="0" borderId="16" xfId="0" applyBorder="1"/>
    <xf numFmtId="0" fontId="0" fillId="6" borderId="4" xfId="0" applyFill="1" applyBorder="1"/>
    <xf numFmtId="164" fontId="2" fillId="7" borderId="1" xfId="1" applyNumberFormat="1" applyFill="1"/>
    <xf numFmtId="0" fontId="0" fillId="6" borderId="16" xfId="0" applyFill="1" applyBorder="1"/>
    <xf numFmtId="0" fontId="0" fillId="8" borderId="17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0" borderId="20" xfId="0" applyBorder="1"/>
    <xf numFmtId="0" fontId="0" fillId="0" borderId="0" xfId="0" applyAlignment="1">
      <alignment vertical="center" wrapText="1"/>
    </xf>
    <xf numFmtId="164" fontId="0" fillId="9" borderId="4" xfId="0" applyNumberFormat="1" applyFill="1" applyBorder="1" applyAlignment="1">
      <alignment horizontal="center"/>
    </xf>
    <xf numFmtId="164" fontId="0" fillId="10" borderId="4" xfId="0" applyNumberFormat="1" applyFill="1" applyBorder="1" applyAlignment="1">
      <alignment horizontal="center"/>
    </xf>
    <xf numFmtId="0" fontId="0" fillId="0" borderId="14" xfId="0" applyBorder="1"/>
    <xf numFmtId="164" fontId="0" fillId="10" borderId="22" xfId="0" applyNumberFormat="1" applyFill="1" applyBorder="1" applyAlignment="1">
      <alignment horizontal="center"/>
    </xf>
    <xf numFmtId="0" fontId="0" fillId="0" borderId="23" xfId="0" applyBorder="1" applyAlignment="1">
      <alignment horizontal="center"/>
    </xf>
    <xf numFmtId="165" fontId="0" fillId="0" borderId="0" xfId="0" applyNumberFormat="1"/>
    <xf numFmtId="11" fontId="0" fillId="0" borderId="0" xfId="0" applyNumberFormat="1"/>
    <xf numFmtId="166" fontId="0" fillId="0" borderId="0" xfId="0" applyNumberFormat="1"/>
    <xf numFmtId="0" fontId="0" fillId="7" borderId="6" xfId="0" applyFill="1" applyBorder="1"/>
    <xf numFmtId="0" fontId="9" fillId="7" borderId="6" xfId="0" applyFont="1" applyFill="1" applyBorder="1"/>
    <xf numFmtId="0" fontId="0" fillId="11" borderId="6" xfId="0" applyFill="1" applyBorder="1"/>
    <xf numFmtId="0" fontId="0" fillId="12" borderId="6" xfId="0" applyFill="1" applyBorder="1"/>
    <xf numFmtId="0" fontId="0" fillId="12" borderId="7" xfId="0" applyFill="1" applyBorder="1"/>
    <xf numFmtId="0" fontId="0" fillId="7" borderId="27" xfId="0" applyFill="1" applyBorder="1"/>
    <xf numFmtId="0" fontId="0" fillId="7" borderId="9" xfId="0" applyFill="1" applyBorder="1"/>
    <xf numFmtId="0" fontId="9" fillId="7" borderId="9" xfId="0" applyFont="1" applyFill="1" applyBorder="1"/>
    <xf numFmtId="0" fontId="0" fillId="11" borderId="9" xfId="0" applyFill="1" applyBorder="1"/>
    <xf numFmtId="0" fontId="0" fillId="12" borderId="9" xfId="0" applyFill="1" applyBorder="1"/>
    <xf numFmtId="0" fontId="0" fillId="12" borderId="10" xfId="0" applyFill="1" applyBorder="1"/>
    <xf numFmtId="0" fontId="0" fillId="0" borderId="30" xfId="0" applyBorder="1" applyAlignment="1">
      <alignment horizontal="center"/>
    </xf>
    <xf numFmtId="0" fontId="3" fillId="3" borderId="31" xfId="2" applyBorder="1" applyAlignment="1">
      <alignment horizontal="center"/>
    </xf>
    <xf numFmtId="0" fontId="0" fillId="0" borderId="31" xfId="0" applyBorder="1" applyAlignment="1">
      <alignment horizontal="center"/>
    </xf>
    <xf numFmtId="0" fontId="2" fillId="2" borderId="31" xfId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8" xfId="0" applyBorder="1" applyAlignment="1">
      <alignment horizontal="center"/>
    </xf>
    <xf numFmtId="0" fontId="3" fillId="3" borderId="0" xfId="2" applyBorder="1" applyAlignment="1">
      <alignment horizontal="center"/>
    </xf>
    <xf numFmtId="0" fontId="0" fillId="0" borderId="0" xfId="0" applyAlignment="1">
      <alignment horizontal="center"/>
    </xf>
    <xf numFmtId="0" fontId="2" fillId="2" borderId="0" xfId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7" borderId="8" xfId="0" applyFill="1" applyBorder="1"/>
    <xf numFmtId="0" fontId="0" fillId="0" borderId="0" xfId="0" applyAlignment="1">
      <alignment horizontal="center" vertical="center"/>
    </xf>
    <xf numFmtId="0" fontId="2" fillId="4" borderId="0" xfId="4" applyFont="1" applyBorder="1" applyAlignment="1">
      <alignment horizontal="center"/>
    </xf>
    <xf numFmtId="2" fontId="0" fillId="0" borderId="0" xfId="0" applyNumberFormat="1"/>
    <xf numFmtId="167" fontId="0" fillId="0" borderId="0" xfId="5" applyNumberFormat="1" applyFont="1"/>
    <xf numFmtId="0" fontId="0" fillId="0" borderId="0" xfId="0" applyAlignment="1">
      <alignment horizontal="left" vertical="center" indent="1"/>
    </xf>
    <xf numFmtId="2" fontId="3" fillId="6" borderId="34" xfId="2" applyNumberFormat="1" applyFill="1" applyBorder="1"/>
    <xf numFmtId="167" fontId="3" fillId="6" borderId="34" xfId="5" applyNumberFormat="1" applyFont="1" applyFill="1" applyBorder="1"/>
    <xf numFmtId="9" fontId="0" fillId="0" borderId="21" xfId="5" applyFont="1" applyBorder="1"/>
    <xf numFmtId="0" fontId="0" fillId="0" borderId="15" xfId="0" applyBorder="1"/>
    <xf numFmtId="2" fontId="0" fillId="0" borderId="15" xfId="0" applyNumberFormat="1" applyBorder="1"/>
    <xf numFmtId="167" fontId="0" fillId="0" borderId="21" xfId="5" applyNumberFormat="1" applyFont="1" applyBorder="1"/>
    <xf numFmtId="2" fontId="0" fillId="0" borderId="14" xfId="0" applyNumberFormat="1" applyBorder="1"/>
    <xf numFmtId="9" fontId="0" fillId="0" borderId="16" xfId="5" applyFont="1" applyBorder="1"/>
    <xf numFmtId="0" fontId="2" fillId="2" borderId="35" xfId="1" applyBorder="1"/>
    <xf numFmtId="2" fontId="0" fillId="0" borderId="6" xfId="0" applyNumberFormat="1" applyBorder="1"/>
    <xf numFmtId="167" fontId="0" fillId="0" borderId="6" xfId="5" applyNumberFormat="1" applyFont="1" applyBorder="1"/>
    <xf numFmtId="0" fontId="2" fillId="2" borderId="36" xfId="1" applyBorder="1"/>
    <xf numFmtId="0" fontId="2" fillId="2" borderId="35" xfId="1" applyBorder="1" applyAlignment="1">
      <alignment horizont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left" vertical="center" indent="1"/>
    </xf>
    <xf numFmtId="0" fontId="2" fillId="2" borderId="1" xfId="1"/>
    <xf numFmtId="2" fontId="0" fillId="0" borderId="4" xfId="0" applyNumberFormat="1" applyBorder="1"/>
    <xf numFmtId="167" fontId="0" fillId="0" borderId="4" xfId="5" applyNumberFormat="1" applyFont="1" applyBorder="1"/>
    <xf numFmtId="0" fontId="2" fillId="2" borderId="37" xfId="1" applyBorder="1"/>
    <xf numFmtId="0" fontId="2" fillId="2" borderId="38" xfId="1" applyBorder="1"/>
    <xf numFmtId="0" fontId="2" fillId="2" borderId="1" xfId="1" applyAlignment="1">
      <alignment horizontal="center"/>
    </xf>
    <xf numFmtId="0" fontId="0" fillId="0" borderId="4" xfId="0" applyBorder="1" applyAlignment="1">
      <alignment horizontal="left" vertical="center" indent="1"/>
    </xf>
    <xf numFmtId="0" fontId="0" fillId="0" borderId="11" xfId="0" applyBorder="1" applyAlignment="1">
      <alignment horizontal="left" vertical="center" indent="1"/>
    </xf>
    <xf numFmtId="0" fontId="2" fillId="2" borderId="39" xfId="1" applyBorder="1"/>
    <xf numFmtId="0" fontId="2" fillId="2" borderId="37" xfId="1" applyBorder="1" applyAlignment="1">
      <alignment horizontal="center"/>
    </xf>
    <xf numFmtId="2" fontId="0" fillId="0" borderId="16" xfId="0" applyNumberFormat="1" applyBorder="1"/>
    <xf numFmtId="167" fontId="0" fillId="0" borderId="16" xfId="5" applyNumberFormat="1" applyFont="1" applyBorder="1"/>
    <xf numFmtId="0" fontId="0" fillId="0" borderId="16" xfId="0" applyBorder="1" applyAlignment="1">
      <alignment horizontal="left" vertical="center" indent="1"/>
    </xf>
    <xf numFmtId="0" fontId="0" fillId="0" borderId="40" xfId="0" applyBorder="1" applyAlignment="1">
      <alignment horizontal="left" vertical="center" indent="1"/>
    </xf>
    <xf numFmtId="0" fontId="0" fillId="0" borderId="6" xfId="0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2" fillId="7" borderId="1" xfId="1" applyFill="1"/>
    <xf numFmtId="2" fontId="0" fillId="0" borderId="0" xfId="0" applyNumberFormat="1" applyAlignment="1">
      <alignment horizontal="center"/>
    </xf>
    <xf numFmtId="167" fontId="0" fillId="0" borderId="0" xfId="5" applyNumberFormat="1" applyFont="1" applyAlignment="1">
      <alignment horizontal="left" vertical="center" indent="1"/>
    </xf>
    <xf numFmtId="2" fontId="0" fillId="0" borderId="0" xfId="0" applyNumberFormat="1" applyAlignment="1">
      <alignment horizontal="left" vertical="center" indent="1"/>
    </xf>
    <xf numFmtId="0" fontId="0" fillId="7" borderId="4" xfId="0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0" fontId="4" fillId="3" borderId="42" xfId="3" applyBorder="1"/>
    <xf numFmtId="0" fontId="4" fillId="3" borderId="1" xfId="3"/>
    <xf numFmtId="0" fontId="0" fillId="17" borderId="0" xfId="0" applyFill="1"/>
    <xf numFmtId="2" fontId="0" fillId="17" borderId="0" xfId="0" applyNumberFormat="1" applyFill="1" applyAlignment="1">
      <alignment horizontal="center"/>
    </xf>
    <xf numFmtId="2" fontId="0" fillId="17" borderId="0" xfId="0" applyNumberFormat="1" applyFill="1"/>
    <xf numFmtId="168" fontId="0" fillId="17" borderId="0" xfId="0" applyNumberFormat="1" applyFill="1" applyAlignment="1">
      <alignment horizontal="center"/>
    </xf>
    <xf numFmtId="0" fontId="0" fillId="17" borderId="0" xfId="0" applyFill="1" applyAlignment="1">
      <alignment horizontal="center"/>
    </xf>
    <xf numFmtId="0" fontId="11" fillId="17" borderId="0" xfId="0" applyFont="1" applyFill="1" applyAlignment="1">
      <alignment horizontal="center"/>
    </xf>
    <xf numFmtId="0" fontId="11" fillId="17" borderId="0" xfId="0" applyFont="1" applyFill="1" applyAlignment="1">
      <alignment horizontal="left" indent="1"/>
    </xf>
    <xf numFmtId="164" fontId="12" fillId="17" borderId="0" xfId="2" applyNumberFormat="1" applyFont="1" applyFill="1" applyBorder="1" applyAlignment="1">
      <alignment horizontal="center"/>
    </xf>
    <xf numFmtId="164" fontId="13" fillId="17" borderId="0" xfId="2" applyNumberFormat="1" applyFont="1" applyFill="1" applyBorder="1" applyAlignment="1">
      <alignment horizontal="center"/>
    </xf>
    <xf numFmtId="2" fontId="0" fillId="18" borderId="30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2" fontId="0" fillId="18" borderId="31" xfId="0" applyNumberFormat="1" applyFill="1" applyBorder="1"/>
    <xf numFmtId="168" fontId="0" fillId="18" borderId="31" xfId="0" applyNumberFormat="1" applyFill="1" applyBorder="1" applyAlignment="1">
      <alignment horizontal="center"/>
    </xf>
    <xf numFmtId="0" fontId="0" fillId="18" borderId="31" xfId="0" applyFill="1" applyBorder="1" applyAlignment="1">
      <alignment horizontal="center"/>
    </xf>
    <xf numFmtId="0" fontId="11" fillId="18" borderId="31" xfId="0" applyFont="1" applyFill="1" applyBorder="1" applyAlignment="1">
      <alignment horizontal="center"/>
    </xf>
    <xf numFmtId="0" fontId="11" fillId="18" borderId="31" xfId="0" applyFont="1" applyFill="1" applyBorder="1" applyAlignment="1">
      <alignment horizontal="left" indent="1"/>
    </xf>
    <xf numFmtId="0" fontId="11" fillId="18" borderId="32" xfId="0" applyFont="1" applyFill="1" applyBorder="1" applyAlignment="1">
      <alignment horizontal="left" indent="1"/>
    </xf>
    <xf numFmtId="2" fontId="0" fillId="18" borderId="8" xfId="0" applyNumberFormat="1" applyFill="1" applyBorder="1" applyAlignment="1">
      <alignment horizontal="center"/>
    </xf>
    <xf numFmtId="2" fontId="0" fillId="18" borderId="0" xfId="0" applyNumberFormat="1" applyFill="1" applyAlignment="1">
      <alignment horizontal="center"/>
    </xf>
    <xf numFmtId="2" fontId="0" fillId="18" borderId="0" xfId="0" applyNumberFormat="1" applyFill="1"/>
    <xf numFmtId="168" fontId="14" fillId="18" borderId="0" xfId="2" applyNumberFormat="1" applyFont="1" applyFill="1" applyBorder="1" applyAlignment="1">
      <alignment horizontal="center"/>
    </xf>
    <xf numFmtId="0" fontId="0" fillId="18" borderId="0" xfId="0" applyFill="1" applyAlignment="1">
      <alignment horizontal="center"/>
    </xf>
    <xf numFmtId="0" fontId="11" fillId="18" borderId="0" xfId="0" applyFont="1" applyFill="1" applyAlignment="1">
      <alignment horizontal="center"/>
    </xf>
    <xf numFmtId="0" fontId="11" fillId="18" borderId="0" xfId="0" applyFont="1" applyFill="1" applyAlignment="1">
      <alignment horizontal="left" indent="1"/>
    </xf>
    <xf numFmtId="0" fontId="11" fillId="18" borderId="20" xfId="0" applyFont="1" applyFill="1" applyBorder="1" applyAlignment="1">
      <alignment horizontal="left" indent="1"/>
    </xf>
    <xf numFmtId="168" fontId="0" fillId="18" borderId="0" xfId="0" applyNumberFormat="1" applyFill="1" applyAlignment="1">
      <alignment horizontal="center"/>
    </xf>
    <xf numFmtId="0" fontId="0" fillId="18" borderId="0" xfId="0" quotePrefix="1" applyFill="1" applyAlignment="1">
      <alignment horizontal="center"/>
    </xf>
    <xf numFmtId="164" fontId="3" fillId="6" borderId="2" xfId="2" applyNumberFormat="1" applyFill="1" applyAlignment="1">
      <alignment horizontal="center"/>
    </xf>
    <xf numFmtId="0" fontId="7" fillId="18" borderId="0" xfId="0" applyFont="1" applyFill="1" applyAlignment="1">
      <alignment horizontal="center"/>
    </xf>
    <xf numFmtId="168" fontId="3" fillId="6" borderId="2" xfId="2" applyNumberFormat="1" applyFill="1" applyAlignment="1">
      <alignment horizontal="center"/>
    </xf>
    <xf numFmtId="0" fontId="3" fillId="6" borderId="34" xfId="2" applyFill="1" applyBorder="1" applyAlignment="1">
      <alignment horizontal="center"/>
    </xf>
    <xf numFmtId="0" fontId="3" fillId="6" borderId="2" xfId="2" applyFill="1" applyAlignment="1">
      <alignment horizontal="center"/>
    </xf>
    <xf numFmtId="0" fontId="14" fillId="17" borderId="0" xfId="2" applyFont="1" applyFill="1" applyBorder="1"/>
    <xf numFmtId="0" fontId="5" fillId="17" borderId="0" xfId="3" applyFont="1" applyFill="1" applyBorder="1" applyAlignment="1">
      <alignment horizontal="center"/>
    </xf>
    <xf numFmtId="0" fontId="15" fillId="17" borderId="0" xfId="0" applyFont="1" applyFill="1" applyAlignment="1">
      <alignment horizontal="center" vertical="center"/>
    </xf>
    <xf numFmtId="0" fontId="15" fillId="17" borderId="0" xfId="4" applyFont="1" applyFill="1" applyBorder="1" applyAlignment="1">
      <alignment horizontal="center" vertical="center"/>
    </xf>
    <xf numFmtId="0" fontId="0" fillId="17" borderId="0" xfId="4" applyFont="1" applyFill="1" applyBorder="1" applyAlignment="1">
      <alignment horizontal="center"/>
    </xf>
    <xf numFmtId="2" fontId="0" fillId="18" borderId="4" xfId="0" applyNumberFormat="1" applyFill="1" applyBorder="1" applyAlignment="1">
      <alignment horizontal="center"/>
    </xf>
    <xf numFmtId="2" fontId="0" fillId="18" borderId="4" xfId="0" applyNumberFormat="1" applyFill="1" applyBorder="1"/>
    <xf numFmtId="168" fontId="0" fillId="18" borderId="4" xfId="0" applyNumberFormat="1" applyFill="1" applyBorder="1" applyAlignment="1" applyProtection="1">
      <alignment horizontal="center"/>
      <protection locked="0"/>
    </xf>
    <xf numFmtId="2" fontId="0" fillId="18" borderId="4" xfId="0" applyNumberFormat="1" applyFill="1" applyBorder="1" applyAlignment="1" applyProtection="1">
      <alignment horizontal="center"/>
      <protection locked="0"/>
    </xf>
    <xf numFmtId="0" fontId="2" fillId="2" borderId="4" xfId="1" applyBorder="1" applyAlignment="1">
      <alignment horizontal="center"/>
    </xf>
    <xf numFmtId="0" fontId="2" fillId="2" borderId="4" xfId="1" applyBorder="1" applyAlignment="1" applyProtection="1">
      <alignment horizontal="center"/>
      <protection locked="0"/>
    </xf>
    <xf numFmtId="2" fontId="0" fillId="18" borderId="4" xfId="4" applyNumberFormat="1" applyFont="1" applyFill="1" applyBorder="1" applyAlignment="1" applyProtection="1">
      <alignment horizontal="center"/>
      <protection locked="0"/>
    </xf>
    <xf numFmtId="0" fontId="11" fillId="18" borderId="4" xfId="0" applyFont="1" applyFill="1" applyBorder="1" applyAlignment="1" applyProtection="1">
      <alignment horizontal="left" indent="1"/>
      <protection locked="0"/>
    </xf>
    <xf numFmtId="168" fontId="0" fillId="18" borderId="4" xfId="0" applyNumberFormat="1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11" fillId="18" borderId="4" xfId="0" applyFont="1" applyFill="1" applyBorder="1" applyAlignment="1">
      <alignment horizontal="center"/>
    </xf>
    <xf numFmtId="0" fontId="11" fillId="18" borderId="4" xfId="0" applyFont="1" applyFill="1" applyBorder="1" applyAlignment="1">
      <alignment horizontal="left" indent="1"/>
    </xf>
    <xf numFmtId="0" fontId="0" fillId="18" borderId="8" xfId="0" applyFill="1" applyBorder="1" applyAlignment="1">
      <alignment horizontal="center"/>
    </xf>
    <xf numFmtId="0" fontId="11" fillId="18" borderId="0" xfId="4" applyFont="1" applyFill="1" applyBorder="1" applyAlignment="1">
      <alignment horizontal="center"/>
    </xf>
    <xf numFmtId="0" fontId="10" fillId="18" borderId="0" xfId="0" applyFont="1" applyFill="1" applyAlignment="1">
      <alignment horizontal="center"/>
    </xf>
    <xf numFmtId="0" fontId="11" fillId="18" borderId="0" xfId="2" applyFont="1" applyFill="1" applyBorder="1" applyAlignment="1">
      <alignment horizontal="center"/>
    </xf>
    <xf numFmtId="0" fontId="11" fillId="18" borderId="0" xfId="0" applyFont="1" applyFill="1" applyAlignment="1">
      <alignment horizontal="left" indent="1" readingOrder="1"/>
    </xf>
    <xf numFmtId="0" fontId="11" fillId="18" borderId="20" xfId="0" applyFont="1" applyFill="1" applyBorder="1" applyAlignment="1">
      <alignment horizontal="left" indent="1" readingOrder="1"/>
    </xf>
    <xf numFmtId="2" fontId="11" fillId="18" borderId="0" xfId="0" applyNumberFormat="1" applyFont="1" applyFill="1" applyAlignment="1">
      <alignment readingOrder="1"/>
    </xf>
    <xf numFmtId="0" fontId="10" fillId="18" borderId="0" xfId="0" applyFont="1" applyFill="1" applyAlignment="1">
      <alignment horizontal="center" readingOrder="1"/>
    </xf>
    <xf numFmtId="0" fontId="16" fillId="18" borderId="15" xfId="0" applyFont="1" applyFill="1" applyBorder="1" applyAlignment="1">
      <alignment horizontal="center"/>
    </xf>
    <xf numFmtId="0" fontId="16" fillId="18" borderId="14" xfId="0" applyFont="1" applyFill="1" applyBorder="1" applyAlignment="1">
      <alignment horizontal="center"/>
    </xf>
    <xf numFmtId="0" fontId="16" fillId="18" borderId="21" xfId="0" applyFont="1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15" fillId="18" borderId="20" xfId="0" applyFont="1" applyFill="1" applyBorder="1" applyAlignment="1">
      <alignment horizontal="center"/>
    </xf>
    <xf numFmtId="0" fontId="15" fillId="18" borderId="0" xfId="0" applyFont="1" applyFill="1" applyAlignment="1">
      <alignment horizontal="center"/>
    </xf>
    <xf numFmtId="0" fontId="0" fillId="17" borderId="0" xfId="0" applyFill="1"/>
    <xf numFmtId="2" fontId="0" fillId="18" borderId="4" xfId="0" applyNumberFormat="1" applyFill="1" applyBorder="1" applyAlignment="1">
      <alignment horizontal="center"/>
    </xf>
    <xf numFmtId="0" fontId="10" fillId="0" borderId="23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2" fontId="2" fillId="7" borderId="1" xfId="1" applyNumberFormat="1" applyFill="1" applyAlignment="1">
      <alignment horizontal="center" vertical="center"/>
    </xf>
    <xf numFmtId="0" fontId="2" fillId="7" borderId="1" xfId="1" applyFill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11" fontId="0" fillId="0" borderId="33" xfId="0" applyNumberFormat="1" applyBorder="1" applyAlignment="1">
      <alignment horizontal="center"/>
    </xf>
    <xf numFmtId="11" fontId="0" fillId="0" borderId="13" xfId="0" applyNumberFormat="1" applyBorder="1" applyAlignment="1">
      <alignment horizontal="center"/>
    </xf>
    <xf numFmtId="11" fontId="0" fillId="0" borderId="12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4" xfId="0" applyFont="1" applyFill="1" applyBorder="1" applyAlignment="1">
      <alignment horizontal="center"/>
    </xf>
    <xf numFmtId="0" fontId="8" fillId="14" borderId="4" xfId="0" applyFont="1" applyFill="1" applyBorder="1" applyAlignment="1">
      <alignment horizontal="center"/>
    </xf>
    <xf numFmtId="0" fontId="8" fillId="13" borderId="28" xfId="0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/>
    </xf>
    <xf numFmtId="0" fontId="8" fillId="13" borderId="29" xfId="0" applyFont="1" applyFill="1" applyBorder="1" applyAlignment="1">
      <alignment horizontal="center"/>
    </xf>
    <xf numFmtId="0" fontId="8" fillId="16" borderId="15" xfId="0" applyFont="1" applyFill="1" applyBorder="1" applyAlignment="1">
      <alignment horizontal="center"/>
    </xf>
    <xf numFmtId="0" fontId="8" fillId="16" borderId="14" xfId="0" applyFont="1" applyFill="1" applyBorder="1" applyAlignment="1">
      <alignment horizontal="center"/>
    </xf>
    <xf numFmtId="0" fontId="8" fillId="16" borderId="21" xfId="0" applyFont="1" applyFill="1" applyBorder="1" applyAlignment="1">
      <alignment horizontal="center"/>
    </xf>
    <xf numFmtId="0" fontId="8" fillId="14" borderId="25" xfId="0" applyFont="1" applyFill="1" applyBorder="1" applyAlignment="1">
      <alignment horizontal="center"/>
    </xf>
    <xf numFmtId="0" fontId="8" fillId="16" borderId="20" xfId="0" applyFont="1" applyFill="1" applyBorder="1" applyAlignment="1">
      <alignment horizontal="center"/>
    </xf>
    <xf numFmtId="0" fontId="8" fillId="16" borderId="0" xfId="0" applyFont="1" applyFill="1" applyAlignment="1">
      <alignment horizontal="center"/>
    </xf>
    <xf numFmtId="0" fontId="8" fillId="15" borderId="26" xfId="0" applyFont="1" applyFill="1" applyBorder="1" applyAlignment="1">
      <alignment horizontal="center"/>
    </xf>
    <xf numFmtId="0" fontId="8" fillId="15" borderId="25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6">
    <cellStyle name="Calculation" xfId="3" builtinId="22"/>
    <cellStyle name="Input" xfId="1" builtinId="20"/>
    <cellStyle name="Normal" xfId="0" builtinId="0"/>
    <cellStyle name="Note" xfId="4" builtinId="10"/>
    <cellStyle name="Output" xfId="2" builtinId="21"/>
    <cellStyle name="Percent 2" xfId="5" xr:uid="{815AD0E8-C7C9-400D-86D2-D85925CE8E3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228587127904795"/>
          <c:y val="2.3612191176409433E-2"/>
          <c:w val="0.80421188260857313"/>
          <c:h val="0.8637381842340826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'Approximate Stress'!$G$8:$G$23</c:f>
              <c:numCache>
                <c:formatCode>General</c:formatCode>
                <c:ptCount val="16"/>
                <c:pt idx="0">
                  <c:v>0.64644660940672627</c:v>
                </c:pt>
                <c:pt idx="1">
                  <c:v>0.28445824720006729</c:v>
                </c:pt>
                <c:pt idx="2">
                  <c:v>0.14618503175453768</c:v>
                </c:pt>
                <c:pt idx="3">
                  <c:v>8.6924705745569875E-2</c:v>
                </c:pt>
                <c:pt idx="4">
                  <c:v>5.7133965681807619E-2</c:v>
                </c:pt>
                <c:pt idx="5">
                  <c:v>4.0265371406562833E-2</c:v>
                </c:pt>
                <c:pt idx="6">
                  <c:v>2.9849496212056792E-2</c:v>
                </c:pt>
                <c:pt idx="7">
                  <c:v>2.2987936774235052E-2</c:v>
                </c:pt>
                <c:pt idx="8">
                  <c:v>1.8236798676059429E-2</c:v>
                </c:pt>
                <c:pt idx="9">
                  <c:v>1.48146631584265E-2</c:v>
                </c:pt>
                <c:pt idx="10">
                  <c:v>1.2269852601703435E-2</c:v>
                </c:pt>
                <c:pt idx="11">
                  <c:v>1.0326971122326278E-2</c:v>
                </c:pt>
                <c:pt idx="12">
                  <c:v>8.8105408837219068E-3</c:v>
                </c:pt>
                <c:pt idx="13">
                  <c:v>7.6045423003854307E-3</c:v>
                </c:pt>
                <c:pt idx="14">
                  <c:v>6.6298207179777968E-3</c:v>
                </c:pt>
                <c:pt idx="15">
                  <c:v>5.830894585138191E-3</c:v>
                </c:pt>
              </c:numCache>
            </c:numRef>
          </c:xVal>
          <c:yVal>
            <c:numRef>
              <c:f>'Approximate Stress'!$E$8:$E$23</c:f>
              <c:numCache>
                <c:formatCode>General</c:formatCode>
                <c:ptCount val="16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-10</c:v>
                </c:pt>
                <c:pt idx="10">
                  <c:v>-11</c:v>
                </c:pt>
                <c:pt idx="11">
                  <c:v>-12</c:v>
                </c:pt>
                <c:pt idx="12">
                  <c:v>-13</c:v>
                </c:pt>
                <c:pt idx="13">
                  <c:v>-14</c:v>
                </c:pt>
                <c:pt idx="14">
                  <c:v>-15</c:v>
                </c:pt>
                <c:pt idx="15">
                  <c:v>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D1-4AE0-A955-66FCDF8C8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913551"/>
        <c:axId val="1900256415"/>
      </c:scatterChart>
      <c:valAx>
        <c:axId val="1903913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256415"/>
        <c:crosses val="autoZero"/>
        <c:crossBetween val="midCat"/>
      </c:valAx>
      <c:valAx>
        <c:axId val="1900256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913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77175559845841"/>
          <c:y val="5.133455134998479E-2"/>
          <c:w val="0.80421188260857313"/>
          <c:h val="0.8637381842340826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'Approximate Stress'!$N$8:$N$23</c:f>
              <c:numCache>
                <c:formatCode>General</c:formatCode>
                <c:ptCount val="16"/>
                <c:pt idx="0">
                  <c:v>0.99676669326000267</c:v>
                </c:pt>
                <c:pt idx="1">
                  <c:v>0.98044117928787278</c:v>
                </c:pt>
                <c:pt idx="2">
                  <c:v>0.94368936418348892</c:v>
                </c:pt>
                <c:pt idx="3">
                  <c:v>0.89281506885192707</c:v>
                </c:pt>
                <c:pt idx="4">
                  <c:v>0.83506151115338823</c:v>
                </c:pt>
                <c:pt idx="5">
                  <c:v>0.77588987129043829</c:v>
                </c:pt>
                <c:pt idx="6">
                  <c:v>0.71860676266302237</c:v>
                </c:pt>
                <c:pt idx="7">
                  <c:v>0.66492083397834567</c:v>
                </c:pt>
                <c:pt idx="8">
                  <c:v>0.61553869646132031</c:v>
                </c:pt>
                <c:pt idx="9">
                  <c:v>0.57059443251752351</c:v>
                </c:pt>
                <c:pt idx="10">
                  <c:v>0.52991993875245091</c:v>
                </c:pt>
                <c:pt idx="11">
                  <c:v>0.49320397469621113</c:v>
                </c:pt>
                <c:pt idx="12">
                  <c:v>0.46008156864109118</c:v>
                </c:pt>
                <c:pt idx="13">
                  <c:v>0.43018208470343022</c:v>
                </c:pt>
                <c:pt idx="14">
                  <c:v>0.40315350050145937</c:v>
                </c:pt>
                <c:pt idx="15">
                  <c:v>0.37867332247605301</c:v>
                </c:pt>
              </c:numCache>
            </c:numRef>
          </c:xVal>
          <c:yVal>
            <c:numRef>
              <c:f>'Approximate Stress'!$E$8:$E$23</c:f>
              <c:numCache>
                <c:formatCode>General</c:formatCode>
                <c:ptCount val="16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-10</c:v>
                </c:pt>
                <c:pt idx="10">
                  <c:v>-11</c:v>
                </c:pt>
                <c:pt idx="11">
                  <c:v>-12</c:v>
                </c:pt>
                <c:pt idx="12">
                  <c:v>-13</c:v>
                </c:pt>
                <c:pt idx="13">
                  <c:v>-14</c:v>
                </c:pt>
                <c:pt idx="14">
                  <c:v>-15</c:v>
                </c:pt>
                <c:pt idx="15">
                  <c:v>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C4-48A5-9938-111745406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913551"/>
        <c:axId val="1900256415"/>
      </c:scatterChart>
      <c:valAx>
        <c:axId val="1903913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256415"/>
        <c:crosses val="autoZero"/>
        <c:crossBetween val="midCat"/>
      </c:valAx>
      <c:valAx>
        <c:axId val="1900256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913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77175559845841"/>
          <c:y val="5.133455134998479E-2"/>
          <c:w val="0.80421188260857313"/>
          <c:h val="0.8637381842340826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'Approximate Stress'!$U$8:$U$23</c:f>
              <c:numCache>
                <c:formatCode>General</c:formatCode>
                <c:ptCount val="16"/>
                <c:pt idx="0">
                  <c:v>0.24992581187572188</c:v>
                </c:pt>
                <c:pt idx="1">
                  <c:v>0.24919167331500067</c:v>
                </c:pt>
                <c:pt idx="2">
                  <c:v>0.24689875420148746</c:v>
                </c:pt>
                <c:pt idx="3">
                  <c:v>0.24234852581911601</c:v>
                </c:pt>
                <c:pt idx="4">
                  <c:v>0.23528525294436753</c:v>
                </c:pt>
                <c:pt idx="5">
                  <c:v>0.22590072756433158</c:v>
                </c:pt>
                <c:pt idx="6">
                  <c:v>0.2146916618566676</c:v>
                </c:pt>
                <c:pt idx="7">
                  <c:v>0.20228097183773064</c:v>
                </c:pt>
                <c:pt idx="8">
                  <c:v>0.18927614282344418</c:v>
                </c:pt>
                <c:pt idx="9">
                  <c:v>0.17618795866065437</c:v>
                </c:pt>
                <c:pt idx="10">
                  <c:v>0.16340120304985242</c:v>
                </c:pt>
                <c:pt idx="11">
                  <c:v>0.15117839562625479</c:v>
                </c:pt>
                <c:pt idx="12">
                  <c:v>0.13967940487245817</c:v>
                </c:pt>
                <c:pt idx="13">
                  <c:v>0.12898553565452942</c:v>
                </c:pt>
                <c:pt idx="14">
                  <c:v>0.11912203752564846</c:v>
                </c:pt>
                <c:pt idx="15">
                  <c:v>0.11007659946383938</c:v>
                </c:pt>
              </c:numCache>
            </c:numRef>
          </c:xVal>
          <c:yVal>
            <c:numRef>
              <c:f>'Approximate Stress'!$S$8:$S$23</c:f>
              <c:numCache>
                <c:formatCode>General</c:formatCode>
                <c:ptCount val="16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-10</c:v>
                </c:pt>
                <c:pt idx="10">
                  <c:v>-11</c:v>
                </c:pt>
                <c:pt idx="11">
                  <c:v>-12</c:v>
                </c:pt>
                <c:pt idx="12">
                  <c:v>-13</c:v>
                </c:pt>
                <c:pt idx="13">
                  <c:v>-14</c:v>
                </c:pt>
                <c:pt idx="14">
                  <c:v>-15</c:v>
                </c:pt>
                <c:pt idx="15">
                  <c:v>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7A-43F2-9B93-A06D6460B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913551"/>
        <c:axId val="1900256415"/>
      </c:scatterChart>
      <c:valAx>
        <c:axId val="1903913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256415"/>
        <c:crosses val="autoZero"/>
        <c:crossBetween val="midCat"/>
      </c:valAx>
      <c:valAx>
        <c:axId val="1900256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913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'Stress under nonuniform shapes'!$C$10:$C$50</c:f>
              <c:numCache>
                <c:formatCode>0.00000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xVal>
          <c:yVal>
            <c:numRef>
              <c:f>'Stress under nonuniform shapes'!$D$10:$D$50</c:f>
              <c:numCache>
                <c:formatCode>0.00000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7-4F1D-B91A-40ABF858A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963744"/>
        <c:axId val="558972864"/>
      </c:scatterChart>
      <c:valAx>
        <c:axId val="55896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72864"/>
        <c:crosses val="autoZero"/>
        <c:crossBetween val="midCat"/>
      </c:valAx>
      <c:valAx>
        <c:axId val="55897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6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57458</xdr:colOff>
      <xdr:row>0</xdr:row>
      <xdr:rowOff>133865</xdr:rowOff>
    </xdr:from>
    <xdr:ext cx="2952543" cy="1729946"/>
    <xdr:pic>
      <xdr:nvPicPr>
        <xdr:cNvPr id="2" name="Picture 1">
          <a:extLst>
            <a:ext uri="{FF2B5EF4-FFF2-40B4-BE49-F238E27FC236}">
              <a16:creationId xmlns:a16="http://schemas.microsoft.com/office/drawing/2014/main" id="{07FA4BB7-5BD0-4A36-81E1-8EC41CA6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058" y="133865"/>
          <a:ext cx="2952543" cy="172994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600636</xdr:colOff>
      <xdr:row>6</xdr:row>
      <xdr:rowOff>129558</xdr:rowOff>
    </xdr:from>
    <xdr:to>
      <xdr:col>3</xdr:col>
      <xdr:colOff>13017</xdr:colOff>
      <xdr:row>24</xdr:row>
      <xdr:rowOff>28361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62D9AF-E02E-4375-9108-5070BC80B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</xdr:colOff>
      <xdr:row>6</xdr:row>
      <xdr:rowOff>80596</xdr:rowOff>
    </xdr:from>
    <xdr:to>
      <xdr:col>9</xdr:col>
      <xdr:colOff>718039</xdr:colOff>
      <xdr:row>22</xdr:row>
      <xdr:rowOff>153864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1CD5A4-D452-455A-94C2-72F496D251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</xdr:colOff>
      <xdr:row>6</xdr:row>
      <xdr:rowOff>29308</xdr:rowOff>
    </xdr:from>
    <xdr:to>
      <xdr:col>17</xdr:col>
      <xdr:colOff>14654</xdr:colOff>
      <xdr:row>22</xdr:row>
      <xdr:rowOff>153864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32D916-6CE1-403E-AC89-214D900A9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611299</xdr:colOff>
      <xdr:row>2</xdr:row>
      <xdr:rowOff>12726</xdr:rowOff>
    </xdr:from>
    <xdr:to>
      <xdr:col>25</xdr:col>
      <xdr:colOff>549886</xdr:colOff>
      <xdr:row>36</xdr:row>
      <xdr:rowOff>172859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2B83E3-6937-47B8-9155-AD9686B86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60F6B-470A-4C51-8647-DF75A8E27093}">
  <sheetPr codeName="Sheet2"/>
  <dimension ref="B1:L40"/>
  <sheetViews>
    <sheetView zoomScale="80" zoomScaleNormal="144" workbookViewId="0">
      <selection activeCell="F28" sqref="F28"/>
    </sheetView>
  </sheetViews>
  <sheetFormatPr defaultRowHeight="14.4" x14ac:dyDescent="0.3"/>
  <cols>
    <col min="5" max="7" width="9" bestFit="1" customWidth="1"/>
    <col min="8" max="8" width="12.88671875" bestFit="1" customWidth="1"/>
    <col min="9" max="12" width="9" bestFit="1" customWidth="1"/>
    <col min="13" max="13" width="15.88671875" customWidth="1"/>
    <col min="14" max="14" width="11.5546875" customWidth="1"/>
    <col min="15" max="15" width="9.21875" bestFit="1" customWidth="1"/>
    <col min="16" max="18" width="9.109375" bestFit="1" customWidth="1"/>
    <col min="19" max="19" width="4.88671875" customWidth="1"/>
    <col min="20" max="20" width="15.21875" customWidth="1"/>
    <col min="21" max="21" width="12.109375" bestFit="1" customWidth="1"/>
    <col min="22" max="22" width="9.44140625" bestFit="1" customWidth="1"/>
    <col min="23" max="23" width="9.21875" bestFit="1" customWidth="1"/>
    <col min="24" max="25" width="9.33203125" bestFit="1" customWidth="1"/>
    <col min="26" max="26" width="4.21875" customWidth="1"/>
    <col min="27" max="27" width="13.21875" customWidth="1"/>
    <col min="28" max="28" width="11" customWidth="1"/>
    <col min="29" max="32" width="9.109375" bestFit="1" customWidth="1"/>
    <col min="33" max="33" width="9" bestFit="1" customWidth="1"/>
    <col min="34" max="34" width="12.6640625" bestFit="1" customWidth="1"/>
    <col min="35" max="37" width="9" bestFit="1" customWidth="1"/>
    <col min="38" max="38" width="19.33203125" customWidth="1"/>
    <col min="39" max="39" width="12.109375" customWidth="1"/>
    <col min="40" max="43" width="9" bestFit="1" customWidth="1"/>
    <col min="44" max="44" width="8.5546875" customWidth="1"/>
    <col min="45" max="45" width="19.44140625" customWidth="1"/>
    <col min="46" max="46" width="11.44140625" customWidth="1"/>
    <col min="47" max="49" width="9" bestFit="1" customWidth="1"/>
    <col min="50" max="50" width="15.109375" bestFit="1" customWidth="1"/>
    <col min="52" max="52" width="19.21875" customWidth="1"/>
    <col min="53" max="53" width="11.6640625" customWidth="1"/>
    <col min="54" max="63" width="9" bestFit="1" customWidth="1"/>
    <col min="65" max="65" width="9.6640625" bestFit="1" customWidth="1"/>
    <col min="66" max="75" width="9" bestFit="1" customWidth="1"/>
    <col min="77" max="77" width="14" customWidth="1"/>
    <col min="78" max="78" width="7.21875" customWidth="1"/>
    <col min="79" max="79" width="8.88671875" customWidth="1"/>
    <col min="80" max="80" width="10" bestFit="1" customWidth="1"/>
    <col min="81" max="82" width="9.21875" bestFit="1" customWidth="1"/>
    <col min="83" max="83" width="15.33203125" bestFit="1" customWidth="1"/>
    <col min="84" max="84" width="12.33203125" bestFit="1" customWidth="1"/>
    <col min="85" max="86" width="9.21875" bestFit="1" customWidth="1"/>
    <col min="87" max="89" width="14.5546875" bestFit="1" customWidth="1"/>
  </cols>
  <sheetData>
    <row r="1" spans="2:9" ht="15" thickBot="1" x14ac:dyDescent="0.35"/>
    <row r="2" spans="2:9" ht="15" thickBot="1" x14ac:dyDescent="0.35">
      <c r="B2" s="171" t="s">
        <v>11</v>
      </c>
      <c r="C2" s="172"/>
      <c r="D2" s="172"/>
      <c r="E2" s="177"/>
      <c r="F2" s="177"/>
      <c r="G2" s="177"/>
      <c r="H2" s="177"/>
      <c r="I2" s="178"/>
    </row>
    <row r="3" spans="2:9" x14ac:dyDescent="0.3">
      <c r="B3" s="198" t="s">
        <v>10</v>
      </c>
      <c r="C3" s="199"/>
      <c r="D3" s="2">
        <v>2</v>
      </c>
      <c r="I3" s="6"/>
    </row>
    <row r="4" spans="2:9" x14ac:dyDescent="0.3">
      <c r="B4" s="200" t="s">
        <v>9</v>
      </c>
      <c r="C4" s="201"/>
      <c r="D4" s="7">
        <v>10</v>
      </c>
      <c r="I4" s="6"/>
    </row>
    <row r="5" spans="2:9" ht="15" thickBot="1" x14ac:dyDescent="0.35">
      <c r="B5" s="5" t="s">
        <v>8</v>
      </c>
      <c r="C5" s="4" t="s">
        <v>7</v>
      </c>
      <c r="D5" s="4" t="s">
        <v>6</v>
      </c>
      <c r="E5" s="4" t="s">
        <v>5</v>
      </c>
      <c r="F5" s="4" t="s">
        <v>4</v>
      </c>
      <c r="G5" s="4" t="s">
        <v>3</v>
      </c>
      <c r="H5" s="4" t="s">
        <v>2</v>
      </c>
      <c r="I5" s="3" t="s">
        <v>1</v>
      </c>
    </row>
    <row r="6" spans="2:9" x14ac:dyDescent="0.3"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2:9" x14ac:dyDescent="0.3">
      <c r="B7" s="2">
        <v>0.25</v>
      </c>
      <c r="C7" s="2">
        <v>18</v>
      </c>
      <c r="D7" s="1">
        <f t="shared" ref="D7:D22" si="0">B7+D6</f>
        <v>0.25</v>
      </c>
      <c r="E7" s="1">
        <f t="shared" ref="E7:E22" si="1">C7*B7+E6</f>
        <v>4.5</v>
      </c>
      <c r="F7" s="1">
        <f t="shared" ref="F7:F22" si="2">MAX(D7-D$3,0)*D$4</f>
        <v>0</v>
      </c>
      <c r="G7" s="1">
        <f t="shared" ref="G7:G22" si="3">E7-F7</f>
        <v>4.5</v>
      </c>
      <c r="H7">
        <f t="shared" ref="H7:H22" si="4">(D7+D6)/2</f>
        <v>0.125</v>
      </c>
      <c r="I7" s="1">
        <f t="shared" ref="I7:I22" si="5">(G6+G7)/2</f>
        <v>2.25</v>
      </c>
    </row>
    <row r="8" spans="2:9" x14ac:dyDescent="0.3">
      <c r="B8" s="2">
        <v>0.25</v>
      </c>
      <c r="C8" s="2">
        <v>18</v>
      </c>
      <c r="D8" s="1">
        <f t="shared" si="0"/>
        <v>0.5</v>
      </c>
      <c r="E8" s="1">
        <f t="shared" si="1"/>
        <v>9</v>
      </c>
      <c r="F8" s="1">
        <f t="shared" si="2"/>
        <v>0</v>
      </c>
      <c r="G8" s="1">
        <f t="shared" si="3"/>
        <v>9</v>
      </c>
      <c r="H8">
        <f t="shared" si="4"/>
        <v>0.375</v>
      </c>
      <c r="I8" s="1">
        <f t="shared" si="5"/>
        <v>6.75</v>
      </c>
    </row>
    <row r="9" spans="2:9" x14ac:dyDescent="0.3">
      <c r="B9" s="2">
        <v>0.25</v>
      </c>
      <c r="C9" s="2">
        <v>18</v>
      </c>
      <c r="D9" s="1">
        <f t="shared" si="0"/>
        <v>0.75</v>
      </c>
      <c r="E9" s="1">
        <f t="shared" si="1"/>
        <v>13.5</v>
      </c>
      <c r="F9" s="1">
        <f t="shared" si="2"/>
        <v>0</v>
      </c>
      <c r="G9" s="1">
        <f t="shared" si="3"/>
        <v>13.5</v>
      </c>
      <c r="H9">
        <f t="shared" si="4"/>
        <v>0.625</v>
      </c>
      <c r="I9" s="1">
        <f t="shared" si="5"/>
        <v>11.25</v>
      </c>
    </row>
    <row r="10" spans="2:9" x14ac:dyDescent="0.3">
      <c r="B10" s="2">
        <v>0.25</v>
      </c>
      <c r="C10" s="2">
        <v>18</v>
      </c>
      <c r="D10" s="1">
        <f t="shared" si="0"/>
        <v>1</v>
      </c>
      <c r="E10" s="1">
        <f t="shared" si="1"/>
        <v>18</v>
      </c>
      <c r="F10" s="1">
        <f t="shared" si="2"/>
        <v>0</v>
      </c>
      <c r="G10" s="1">
        <f t="shared" si="3"/>
        <v>18</v>
      </c>
      <c r="H10">
        <f t="shared" si="4"/>
        <v>0.875</v>
      </c>
      <c r="I10" s="1">
        <f t="shared" si="5"/>
        <v>15.75</v>
      </c>
    </row>
    <row r="11" spans="2:9" x14ac:dyDescent="0.3">
      <c r="B11" s="2">
        <v>0.25</v>
      </c>
      <c r="C11" s="2">
        <v>18</v>
      </c>
      <c r="D11" s="1">
        <f t="shared" si="0"/>
        <v>1.25</v>
      </c>
      <c r="E11" s="1">
        <f t="shared" si="1"/>
        <v>22.5</v>
      </c>
      <c r="F11" s="1">
        <f t="shared" si="2"/>
        <v>0</v>
      </c>
      <c r="G11" s="1">
        <f t="shared" si="3"/>
        <v>22.5</v>
      </c>
      <c r="H11">
        <f t="shared" si="4"/>
        <v>1.125</v>
      </c>
      <c r="I11" s="1">
        <f t="shared" si="5"/>
        <v>20.25</v>
      </c>
    </row>
    <row r="12" spans="2:9" ht="14.4" customHeight="1" x14ac:dyDescent="0.3">
      <c r="B12" s="2">
        <v>0.25</v>
      </c>
      <c r="C12" s="2">
        <v>18</v>
      </c>
      <c r="D12" s="1">
        <f t="shared" si="0"/>
        <v>1.5</v>
      </c>
      <c r="E12" s="1">
        <f t="shared" si="1"/>
        <v>27</v>
      </c>
      <c r="F12" s="1">
        <f t="shared" si="2"/>
        <v>0</v>
      </c>
      <c r="G12" s="1">
        <f t="shared" si="3"/>
        <v>27</v>
      </c>
      <c r="H12">
        <f t="shared" si="4"/>
        <v>1.375</v>
      </c>
      <c r="I12" s="1">
        <f t="shared" si="5"/>
        <v>24.75</v>
      </c>
    </row>
    <row r="13" spans="2:9" ht="14.4" customHeight="1" x14ac:dyDescent="0.3">
      <c r="B13" s="2">
        <v>0.25</v>
      </c>
      <c r="C13" s="2">
        <v>18</v>
      </c>
      <c r="D13" s="1">
        <f t="shared" si="0"/>
        <v>1.75</v>
      </c>
      <c r="E13" s="1">
        <f t="shared" si="1"/>
        <v>31.5</v>
      </c>
      <c r="F13" s="1">
        <f t="shared" si="2"/>
        <v>0</v>
      </c>
      <c r="G13" s="1">
        <f t="shared" si="3"/>
        <v>31.5</v>
      </c>
      <c r="H13">
        <f t="shared" si="4"/>
        <v>1.625</v>
      </c>
      <c r="I13" s="1">
        <f t="shared" si="5"/>
        <v>29.25</v>
      </c>
    </row>
    <row r="14" spans="2:9" x14ac:dyDescent="0.3">
      <c r="B14" s="2">
        <v>0.25</v>
      </c>
      <c r="C14" s="2">
        <v>18</v>
      </c>
      <c r="D14" s="1">
        <f t="shared" si="0"/>
        <v>2</v>
      </c>
      <c r="E14" s="1">
        <f t="shared" si="1"/>
        <v>36</v>
      </c>
      <c r="F14" s="1">
        <f t="shared" si="2"/>
        <v>0</v>
      </c>
      <c r="G14" s="1">
        <f t="shared" si="3"/>
        <v>36</v>
      </c>
      <c r="H14">
        <f t="shared" si="4"/>
        <v>1.875</v>
      </c>
      <c r="I14" s="1">
        <f t="shared" si="5"/>
        <v>33.75</v>
      </c>
    </row>
    <row r="15" spans="2:9" x14ac:dyDescent="0.3">
      <c r="B15" s="2">
        <v>0.25</v>
      </c>
      <c r="C15" s="2">
        <v>18</v>
      </c>
      <c r="D15" s="1">
        <f t="shared" si="0"/>
        <v>2.25</v>
      </c>
      <c r="E15" s="1">
        <f t="shared" si="1"/>
        <v>40.5</v>
      </c>
      <c r="F15" s="1">
        <f t="shared" si="2"/>
        <v>2.5</v>
      </c>
      <c r="G15" s="1">
        <f t="shared" si="3"/>
        <v>38</v>
      </c>
      <c r="H15">
        <f t="shared" si="4"/>
        <v>2.125</v>
      </c>
      <c r="I15" s="1">
        <f t="shared" si="5"/>
        <v>37</v>
      </c>
    </row>
    <row r="16" spans="2:9" x14ac:dyDescent="0.3">
      <c r="B16" s="2">
        <v>0.25</v>
      </c>
      <c r="C16" s="2">
        <v>18</v>
      </c>
      <c r="D16" s="1">
        <f t="shared" si="0"/>
        <v>2.5</v>
      </c>
      <c r="E16" s="1">
        <f t="shared" si="1"/>
        <v>45</v>
      </c>
      <c r="F16" s="1">
        <f t="shared" si="2"/>
        <v>5</v>
      </c>
      <c r="G16" s="1">
        <f t="shared" si="3"/>
        <v>40</v>
      </c>
      <c r="H16">
        <f t="shared" si="4"/>
        <v>2.375</v>
      </c>
      <c r="I16" s="1">
        <f t="shared" si="5"/>
        <v>39</v>
      </c>
    </row>
    <row r="17" spans="2:9" x14ac:dyDescent="0.3">
      <c r="B17" s="2">
        <v>0.25</v>
      </c>
      <c r="C17" s="2">
        <v>18</v>
      </c>
      <c r="D17" s="1">
        <f t="shared" si="0"/>
        <v>2.75</v>
      </c>
      <c r="E17" s="1">
        <f t="shared" si="1"/>
        <v>49.5</v>
      </c>
      <c r="F17" s="1">
        <f t="shared" si="2"/>
        <v>7.5</v>
      </c>
      <c r="G17" s="1">
        <f t="shared" si="3"/>
        <v>42</v>
      </c>
      <c r="H17">
        <f t="shared" si="4"/>
        <v>2.625</v>
      </c>
      <c r="I17" s="1">
        <f t="shared" si="5"/>
        <v>41</v>
      </c>
    </row>
    <row r="18" spans="2:9" x14ac:dyDescent="0.3">
      <c r="B18" s="2">
        <v>0.25</v>
      </c>
      <c r="C18" s="2">
        <v>18</v>
      </c>
      <c r="D18" s="1">
        <f t="shared" si="0"/>
        <v>3</v>
      </c>
      <c r="E18" s="1">
        <f t="shared" si="1"/>
        <v>54</v>
      </c>
      <c r="F18" s="1">
        <f t="shared" si="2"/>
        <v>10</v>
      </c>
      <c r="G18" s="1">
        <f t="shared" si="3"/>
        <v>44</v>
      </c>
      <c r="H18">
        <f t="shared" si="4"/>
        <v>2.875</v>
      </c>
      <c r="I18" s="1">
        <f t="shared" si="5"/>
        <v>43</v>
      </c>
    </row>
    <row r="19" spans="2:9" x14ac:dyDescent="0.3">
      <c r="B19" s="2">
        <v>0.25</v>
      </c>
      <c r="C19" s="2">
        <v>18</v>
      </c>
      <c r="D19" s="1">
        <f t="shared" si="0"/>
        <v>3.25</v>
      </c>
      <c r="E19" s="1">
        <f t="shared" si="1"/>
        <v>58.5</v>
      </c>
      <c r="F19" s="1">
        <f t="shared" si="2"/>
        <v>12.5</v>
      </c>
      <c r="G19" s="1">
        <f t="shared" si="3"/>
        <v>46</v>
      </c>
      <c r="H19">
        <f t="shared" si="4"/>
        <v>3.125</v>
      </c>
      <c r="I19" s="1">
        <f t="shared" si="5"/>
        <v>45</v>
      </c>
    </row>
    <row r="20" spans="2:9" x14ac:dyDescent="0.3">
      <c r="B20" s="2">
        <v>0.25</v>
      </c>
      <c r="C20" s="2">
        <v>18</v>
      </c>
      <c r="D20" s="1">
        <f t="shared" si="0"/>
        <v>3.5</v>
      </c>
      <c r="E20" s="1">
        <f t="shared" si="1"/>
        <v>63</v>
      </c>
      <c r="F20" s="1">
        <f t="shared" si="2"/>
        <v>15</v>
      </c>
      <c r="G20" s="1">
        <f t="shared" si="3"/>
        <v>48</v>
      </c>
      <c r="H20">
        <f t="shared" si="4"/>
        <v>3.375</v>
      </c>
      <c r="I20" s="1">
        <f t="shared" si="5"/>
        <v>47</v>
      </c>
    </row>
    <row r="21" spans="2:9" x14ac:dyDescent="0.3">
      <c r="B21" s="2">
        <v>0.25</v>
      </c>
      <c r="C21" s="2">
        <v>18</v>
      </c>
      <c r="D21" s="1">
        <f t="shared" si="0"/>
        <v>3.75</v>
      </c>
      <c r="E21" s="1">
        <f t="shared" si="1"/>
        <v>67.5</v>
      </c>
      <c r="F21" s="1">
        <f t="shared" si="2"/>
        <v>17.5</v>
      </c>
      <c r="G21" s="1">
        <f t="shared" si="3"/>
        <v>50</v>
      </c>
      <c r="H21">
        <f t="shared" si="4"/>
        <v>3.625</v>
      </c>
      <c r="I21" s="1">
        <f t="shared" si="5"/>
        <v>49</v>
      </c>
    </row>
    <row r="22" spans="2:9" x14ac:dyDescent="0.3">
      <c r="B22" s="2">
        <v>0.25</v>
      </c>
      <c r="C22" s="2">
        <v>18</v>
      </c>
      <c r="D22" s="1">
        <f t="shared" si="0"/>
        <v>4</v>
      </c>
      <c r="E22" s="1">
        <f t="shared" si="1"/>
        <v>72</v>
      </c>
      <c r="F22" s="1">
        <f t="shared" si="2"/>
        <v>20</v>
      </c>
      <c r="G22" s="1">
        <f t="shared" si="3"/>
        <v>52</v>
      </c>
      <c r="H22">
        <f t="shared" si="4"/>
        <v>3.875</v>
      </c>
      <c r="I22" s="1">
        <f t="shared" si="5"/>
        <v>51</v>
      </c>
    </row>
    <row r="37" spans="12:12" hidden="1" x14ac:dyDescent="0.3"/>
    <row r="40" spans="12:12" x14ac:dyDescent="0.3">
      <c r="L40" t="s">
        <v>0</v>
      </c>
    </row>
  </sheetData>
  <mergeCells count="3">
    <mergeCell ref="B3:C3"/>
    <mergeCell ref="B4:C4"/>
    <mergeCell ref="B2:I2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7118F-6106-4088-A0AE-C492E6BF2D8F}">
  <sheetPr codeName="Sheet6"/>
  <dimension ref="B10:AL22"/>
  <sheetViews>
    <sheetView topLeftCell="D1" zoomScale="74" workbookViewId="0">
      <selection activeCell="I26" sqref="I26"/>
    </sheetView>
  </sheetViews>
  <sheetFormatPr defaultRowHeight="14.4" x14ac:dyDescent="0.3"/>
  <sheetData>
    <row r="10" spans="2:38" x14ac:dyDescent="0.3">
      <c r="B10" s="27"/>
      <c r="H10" s="26"/>
    </row>
    <row r="11" spans="2:38" ht="15" thickBot="1" x14ac:dyDescent="0.35"/>
    <row r="12" spans="2:38" x14ac:dyDescent="0.3">
      <c r="B12" s="186" t="s">
        <v>47</v>
      </c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8"/>
      <c r="O12" s="190" t="s">
        <v>46</v>
      </c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B12" s="190" t="s">
        <v>45</v>
      </c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</row>
    <row r="13" spans="2:38" x14ac:dyDescent="0.3">
      <c r="B13" s="180" t="s">
        <v>39</v>
      </c>
      <c r="C13" s="181"/>
      <c r="D13" s="181"/>
      <c r="E13" s="182" t="s">
        <v>44</v>
      </c>
      <c r="F13" s="182"/>
      <c r="G13" s="182"/>
      <c r="H13" s="183" t="s">
        <v>24</v>
      </c>
      <c r="I13" s="184"/>
      <c r="J13" s="184"/>
      <c r="K13" s="184"/>
      <c r="L13" s="184"/>
      <c r="M13" s="185"/>
      <c r="O13" s="180" t="s">
        <v>39</v>
      </c>
      <c r="P13" s="181"/>
      <c r="Q13" s="181"/>
      <c r="R13" s="182" t="s">
        <v>43</v>
      </c>
      <c r="S13" s="182"/>
      <c r="T13" s="182"/>
      <c r="U13" s="183" t="s">
        <v>24</v>
      </c>
      <c r="V13" s="184"/>
      <c r="W13" s="184"/>
      <c r="X13" s="184"/>
      <c r="Y13" s="184"/>
      <c r="Z13" s="184"/>
      <c r="AB13" s="194" t="s">
        <v>42</v>
      </c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</row>
    <row r="14" spans="2:38" ht="15" thickBot="1" x14ac:dyDescent="0.35">
      <c r="B14" s="39" t="s">
        <v>41</v>
      </c>
      <c r="C14" s="38" t="s">
        <v>22</v>
      </c>
      <c r="D14" s="38" t="s">
        <v>21</v>
      </c>
      <c r="E14" s="37" t="s">
        <v>22</v>
      </c>
      <c r="F14" s="37" t="s">
        <v>21</v>
      </c>
      <c r="G14" s="37" t="s">
        <v>28</v>
      </c>
      <c r="H14" s="36" t="s">
        <v>35</v>
      </c>
      <c r="I14" s="35" t="s">
        <v>34</v>
      </c>
      <c r="J14" s="35" t="s">
        <v>33</v>
      </c>
      <c r="K14" s="36" t="s">
        <v>32</v>
      </c>
      <c r="L14" s="35" t="s">
        <v>31</v>
      </c>
      <c r="M14" s="34" t="s">
        <v>30</v>
      </c>
      <c r="O14" s="33" t="s">
        <v>37</v>
      </c>
      <c r="P14" s="32" t="s">
        <v>36</v>
      </c>
      <c r="Q14" s="32" t="s">
        <v>40</v>
      </c>
      <c r="R14" s="31" t="s">
        <v>22</v>
      </c>
      <c r="S14" s="31" t="s">
        <v>21</v>
      </c>
      <c r="T14" s="31" t="s">
        <v>28</v>
      </c>
      <c r="U14" s="30" t="s">
        <v>35</v>
      </c>
      <c r="V14" s="29" t="s">
        <v>34</v>
      </c>
      <c r="W14" s="29" t="s">
        <v>33</v>
      </c>
      <c r="X14" s="30" t="s">
        <v>32</v>
      </c>
      <c r="Y14" s="29" t="s">
        <v>31</v>
      </c>
      <c r="Z14" s="29" t="s">
        <v>30</v>
      </c>
      <c r="AB14" s="192" t="s">
        <v>39</v>
      </c>
      <c r="AC14" s="193"/>
      <c r="AD14" s="189" t="s">
        <v>38</v>
      </c>
      <c r="AE14" s="189"/>
      <c r="AF14" s="189"/>
      <c r="AG14" s="184" t="s">
        <v>24</v>
      </c>
      <c r="AH14" s="184"/>
      <c r="AI14" s="184"/>
      <c r="AJ14" s="184"/>
      <c r="AK14" s="184"/>
      <c r="AL14" s="184"/>
    </row>
    <row r="15" spans="2:38" ht="15" thickBot="1" x14ac:dyDescent="0.35">
      <c r="B15" s="27">
        <v>1</v>
      </c>
      <c r="C15">
        <v>-0.5</v>
      </c>
      <c r="D15">
        <v>0.5</v>
      </c>
      <c r="E15">
        <v>0</v>
      </c>
      <c r="F15">
        <v>0</v>
      </c>
      <c r="G15">
        <v>6</v>
      </c>
      <c r="H15" s="26" cm="1">
        <f t="array" ref="H15:M15">point_surcharge_load(B15,E15-C15,F15-D15,G15,0.45)</f>
        <v>-1.275403736933048E-4</v>
      </c>
      <c r="I15">
        <v>-1.275403736933048E-4</v>
      </c>
      <c r="J15">
        <v>1.2813358473373886E-2</v>
      </c>
      <c r="K15">
        <v>-1.0677798727811571E-3</v>
      </c>
      <c r="L15">
        <v>1.0677798727811571E-3</v>
      </c>
      <c r="M15">
        <v>-8.2937453645778002E-5</v>
      </c>
      <c r="O15" s="27">
        <v>0.1</v>
      </c>
      <c r="P15">
        <v>2</v>
      </c>
      <c r="Q15">
        <v>2.1</v>
      </c>
      <c r="R15">
        <v>0</v>
      </c>
      <c r="S15">
        <v>0</v>
      </c>
      <c r="T15">
        <v>7</v>
      </c>
      <c r="U15" s="28" cm="1">
        <f t="array" ref="U15:Z15">rectangular_surcharge_load(O15,P15,Q15,R15,S15,T15)</f>
        <v>-4.0253785240855373E-5</v>
      </c>
      <c r="V15" s="28">
        <v>-3.7644623489247618E-5</v>
      </c>
      <c r="W15" s="28">
        <v>3.9512126602616049E-3</v>
      </c>
      <c r="X15" s="28">
        <v>-1.0587911840678754E-21</v>
      </c>
      <c r="Y15" s="28">
        <v>-2.6734477397713854E-21</v>
      </c>
      <c r="Z15" s="28">
        <v>-1.8859717966209031E-22</v>
      </c>
      <c r="AB15" s="33" t="s">
        <v>37</v>
      </c>
      <c r="AC15" s="32" t="s">
        <v>36</v>
      </c>
      <c r="AD15" s="31" t="s">
        <v>22</v>
      </c>
      <c r="AE15" s="31" t="s">
        <v>21</v>
      </c>
      <c r="AF15" s="31" t="s">
        <v>28</v>
      </c>
      <c r="AG15" s="30" t="s">
        <v>35</v>
      </c>
      <c r="AH15" s="29" t="s">
        <v>34</v>
      </c>
      <c r="AI15" s="29" t="s">
        <v>33</v>
      </c>
      <c r="AJ15" s="30" t="s">
        <v>32</v>
      </c>
      <c r="AK15" s="29" t="s">
        <v>31</v>
      </c>
      <c r="AL15" s="29" t="s">
        <v>30</v>
      </c>
    </row>
    <row r="16" spans="2:38" x14ac:dyDescent="0.3">
      <c r="B16" s="27">
        <v>1</v>
      </c>
      <c r="C16">
        <v>0.5</v>
      </c>
      <c r="D16">
        <v>0.5</v>
      </c>
      <c r="E16">
        <v>0</v>
      </c>
      <c r="F16">
        <v>0</v>
      </c>
      <c r="G16">
        <v>6</v>
      </c>
      <c r="H16" s="26" cm="1">
        <f t="array" ref="H16:M16">point_surcharge_load(B16,E16-C16,F16-D16,G16,0.45)</f>
        <v>-1.275403736933048E-4</v>
      </c>
      <c r="I16">
        <v>-1.275403736933048E-4</v>
      </c>
      <c r="J16">
        <v>1.2813358473373886E-2</v>
      </c>
      <c r="K16">
        <v>-1.0677798727811571E-3</v>
      </c>
      <c r="L16">
        <v>-1.0677798727811571E-3</v>
      </c>
      <c r="M16">
        <v>8.2937453645778002E-5</v>
      </c>
      <c r="O16" s="27">
        <v>0.1</v>
      </c>
      <c r="P16">
        <v>2</v>
      </c>
      <c r="Q16">
        <v>2.1</v>
      </c>
      <c r="R16">
        <v>1</v>
      </c>
      <c r="S16">
        <v>1.05</v>
      </c>
      <c r="T16">
        <v>7</v>
      </c>
      <c r="U16" s="28" cm="1">
        <f t="array" ref="U16:Z16">rectangular_surcharge_load(O16,P16,Q16,R16,S16,T16)</f>
        <v>2.972524975799103E-5</v>
      </c>
      <c r="V16" s="28">
        <v>3.8427081742623842E-5</v>
      </c>
      <c r="W16" s="28">
        <v>3.5791562463630975E-3</v>
      </c>
      <c r="X16" s="28">
        <v>5.1817061781902183E-4</v>
      </c>
      <c r="Y16" s="28">
        <v>4.9511687192672882E-4</v>
      </c>
      <c r="Z16" s="28">
        <v>6.637677466735956E-5</v>
      </c>
      <c r="AB16" s="27">
        <v>1</v>
      </c>
      <c r="AC16">
        <v>100</v>
      </c>
      <c r="AD16">
        <v>4</v>
      </c>
      <c r="AE16">
        <v>2</v>
      </c>
      <c r="AF16">
        <v>6</v>
      </c>
      <c r="AG16" s="28" cm="1">
        <f t="array" ref="AG16:AL16">Line_load(AB16,AC16,AD16,AE16,AF16,100)</f>
        <v>4.2428660844628555E-2</v>
      </c>
      <c r="AH16" s="28">
        <v>8.9857919587080972E-3</v>
      </c>
      <c r="AI16" s="28">
        <v>8.5935124491569342E-2</v>
      </c>
      <c r="AJ16" s="28">
        <v>2.8645041497189761E-2</v>
      </c>
      <c r="AK16" s="28">
        <v>2.1581087048814983E-5</v>
      </c>
      <c r="AL16" s="28">
        <v>-1.116143431187998E-4</v>
      </c>
    </row>
    <row r="17" spans="2:13" x14ac:dyDescent="0.3">
      <c r="B17" s="27">
        <v>1</v>
      </c>
      <c r="C17">
        <v>-0.5</v>
      </c>
      <c r="D17">
        <v>-0.5</v>
      </c>
      <c r="E17">
        <v>0</v>
      </c>
      <c r="F17">
        <v>0</v>
      </c>
      <c r="G17">
        <v>6</v>
      </c>
      <c r="H17" s="26" cm="1">
        <f t="array" ref="H17:M17">point_surcharge_load(B17,E17-C17,F17-D17,G17,0.45)</f>
        <v>-1.275403736933048E-4</v>
      </c>
      <c r="I17">
        <v>-1.275403736933048E-4</v>
      </c>
      <c r="J17">
        <v>1.2813358473373886E-2</v>
      </c>
      <c r="K17">
        <v>1.0677798727811571E-3</v>
      </c>
      <c r="L17">
        <v>1.0677798727811571E-3</v>
      </c>
      <c r="M17">
        <v>8.2937453645778002E-5</v>
      </c>
    </row>
    <row r="18" spans="2:13" x14ac:dyDescent="0.3">
      <c r="B18" s="27">
        <v>1</v>
      </c>
      <c r="C18">
        <v>0.5</v>
      </c>
      <c r="D18">
        <v>-0.5</v>
      </c>
      <c r="E18">
        <v>0</v>
      </c>
      <c r="F18">
        <v>0</v>
      </c>
      <c r="G18">
        <v>6</v>
      </c>
      <c r="H18" s="26" cm="1">
        <f t="array" ref="H18:M18">point_surcharge_load(B18,E18-C18,F18-D18,G18,0.45)</f>
        <v>-1.275403736933048E-4</v>
      </c>
      <c r="I18">
        <v>-1.275403736933048E-4</v>
      </c>
      <c r="J18">
        <v>1.2813358473373886E-2</v>
      </c>
      <c r="K18">
        <v>1.0677798727811571E-3</v>
      </c>
      <c r="L18">
        <v>-1.0677798727811571E-3</v>
      </c>
      <c r="M18">
        <v>-8.2937453645778002E-5</v>
      </c>
    </row>
    <row r="19" spans="2:13" x14ac:dyDescent="0.3">
      <c r="E19" s="27"/>
      <c r="K19" s="26"/>
    </row>
    <row r="20" spans="2:13" x14ac:dyDescent="0.3">
      <c r="E20" s="27"/>
      <c r="K20" s="26"/>
    </row>
    <row r="21" spans="2:13" x14ac:dyDescent="0.3">
      <c r="E21" s="27"/>
      <c r="K21" s="26"/>
    </row>
    <row r="22" spans="2:13" x14ac:dyDescent="0.3">
      <c r="E22" s="27"/>
      <c r="K22" s="26"/>
    </row>
  </sheetData>
  <mergeCells count="13">
    <mergeCell ref="AG14:AL14"/>
    <mergeCell ref="AB12:AL12"/>
    <mergeCell ref="O12:Z12"/>
    <mergeCell ref="O13:Q13"/>
    <mergeCell ref="R13:T13"/>
    <mergeCell ref="U13:Z13"/>
    <mergeCell ref="AB14:AC14"/>
    <mergeCell ref="AB13:AL13"/>
    <mergeCell ref="B13:D13"/>
    <mergeCell ref="E13:G13"/>
    <mergeCell ref="H13:M13"/>
    <mergeCell ref="B12:M12"/>
    <mergeCell ref="AD14:AF1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6693B-31C1-4773-B03B-1FCE13123CCF}">
  <sheetPr codeName="Sheet7"/>
  <dimension ref="B2:U57"/>
  <sheetViews>
    <sheetView topLeftCell="G1" zoomScale="85" zoomScaleNormal="85" workbookViewId="0">
      <selection activeCell="I27" sqref="I27"/>
    </sheetView>
  </sheetViews>
  <sheetFormatPr defaultRowHeight="14.4" x14ac:dyDescent="0.3"/>
  <sheetData>
    <row r="2" spans="2:21" ht="15" thickBot="1" x14ac:dyDescent="0.35"/>
    <row r="3" spans="2:21" ht="15" thickBot="1" x14ac:dyDescent="0.35">
      <c r="B3" s="173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5"/>
    </row>
    <row r="4" spans="2:21" ht="15" thickBot="1" x14ac:dyDescent="0.35">
      <c r="B4" s="176" t="s">
        <v>55</v>
      </c>
      <c r="C4" s="177"/>
      <c r="D4" s="177"/>
      <c r="E4" s="177"/>
      <c r="F4" s="177"/>
      <c r="G4" s="178"/>
      <c r="I4" s="176" t="s">
        <v>54</v>
      </c>
      <c r="J4" s="177"/>
      <c r="K4" s="177"/>
      <c r="L4" s="177"/>
      <c r="M4" s="177"/>
      <c r="N4" s="178"/>
      <c r="P4" s="176" t="s">
        <v>53</v>
      </c>
      <c r="Q4" s="177"/>
      <c r="R4" s="177"/>
      <c r="S4" s="177"/>
      <c r="T4" s="177"/>
      <c r="U4" s="178"/>
    </row>
    <row r="5" spans="2:21" x14ac:dyDescent="0.3">
      <c r="B5" s="50" t="s">
        <v>52</v>
      </c>
      <c r="C5" s="49">
        <v>1</v>
      </c>
      <c r="D5" s="48" t="s">
        <v>51</v>
      </c>
      <c r="E5" s="49">
        <v>2</v>
      </c>
      <c r="G5" s="6"/>
      <c r="I5" s="50" t="s">
        <v>52</v>
      </c>
      <c r="J5" s="49">
        <v>1</v>
      </c>
      <c r="K5" s="179" t="s">
        <v>51</v>
      </c>
      <c r="L5" s="179"/>
      <c r="M5" s="49">
        <v>10</v>
      </c>
      <c r="N5" s="6"/>
      <c r="P5" s="50" t="s">
        <v>37</v>
      </c>
      <c r="Q5" s="49">
        <v>1</v>
      </c>
      <c r="R5" s="179" t="s">
        <v>51</v>
      </c>
      <c r="S5" s="179"/>
      <c r="T5" s="49">
        <v>10</v>
      </c>
      <c r="U5" s="6"/>
    </row>
    <row r="6" spans="2:21" x14ac:dyDescent="0.3">
      <c r="B6" s="19"/>
      <c r="D6" s="48" t="s">
        <v>50</v>
      </c>
      <c r="E6" s="49"/>
      <c r="G6" s="6"/>
      <c r="I6" s="50" t="s">
        <v>16</v>
      </c>
      <c r="J6" s="53">
        <f>M5/M6</f>
        <v>1</v>
      </c>
      <c r="K6" s="179" t="s">
        <v>50</v>
      </c>
      <c r="L6" s="179"/>
      <c r="M6" s="49">
        <v>10</v>
      </c>
      <c r="N6" s="6"/>
      <c r="P6" s="50" t="s">
        <v>16</v>
      </c>
      <c r="Q6" s="53">
        <f>T5/T6</f>
        <v>1</v>
      </c>
      <c r="R6" s="179" t="s">
        <v>50</v>
      </c>
      <c r="S6" s="179"/>
      <c r="T6" s="49">
        <v>10</v>
      </c>
      <c r="U6" s="6"/>
    </row>
    <row r="7" spans="2:21" x14ac:dyDescent="0.3">
      <c r="B7" s="19"/>
      <c r="D7" s="52" t="s">
        <v>6</v>
      </c>
      <c r="E7" s="52" t="s">
        <v>49</v>
      </c>
      <c r="F7" s="52" t="s">
        <v>48</v>
      </c>
      <c r="G7" s="51" t="s">
        <v>33</v>
      </c>
      <c r="I7" s="19"/>
      <c r="K7" s="52" t="s">
        <v>6</v>
      </c>
      <c r="L7" s="52" t="s">
        <v>49</v>
      </c>
      <c r="M7" s="52" t="s">
        <v>48</v>
      </c>
      <c r="N7" s="51" t="s">
        <v>33</v>
      </c>
      <c r="P7" s="19"/>
      <c r="R7" s="52" t="s">
        <v>6</v>
      </c>
      <c r="S7" s="52" t="s">
        <v>49</v>
      </c>
      <c r="T7" s="52" t="s">
        <v>48</v>
      </c>
      <c r="U7" s="51" t="s">
        <v>33</v>
      </c>
    </row>
    <row r="8" spans="2:21" x14ac:dyDescent="0.3">
      <c r="B8" s="50"/>
      <c r="C8" s="48"/>
      <c r="D8" s="49">
        <v>1</v>
      </c>
      <c r="E8" s="48">
        <f t="shared" ref="E8:E39" si="0">-D8</f>
        <v>-1</v>
      </c>
      <c r="F8" s="47">
        <f t="shared" ref="F8:F39" si="1">(1-1/(1+(E$5/2/D8)^2)^1.5)</f>
        <v>0.64644660940672627</v>
      </c>
      <c r="G8" s="46">
        <f t="shared" ref="G8:G39" si="2">F8*C$5</f>
        <v>0.64644660940672627</v>
      </c>
      <c r="I8" s="50"/>
      <c r="J8" s="48"/>
      <c r="K8" s="49">
        <v>1</v>
      </c>
      <c r="L8" s="48">
        <f t="shared" ref="L8:L39" si="3">-K8</f>
        <v>-1</v>
      </c>
      <c r="M8" s="47">
        <f t="shared" ref="M8:M39" si="4">(1-1/(1+(M$5/2/K8)^(1+0.38+0.62*J6))^(2.6-0.84*J6))</f>
        <v>0.99676669326000267</v>
      </c>
      <c r="N8" s="46">
        <f t="shared" ref="N8:N39" si="5">M8*J$5</f>
        <v>0.99676669326000267</v>
      </c>
      <c r="P8" s="50"/>
      <c r="Q8" s="48"/>
      <c r="R8" s="49">
        <v>1</v>
      </c>
      <c r="S8" s="48">
        <f t="shared" ref="S8:S39" si="6">-R8</f>
        <v>-1</v>
      </c>
      <c r="T8" s="47">
        <f t="shared" ref="T8:T39" si="7">(1-1/(1+(T$5/R8)^(1+0.38+0.62*$Q$6))^(2.6-0.84*$Q$6))/4</f>
        <v>0.24992581187572188</v>
      </c>
      <c r="U8" s="46">
        <f t="shared" ref="U8:U39" si="8">T8*Q$5</f>
        <v>0.24992581187572188</v>
      </c>
    </row>
    <row r="9" spans="2:21" x14ac:dyDescent="0.3">
      <c r="B9" s="50"/>
      <c r="C9" s="48"/>
      <c r="D9" s="49">
        <v>2</v>
      </c>
      <c r="E9" s="48">
        <f t="shared" si="0"/>
        <v>-2</v>
      </c>
      <c r="F9" s="47">
        <f t="shared" si="1"/>
        <v>0.28445824720006729</v>
      </c>
      <c r="G9" s="46">
        <f t="shared" si="2"/>
        <v>0.28445824720006729</v>
      </c>
      <c r="I9" s="50"/>
      <c r="J9" s="48"/>
      <c r="K9" s="49">
        <v>2</v>
      </c>
      <c r="L9" s="48">
        <f t="shared" si="3"/>
        <v>-2</v>
      </c>
      <c r="M9" s="47">
        <f t="shared" si="4"/>
        <v>0.98044117928787278</v>
      </c>
      <c r="N9" s="46">
        <f t="shared" si="5"/>
        <v>0.98044117928787278</v>
      </c>
      <c r="P9" s="50"/>
      <c r="Q9" s="48"/>
      <c r="R9" s="49">
        <v>2</v>
      </c>
      <c r="S9" s="48">
        <f t="shared" si="6"/>
        <v>-2</v>
      </c>
      <c r="T9" s="47">
        <f t="shared" si="7"/>
        <v>0.24919167331500067</v>
      </c>
      <c r="U9" s="46">
        <f t="shared" si="8"/>
        <v>0.24919167331500067</v>
      </c>
    </row>
    <row r="10" spans="2:21" x14ac:dyDescent="0.3">
      <c r="B10" s="50"/>
      <c r="C10" s="48"/>
      <c r="D10" s="49">
        <v>3</v>
      </c>
      <c r="E10" s="48">
        <f t="shared" si="0"/>
        <v>-3</v>
      </c>
      <c r="F10" s="47">
        <f t="shared" si="1"/>
        <v>0.14618503175453768</v>
      </c>
      <c r="G10" s="46">
        <f t="shared" si="2"/>
        <v>0.14618503175453768</v>
      </c>
      <c r="I10" s="50"/>
      <c r="J10" s="48"/>
      <c r="K10" s="49">
        <v>3</v>
      </c>
      <c r="L10" s="48">
        <f t="shared" si="3"/>
        <v>-3</v>
      </c>
      <c r="M10" s="47">
        <f t="shared" si="4"/>
        <v>0.94368936418348892</v>
      </c>
      <c r="N10" s="46">
        <f t="shared" si="5"/>
        <v>0.94368936418348892</v>
      </c>
      <c r="P10" s="50"/>
      <c r="Q10" s="48"/>
      <c r="R10" s="49">
        <v>3</v>
      </c>
      <c r="S10" s="48">
        <f t="shared" si="6"/>
        <v>-3</v>
      </c>
      <c r="T10" s="47">
        <f t="shared" si="7"/>
        <v>0.24689875420148746</v>
      </c>
      <c r="U10" s="46">
        <f t="shared" si="8"/>
        <v>0.24689875420148746</v>
      </c>
    </row>
    <row r="11" spans="2:21" x14ac:dyDescent="0.3">
      <c r="B11" s="50"/>
      <c r="C11" s="48"/>
      <c r="D11" s="49">
        <v>4</v>
      </c>
      <c r="E11" s="48">
        <f t="shared" si="0"/>
        <v>-4</v>
      </c>
      <c r="F11" s="47">
        <f t="shared" si="1"/>
        <v>8.6924705745569875E-2</v>
      </c>
      <c r="G11" s="46">
        <f t="shared" si="2"/>
        <v>8.6924705745569875E-2</v>
      </c>
      <c r="I11" s="50"/>
      <c r="J11" s="48"/>
      <c r="K11" s="49">
        <v>4</v>
      </c>
      <c r="L11" s="48">
        <f t="shared" si="3"/>
        <v>-4</v>
      </c>
      <c r="M11" s="47">
        <f t="shared" si="4"/>
        <v>0.89281506885192707</v>
      </c>
      <c r="N11" s="46">
        <f t="shared" si="5"/>
        <v>0.89281506885192707</v>
      </c>
      <c r="P11" s="50"/>
      <c r="Q11" s="48"/>
      <c r="R11" s="49">
        <v>4</v>
      </c>
      <c r="S11" s="48">
        <f t="shared" si="6"/>
        <v>-4</v>
      </c>
      <c r="T11" s="47">
        <f t="shared" si="7"/>
        <v>0.24234852581911601</v>
      </c>
      <c r="U11" s="46">
        <f t="shared" si="8"/>
        <v>0.24234852581911601</v>
      </c>
    </row>
    <row r="12" spans="2:21" x14ac:dyDescent="0.3">
      <c r="B12" s="50"/>
      <c r="C12" s="48"/>
      <c r="D12" s="49">
        <v>5</v>
      </c>
      <c r="E12" s="48">
        <f t="shared" si="0"/>
        <v>-5</v>
      </c>
      <c r="F12" s="47">
        <f t="shared" si="1"/>
        <v>5.7133965681807619E-2</v>
      </c>
      <c r="G12" s="46">
        <f t="shared" si="2"/>
        <v>5.7133965681807619E-2</v>
      </c>
      <c r="I12" s="50"/>
      <c r="J12" s="48"/>
      <c r="K12" s="49">
        <v>5</v>
      </c>
      <c r="L12" s="48">
        <f t="shared" si="3"/>
        <v>-5</v>
      </c>
      <c r="M12" s="47">
        <f t="shared" si="4"/>
        <v>0.83506151115338823</v>
      </c>
      <c r="N12" s="46">
        <f t="shared" si="5"/>
        <v>0.83506151115338823</v>
      </c>
      <c r="P12" s="50"/>
      <c r="Q12" s="48"/>
      <c r="R12" s="49">
        <v>5</v>
      </c>
      <c r="S12" s="48">
        <f t="shared" si="6"/>
        <v>-5</v>
      </c>
      <c r="T12" s="47">
        <f t="shared" si="7"/>
        <v>0.23528525294436753</v>
      </c>
      <c r="U12" s="46">
        <f t="shared" si="8"/>
        <v>0.23528525294436753</v>
      </c>
    </row>
    <row r="13" spans="2:21" x14ac:dyDescent="0.3">
      <c r="B13" s="50"/>
      <c r="C13" s="48"/>
      <c r="D13" s="49">
        <v>6</v>
      </c>
      <c r="E13" s="48">
        <f t="shared" si="0"/>
        <v>-6</v>
      </c>
      <c r="F13" s="47">
        <f t="shared" si="1"/>
        <v>4.0265371406562833E-2</v>
      </c>
      <c r="G13" s="46">
        <f t="shared" si="2"/>
        <v>4.0265371406562833E-2</v>
      </c>
      <c r="I13" s="50"/>
      <c r="J13" s="48"/>
      <c r="K13" s="49">
        <v>6</v>
      </c>
      <c r="L13" s="48">
        <f t="shared" si="3"/>
        <v>-6</v>
      </c>
      <c r="M13" s="47">
        <f t="shared" si="4"/>
        <v>0.77588987129043829</v>
      </c>
      <c r="N13" s="46">
        <f t="shared" si="5"/>
        <v>0.77588987129043829</v>
      </c>
      <c r="P13" s="50"/>
      <c r="Q13" s="48"/>
      <c r="R13" s="49">
        <v>6</v>
      </c>
      <c r="S13" s="48">
        <f t="shared" si="6"/>
        <v>-6</v>
      </c>
      <c r="T13" s="47">
        <f t="shared" si="7"/>
        <v>0.22590072756433158</v>
      </c>
      <c r="U13" s="46">
        <f t="shared" si="8"/>
        <v>0.22590072756433158</v>
      </c>
    </row>
    <row r="14" spans="2:21" x14ac:dyDescent="0.3">
      <c r="B14" s="50"/>
      <c r="C14" s="48"/>
      <c r="D14" s="49">
        <v>7</v>
      </c>
      <c r="E14" s="48">
        <f t="shared" si="0"/>
        <v>-7</v>
      </c>
      <c r="F14" s="47">
        <f t="shared" si="1"/>
        <v>2.9849496212056792E-2</v>
      </c>
      <c r="G14" s="46">
        <f t="shared" si="2"/>
        <v>2.9849496212056792E-2</v>
      </c>
      <c r="I14" s="50"/>
      <c r="J14" s="48"/>
      <c r="K14" s="49">
        <v>7</v>
      </c>
      <c r="L14" s="48">
        <f t="shared" si="3"/>
        <v>-7</v>
      </c>
      <c r="M14" s="47">
        <f t="shared" si="4"/>
        <v>0.71860676266302237</v>
      </c>
      <c r="N14" s="46">
        <f t="shared" si="5"/>
        <v>0.71860676266302237</v>
      </c>
      <c r="P14" s="50"/>
      <c r="Q14" s="48"/>
      <c r="R14" s="49">
        <v>7</v>
      </c>
      <c r="S14" s="48">
        <f t="shared" si="6"/>
        <v>-7</v>
      </c>
      <c r="T14" s="47">
        <f t="shared" si="7"/>
        <v>0.2146916618566676</v>
      </c>
      <c r="U14" s="46">
        <f t="shared" si="8"/>
        <v>0.2146916618566676</v>
      </c>
    </row>
    <row r="15" spans="2:21" x14ac:dyDescent="0.3">
      <c r="B15" s="50"/>
      <c r="C15" s="48"/>
      <c r="D15" s="49">
        <v>8</v>
      </c>
      <c r="E15" s="48">
        <f t="shared" si="0"/>
        <v>-8</v>
      </c>
      <c r="F15" s="47">
        <f t="shared" si="1"/>
        <v>2.2987936774235052E-2</v>
      </c>
      <c r="G15" s="46">
        <f t="shared" si="2"/>
        <v>2.2987936774235052E-2</v>
      </c>
      <c r="I15" s="50"/>
      <c r="J15" s="48"/>
      <c r="K15" s="49">
        <v>8</v>
      </c>
      <c r="L15" s="48">
        <f t="shared" si="3"/>
        <v>-8</v>
      </c>
      <c r="M15" s="47">
        <f t="shared" si="4"/>
        <v>0.66492083397834567</v>
      </c>
      <c r="N15" s="46">
        <f t="shared" si="5"/>
        <v>0.66492083397834567</v>
      </c>
      <c r="P15" s="50"/>
      <c r="Q15" s="48"/>
      <c r="R15" s="49">
        <v>8</v>
      </c>
      <c r="S15" s="48">
        <f t="shared" si="6"/>
        <v>-8</v>
      </c>
      <c r="T15" s="47">
        <f t="shared" si="7"/>
        <v>0.20228097183773064</v>
      </c>
      <c r="U15" s="46">
        <f t="shared" si="8"/>
        <v>0.20228097183773064</v>
      </c>
    </row>
    <row r="16" spans="2:21" x14ac:dyDescent="0.3">
      <c r="B16" s="50"/>
      <c r="C16" s="48"/>
      <c r="D16" s="49">
        <v>9</v>
      </c>
      <c r="E16" s="48">
        <f t="shared" si="0"/>
        <v>-9</v>
      </c>
      <c r="F16" s="47">
        <f t="shared" si="1"/>
        <v>1.8236798676059429E-2</v>
      </c>
      <c r="G16" s="46">
        <f t="shared" si="2"/>
        <v>1.8236798676059429E-2</v>
      </c>
      <c r="I16" s="50"/>
      <c r="J16" s="48"/>
      <c r="K16" s="49">
        <v>9</v>
      </c>
      <c r="L16" s="48">
        <f t="shared" si="3"/>
        <v>-9</v>
      </c>
      <c r="M16" s="47">
        <f t="shared" si="4"/>
        <v>0.61553869646132031</v>
      </c>
      <c r="N16" s="46">
        <f t="shared" si="5"/>
        <v>0.61553869646132031</v>
      </c>
      <c r="P16" s="50"/>
      <c r="Q16" s="48"/>
      <c r="R16" s="49">
        <v>9</v>
      </c>
      <c r="S16" s="48">
        <f t="shared" si="6"/>
        <v>-9</v>
      </c>
      <c r="T16" s="47">
        <f t="shared" si="7"/>
        <v>0.18927614282344418</v>
      </c>
      <c r="U16" s="46">
        <f t="shared" si="8"/>
        <v>0.18927614282344418</v>
      </c>
    </row>
    <row r="17" spans="2:21" x14ac:dyDescent="0.3">
      <c r="B17" s="50"/>
      <c r="C17" s="48"/>
      <c r="D17" s="49">
        <v>10</v>
      </c>
      <c r="E17" s="48">
        <f t="shared" si="0"/>
        <v>-10</v>
      </c>
      <c r="F17" s="47">
        <f t="shared" si="1"/>
        <v>1.48146631584265E-2</v>
      </c>
      <c r="G17" s="46">
        <f t="shared" si="2"/>
        <v>1.48146631584265E-2</v>
      </c>
      <c r="I17" s="50"/>
      <c r="J17" s="48"/>
      <c r="K17" s="49">
        <v>10</v>
      </c>
      <c r="L17" s="48">
        <f t="shared" si="3"/>
        <v>-10</v>
      </c>
      <c r="M17" s="47">
        <f t="shared" si="4"/>
        <v>0.57059443251752351</v>
      </c>
      <c r="N17" s="46">
        <f t="shared" si="5"/>
        <v>0.57059443251752351</v>
      </c>
      <c r="P17" s="50"/>
      <c r="Q17" s="48"/>
      <c r="R17" s="49">
        <v>10</v>
      </c>
      <c r="S17" s="48">
        <f t="shared" si="6"/>
        <v>-10</v>
      </c>
      <c r="T17" s="47">
        <f t="shared" si="7"/>
        <v>0.17618795866065437</v>
      </c>
      <c r="U17" s="46">
        <f t="shared" si="8"/>
        <v>0.17618795866065437</v>
      </c>
    </row>
    <row r="18" spans="2:21" x14ac:dyDescent="0.3">
      <c r="B18" s="50"/>
      <c r="C18" s="48"/>
      <c r="D18" s="49">
        <v>11</v>
      </c>
      <c r="E18" s="48">
        <f t="shared" si="0"/>
        <v>-11</v>
      </c>
      <c r="F18" s="47">
        <f t="shared" si="1"/>
        <v>1.2269852601703435E-2</v>
      </c>
      <c r="G18" s="46">
        <f t="shared" si="2"/>
        <v>1.2269852601703435E-2</v>
      </c>
      <c r="I18" s="50"/>
      <c r="J18" s="48"/>
      <c r="K18" s="49">
        <v>11</v>
      </c>
      <c r="L18" s="48">
        <f t="shared" si="3"/>
        <v>-11</v>
      </c>
      <c r="M18" s="47">
        <f t="shared" si="4"/>
        <v>0.52991993875245091</v>
      </c>
      <c r="N18" s="46">
        <f t="shared" si="5"/>
        <v>0.52991993875245091</v>
      </c>
      <c r="P18" s="50"/>
      <c r="Q18" s="48"/>
      <c r="R18" s="49">
        <v>11</v>
      </c>
      <c r="S18" s="48">
        <f t="shared" si="6"/>
        <v>-11</v>
      </c>
      <c r="T18" s="47">
        <f t="shared" si="7"/>
        <v>0.16340120304985242</v>
      </c>
      <c r="U18" s="46">
        <f t="shared" si="8"/>
        <v>0.16340120304985242</v>
      </c>
    </row>
    <row r="19" spans="2:21" x14ac:dyDescent="0.3">
      <c r="B19" s="50"/>
      <c r="C19" s="48"/>
      <c r="D19" s="49">
        <v>12</v>
      </c>
      <c r="E19" s="48">
        <f t="shared" si="0"/>
        <v>-12</v>
      </c>
      <c r="F19" s="47">
        <f t="shared" si="1"/>
        <v>1.0326971122326278E-2</v>
      </c>
      <c r="G19" s="46">
        <f t="shared" si="2"/>
        <v>1.0326971122326278E-2</v>
      </c>
      <c r="I19" s="50"/>
      <c r="J19" s="48"/>
      <c r="K19" s="49">
        <v>12</v>
      </c>
      <c r="L19" s="48">
        <f t="shared" si="3"/>
        <v>-12</v>
      </c>
      <c r="M19" s="47">
        <f t="shared" si="4"/>
        <v>0.49320397469621113</v>
      </c>
      <c r="N19" s="46">
        <f t="shared" si="5"/>
        <v>0.49320397469621113</v>
      </c>
      <c r="P19" s="50"/>
      <c r="Q19" s="48"/>
      <c r="R19" s="49">
        <v>12</v>
      </c>
      <c r="S19" s="48">
        <f t="shared" si="6"/>
        <v>-12</v>
      </c>
      <c r="T19" s="47">
        <f t="shared" si="7"/>
        <v>0.15117839562625479</v>
      </c>
      <c r="U19" s="46">
        <f t="shared" si="8"/>
        <v>0.15117839562625479</v>
      </c>
    </row>
    <row r="20" spans="2:21" x14ac:dyDescent="0.3">
      <c r="B20" s="50"/>
      <c r="C20" s="48"/>
      <c r="D20" s="49">
        <v>13</v>
      </c>
      <c r="E20" s="48">
        <f t="shared" si="0"/>
        <v>-13</v>
      </c>
      <c r="F20" s="47">
        <f t="shared" si="1"/>
        <v>8.8105408837219068E-3</v>
      </c>
      <c r="G20" s="46">
        <f t="shared" si="2"/>
        <v>8.8105408837219068E-3</v>
      </c>
      <c r="I20" s="50"/>
      <c r="J20" s="48"/>
      <c r="K20" s="49">
        <v>13</v>
      </c>
      <c r="L20" s="48">
        <f t="shared" si="3"/>
        <v>-13</v>
      </c>
      <c r="M20" s="47">
        <f t="shared" si="4"/>
        <v>0.46008156864109118</v>
      </c>
      <c r="N20" s="46">
        <f t="shared" si="5"/>
        <v>0.46008156864109118</v>
      </c>
      <c r="P20" s="50"/>
      <c r="Q20" s="48"/>
      <c r="R20" s="49">
        <v>13</v>
      </c>
      <c r="S20" s="48">
        <f t="shared" si="6"/>
        <v>-13</v>
      </c>
      <c r="T20" s="47">
        <f t="shared" si="7"/>
        <v>0.13967940487245817</v>
      </c>
      <c r="U20" s="46">
        <f t="shared" si="8"/>
        <v>0.13967940487245817</v>
      </c>
    </row>
    <row r="21" spans="2:21" x14ac:dyDescent="0.3">
      <c r="B21" s="50"/>
      <c r="C21" s="48"/>
      <c r="D21" s="49">
        <v>14</v>
      </c>
      <c r="E21" s="48">
        <f t="shared" si="0"/>
        <v>-14</v>
      </c>
      <c r="F21" s="47">
        <f t="shared" si="1"/>
        <v>7.6045423003854307E-3</v>
      </c>
      <c r="G21" s="46">
        <f t="shared" si="2"/>
        <v>7.6045423003854307E-3</v>
      </c>
      <c r="I21" s="50"/>
      <c r="J21" s="48"/>
      <c r="K21" s="49">
        <v>14</v>
      </c>
      <c r="L21" s="48">
        <f t="shared" si="3"/>
        <v>-14</v>
      </c>
      <c r="M21" s="47">
        <f t="shared" si="4"/>
        <v>0.43018208470343022</v>
      </c>
      <c r="N21" s="46">
        <f t="shared" si="5"/>
        <v>0.43018208470343022</v>
      </c>
      <c r="P21" s="50"/>
      <c r="Q21" s="48"/>
      <c r="R21" s="49">
        <v>14</v>
      </c>
      <c r="S21" s="48">
        <f t="shared" si="6"/>
        <v>-14</v>
      </c>
      <c r="T21" s="47">
        <f t="shared" si="7"/>
        <v>0.12898553565452942</v>
      </c>
      <c r="U21" s="46">
        <f t="shared" si="8"/>
        <v>0.12898553565452942</v>
      </c>
    </row>
    <row r="22" spans="2:21" x14ac:dyDescent="0.3">
      <c r="B22" s="19"/>
      <c r="D22" s="49">
        <v>15</v>
      </c>
      <c r="E22" s="48">
        <f t="shared" si="0"/>
        <v>-15</v>
      </c>
      <c r="F22" s="47">
        <f t="shared" si="1"/>
        <v>6.6298207179777968E-3</v>
      </c>
      <c r="G22" s="46">
        <f t="shared" si="2"/>
        <v>6.6298207179777968E-3</v>
      </c>
      <c r="I22" s="19"/>
      <c r="K22" s="49">
        <v>15</v>
      </c>
      <c r="L22" s="48">
        <f t="shared" si="3"/>
        <v>-15</v>
      </c>
      <c r="M22" s="47">
        <f t="shared" si="4"/>
        <v>0.40315350050145937</v>
      </c>
      <c r="N22" s="46">
        <f t="shared" si="5"/>
        <v>0.40315350050145937</v>
      </c>
      <c r="P22" s="19"/>
      <c r="R22" s="49">
        <v>15</v>
      </c>
      <c r="S22" s="48">
        <f t="shared" si="6"/>
        <v>-15</v>
      </c>
      <c r="T22" s="47">
        <f t="shared" si="7"/>
        <v>0.11912203752564846</v>
      </c>
      <c r="U22" s="46">
        <f t="shared" si="8"/>
        <v>0.11912203752564846</v>
      </c>
    </row>
    <row r="23" spans="2:21" x14ac:dyDescent="0.3">
      <c r="B23" s="19"/>
      <c r="D23" s="49">
        <v>16</v>
      </c>
      <c r="E23" s="48">
        <f t="shared" si="0"/>
        <v>-16</v>
      </c>
      <c r="F23" s="47">
        <f t="shared" si="1"/>
        <v>5.830894585138191E-3</v>
      </c>
      <c r="G23" s="46">
        <f t="shared" si="2"/>
        <v>5.830894585138191E-3</v>
      </c>
      <c r="I23" s="19"/>
      <c r="K23" s="49">
        <v>16</v>
      </c>
      <c r="L23" s="48">
        <f t="shared" si="3"/>
        <v>-16</v>
      </c>
      <c r="M23" s="47">
        <f t="shared" si="4"/>
        <v>0.37867332247605301</v>
      </c>
      <c r="N23" s="46">
        <f t="shared" si="5"/>
        <v>0.37867332247605301</v>
      </c>
      <c r="P23" s="19"/>
      <c r="R23" s="49">
        <v>16</v>
      </c>
      <c r="S23" s="48">
        <f t="shared" si="6"/>
        <v>-16</v>
      </c>
      <c r="T23" s="47">
        <f t="shared" si="7"/>
        <v>0.11007659946383938</v>
      </c>
      <c r="U23" s="46">
        <f t="shared" si="8"/>
        <v>0.11007659946383938</v>
      </c>
    </row>
    <row r="24" spans="2:21" x14ac:dyDescent="0.3">
      <c r="B24" s="19"/>
      <c r="D24" s="49">
        <v>17</v>
      </c>
      <c r="E24" s="48">
        <f t="shared" si="0"/>
        <v>-17</v>
      </c>
      <c r="F24" s="47">
        <f t="shared" si="1"/>
        <v>5.1679522497454222E-3</v>
      </c>
      <c r="G24" s="46">
        <f t="shared" si="2"/>
        <v>5.1679522497454222E-3</v>
      </c>
      <c r="I24" s="19"/>
      <c r="K24" s="49">
        <v>17</v>
      </c>
      <c r="L24" s="48">
        <f t="shared" si="3"/>
        <v>-17</v>
      </c>
      <c r="M24" s="47">
        <f t="shared" si="4"/>
        <v>0.35645219459215094</v>
      </c>
      <c r="N24" s="46">
        <f t="shared" si="5"/>
        <v>0.35645219459215094</v>
      </c>
      <c r="P24" s="19"/>
      <c r="R24" s="49">
        <v>17</v>
      </c>
      <c r="S24" s="48">
        <f t="shared" si="6"/>
        <v>-17</v>
      </c>
      <c r="T24" s="47">
        <f t="shared" si="7"/>
        <v>0.10181340685344678</v>
      </c>
      <c r="U24" s="46">
        <f t="shared" si="8"/>
        <v>0.10181340685344678</v>
      </c>
    </row>
    <row r="25" spans="2:21" x14ac:dyDescent="0.3">
      <c r="B25" s="19"/>
      <c r="D25" s="49">
        <v>18</v>
      </c>
      <c r="E25" s="48">
        <f t="shared" si="0"/>
        <v>-18</v>
      </c>
      <c r="F25" s="47">
        <f t="shared" si="1"/>
        <v>4.611832496758228E-3</v>
      </c>
      <c r="G25" s="46">
        <f t="shared" si="2"/>
        <v>4.611832496758228E-3</v>
      </c>
      <c r="I25" s="19"/>
      <c r="K25" s="49">
        <v>18</v>
      </c>
      <c r="L25" s="48">
        <f t="shared" si="3"/>
        <v>-18</v>
      </c>
      <c r="M25" s="47">
        <f t="shared" si="4"/>
        <v>0.3362336656350644</v>
      </c>
      <c r="N25" s="46">
        <f t="shared" si="5"/>
        <v>0.3362336656350644</v>
      </c>
      <c r="P25" s="19"/>
      <c r="R25" s="49">
        <v>18</v>
      </c>
      <c r="S25" s="48">
        <f t="shared" si="6"/>
        <v>-18</v>
      </c>
      <c r="T25" s="47">
        <f t="shared" si="7"/>
        <v>9.4283254248299225E-2</v>
      </c>
      <c r="U25" s="46">
        <f t="shared" si="8"/>
        <v>9.4283254248299225E-2</v>
      </c>
    </row>
    <row r="26" spans="2:21" x14ac:dyDescent="0.3">
      <c r="B26" s="19"/>
      <c r="D26" s="49">
        <v>19</v>
      </c>
      <c r="E26" s="48">
        <f t="shared" si="0"/>
        <v>-19</v>
      </c>
      <c r="F26" s="47">
        <f t="shared" si="1"/>
        <v>4.1407834557016798E-3</v>
      </c>
      <c r="G26" s="46">
        <f t="shared" si="2"/>
        <v>4.1407834557016798E-3</v>
      </c>
      <c r="I26" s="19"/>
      <c r="K26" s="49">
        <v>19</v>
      </c>
      <c r="L26" s="48">
        <f t="shared" si="3"/>
        <v>-19</v>
      </c>
      <c r="M26" s="47">
        <f t="shared" si="4"/>
        <v>0.3177920716160032</v>
      </c>
      <c r="N26" s="46">
        <f t="shared" si="5"/>
        <v>0.3177920716160032</v>
      </c>
      <c r="P26" s="19"/>
      <c r="R26" s="49">
        <v>19</v>
      </c>
      <c r="S26" s="48">
        <f t="shared" si="6"/>
        <v>-19</v>
      </c>
      <c r="T26" s="47">
        <f t="shared" si="7"/>
        <v>8.7430505493090588E-2</v>
      </c>
      <c r="U26" s="46">
        <f t="shared" si="8"/>
        <v>8.7430505493090588E-2</v>
      </c>
    </row>
    <row r="27" spans="2:21" x14ac:dyDescent="0.3">
      <c r="B27" s="19"/>
      <c r="D27" s="49">
        <v>20</v>
      </c>
      <c r="E27" s="48">
        <f t="shared" si="0"/>
        <v>-20</v>
      </c>
      <c r="F27" s="47">
        <f t="shared" si="1"/>
        <v>3.7383153338206299E-3</v>
      </c>
      <c r="G27" s="46">
        <f t="shared" si="2"/>
        <v>3.7383153338206299E-3</v>
      </c>
      <c r="I27" s="19"/>
      <c r="K27" s="49">
        <v>20</v>
      </c>
      <c r="L27" s="48">
        <f t="shared" si="3"/>
        <v>-20</v>
      </c>
      <c r="M27" s="47">
        <f t="shared" si="4"/>
        <v>0.30092961950660313</v>
      </c>
      <c r="N27" s="46">
        <f t="shared" si="5"/>
        <v>0.30092961950660313</v>
      </c>
      <c r="P27" s="19"/>
      <c r="R27" s="49">
        <v>20</v>
      </c>
      <c r="S27" s="48">
        <f t="shared" si="6"/>
        <v>-20</v>
      </c>
      <c r="T27" s="47">
        <f t="shared" si="7"/>
        <v>8.1197689890802865E-2</v>
      </c>
      <c r="U27" s="46">
        <f t="shared" si="8"/>
        <v>8.1197689890802865E-2</v>
      </c>
    </row>
    <row r="28" spans="2:21" x14ac:dyDescent="0.3">
      <c r="B28" s="19"/>
      <c r="D28" s="49">
        <v>21</v>
      </c>
      <c r="E28" s="48">
        <f t="shared" si="0"/>
        <v>-21</v>
      </c>
      <c r="F28" s="47">
        <f t="shared" si="1"/>
        <v>3.3917449400973076E-3</v>
      </c>
      <c r="G28" s="46">
        <f t="shared" si="2"/>
        <v>3.3917449400973076E-3</v>
      </c>
      <c r="I28" s="19"/>
      <c r="K28" s="49">
        <v>21</v>
      </c>
      <c r="L28" s="48">
        <f t="shared" si="3"/>
        <v>-21</v>
      </c>
      <c r="M28" s="47">
        <f t="shared" si="4"/>
        <v>0.28547325988266836</v>
      </c>
      <c r="N28" s="46">
        <f t="shared" si="5"/>
        <v>0.28547325988266836</v>
      </c>
      <c r="P28" s="19"/>
      <c r="R28" s="49">
        <v>21</v>
      </c>
      <c r="S28" s="48">
        <f t="shared" si="6"/>
        <v>-21</v>
      </c>
      <c r="T28" s="47">
        <f t="shared" si="7"/>
        <v>7.5528401710157816E-2</v>
      </c>
      <c r="U28" s="46">
        <f t="shared" si="8"/>
        <v>7.5528401710157816E-2</v>
      </c>
    </row>
    <row r="29" spans="2:21" x14ac:dyDescent="0.3">
      <c r="B29" s="19"/>
      <c r="D29" s="49">
        <v>22</v>
      </c>
      <c r="E29" s="48">
        <f t="shared" si="0"/>
        <v>-22</v>
      </c>
      <c r="F29" s="47">
        <f t="shared" si="1"/>
        <v>3.0911887385874914E-3</v>
      </c>
      <c r="G29" s="46">
        <f t="shared" si="2"/>
        <v>3.0911887385874914E-3</v>
      </c>
      <c r="I29" s="19"/>
      <c r="K29" s="49">
        <v>22</v>
      </c>
      <c r="L29" s="48">
        <f t="shared" si="3"/>
        <v>-22</v>
      </c>
      <c r="M29" s="47">
        <f t="shared" si="4"/>
        <v>0.27127165243957574</v>
      </c>
      <c r="N29" s="46">
        <f t="shared" si="5"/>
        <v>0.27127165243957574</v>
      </c>
      <c r="P29" s="19"/>
      <c r="R29" s="49">
        <v>22</v>
      </c>
      <c r="S29" s="48">
        <f t="shared" si="6"/>
        <v>-22</v>
      </c>
      <c r="T29" s="47">
        <f t="shared" si="7"/>
        <v>7.036902206914733E-2</v>
      </c>
      <c r="U29" s="46">
        <f t="shared" si="8"/>
        <v>7.036902206914733E-2</v>
      </c>
    </row>
    <row r="30" spans="2:21" x14ac:dyDescent="0.3">
      <c r="B30" s="19"/>
      <c r="D30" s="49">
        <v>23</v>
      </c>
      <c r="E30" s="48">
        <f t="shared" si="0"/>
        <v>-23</v>
      </c>
      <c r="F30" s="47">
        <f t="shared" si="1"/>
        <v>2.8288532644783482E-3</v>
      </c>
      <c r="G30" s="46">
        <f t="shared" si="2"/>
        <v>2.8288532644783482E-3</v>
      </c>
      <c r="I30" s="19"/>
      <c r="K30" s="49">
        <v>23</v>
      </c>
      <c r="L30" s="48">
        <f t="shared" si="3"/>
        <v>-23</v>
      </c>
      <c r="M30" s="47">
        <f t="shared" si="4"/>
        <v>0.25819236874844054</v>
      </c>
      <c r="N30" s="46">
        <f t="shared" si="5"/>
        <v>0.25819236874844054</v>
      </c>
      <c r="P30" s="19"/>
      <c r="R30" s="49">
        <v>23</v>
      </c>
      <c r="S30" s="48">
        <f t="shared" si="6"/>
        <v>-23</v>
      </c>
      <c r="T30" s="47">
        <f t="shared" si="7"/>
        <v>6.5669646706885659E-2</v>
      </c>
      <c r="U30" s="46">
        <f t="shared" si="8"/>
        <v>6.5669646706885659E-2</v>
      </c>
    </row>
    <row r="31" spans="2:21" x14ac:dyDescent="0.3">
      <c r="B31" s="19"/>
      <c r="D31" s="49">
        <v>24</v>
      </c>
      <c r="E31" s="48">
        <f t="shared" si="0"/>
        <v>-24</v>
      </c>
      <c r="F31" s="47">
        <f t="shared" si="1"/>
        <v>2.5985266877041058E-3</v>
      </c>
      <c r="G31" s="46">
        <f t="shared" si="2"/>
        <v>2.5985266877041058E-3</v>
      </c>
      <c r="I31" s="19"/>
      <c r="K31" s="49">
        <v>24</v>
      </c>
      <c r="L31" s="48">
        <f t="shared" si="3"/>
        <v>-24</v>
      </c>
      <c r="M31" s="47">
        <f t="shared" si="4"/>
        <v>0.24611938839473224</v>
      </c>
      <c r="N31" s="46">
        <f t="shared" si="5"/>
        <v>0.24611938839473224</v>
      </c>
      <c r="P31" s="19"/>
      <c r="R31" s="49">
        <v>24</v>
      </c>
      <c r="S31" s="48">
        <f t="shared" si="6"/>
        <v>-24</v>
      </c>
      <c r="T31" s="47">
        <f t="shared" si="7"/>
        <v>6.1384493301979398E-2</v>
      </c>
      <c r="U31" s="46">
        <f t="shared" si="8"/>
        <v>6.1384493301979398E-2</v>
      </c>
    </row>
    <row r="32" spans="2:21" x14ac:dyDescent="0.3">
      <c r="B32" s="19"/>
      <c r="D32" s="49">
        <v>25</v>
      </c>
      <c r="E32" s="48">
        <f t="shared" si="0"/>
        <v>-25</v>
      </c>
      <c r="F32" s="47">
        <f t="shared" si="1"/>
        <v>2.3952089439003288E-3</v>
      </c>
      <c r="G32" s="46">
        <f t="shared" si="2"/>
        <v>2.3952089439003288E-3</v>
      </c>
      <c r="I32" s="19"/>
      <c r="K32" s="49">
        <v>25</v>
      </c>
      <c r="L32" s="48">
        <f t="shared" si="3"/>
        <v>-25</v>
      </c>
      <c r="M32" s="47">
        <f t="shared" si="4"/>
        <v>0.23495089732825936</v>
      </c>
      <c r="N32" s="46">
        <f t="shared" si="5"/>
        <v>0.23495089732825936</v>
      </c>
      <c r="P32" s="19"/>
      <c r="R32" s="49">
        <v>25</v>
      </c>
      <c r="S32" s="48">
        <f t="shared" si="6"/>
        <v>-25</v>
      </c>
      <c r="T32" s="47">
        <f t="shared" si="7"/>
        <v>5.7471978598917756E-2</v>
      </c>
      <c r="U32" s="46">
        <f t="shared" si="8"/>
        <v>5.7471978598917756E-2</v>
      </c>
    </row>
    <row r="33" spans="2:21" x14ac:dyDescent="0.3">
      <c r="B33" s="19"/>
      <c r="D33" s="49">
        <v>26</v>
      </c>
      <c r="E33" s="48">
        <f t="shared" si="0"/>
        <v>-26</v>
      </c>
      <c r="F33" s="47">
        <f t="shared" si="1"/>
        <v>2.214838920578388E-3</v>
      </c>
      <c r="G33" s="46">
        <f t="shared" si="2"/>
        <v>2.214838920578388E-3</v>
      </c>
      <c r="I33" s="19"/>
      <c r="K33" s="49">
        <v>26</v>
      </c>
      <c r="L33" s="48">
        <f t="shared" si="3"/>
        <v>-26</v>
      </c>
      <c r="M33" s="47">
        <f t="shared" si="4"/>
        <v>0.22459737323848328</v>
      </c>
      <c r="N33" s="46">
        <f t="shared" si="5"/>
        <v>0.22459737323848328</v>
      </c>
      <c r="P33" s="19"/>
      <c r="R33" s="49">
        <v>26</v>
      </c>
      <c r="S33" s="48">
        <f t="shared" si="6"/>
        <v>-26</v>
      </c>
      <c r="T33" s="47">
        <f t="shared" si="7"/>
        <v>5.3894594826484621E-2</v>
      </c>
      <c r="U33" s="46">
        <f t="shared" si="8"/>
        <v>5.3894594826484621E-2</v>
      </c>
    </row>
    <row r="34" spans="2:21" x14ac:dyDescent="0.3">
      <c r="B34" s="19"/>
      <c r="D34" s="49">
        <v>27</v>
      </c>
      <c r="E34" s="48">
        <f t="shared" si="0"/>
        <v>-27</v>
      </c>
      <c r="F34" s="47">
        <f t="shared" si="1"/>
        <v>2.0540906630504008E-3</v>
      </c>
      <c r="G34" s="46">
        <f t="shared" si="2"/>
        <v>2.0540906630504008E-3</v>
      </c>
      <c r="I34" s="19"/>
      <c r="K34" s="49">
        <v>27</v>
      </c>
      <c r="L34" s="48">
        <f t="shared" si="3"/>
        <v>-27</v>
      </c>
      <c r="M34" s="47">
        <f t="shared" si="4"/>
        <v>0.21497993185880859</v>
      </c>
      <c r="N34" s="46">
        <f t="shared" si="5"/>
        <v>0.21497993185880859</v>
      </c>
      <c r="P34" s="19"/>
      <c r="R34" s="49">
        <v>27</v>
      </c>
      <c r="S34" s="48">
        <f t="shared" si="6"/>
        <v>-27</v>
      </c>
      <c r="T34" s="47">
        <f t="shared" si="7"/>
        <v>5.0618671812784705E-2</v>
      </c>
      <c r="U34" s="46">
        <f t="shared" si="8"/>
        <v>5.0618671812784705E-2</v>
      </c>
    </row>
    <row r="35" spans="2:21" x14ac:dyDescent="0.3">
      <c r="B35" s="19"/>
      <c r="D35" s="49">
        <v>28</v>
      </c>
      <c r="E35" s="48">
        <f t="shared" si="0"/>
        <v>-28</v>
      </c>
      <c r="F35" s="47">
        <f t="shared" si="1"/>
        <v>1.910219352256215E-3</v>
      </c>
      <c r="G35" s="46">
        <f t="shared" si="2"/>
        <v>1.910219352256215E-3</v>
      </c>
      <c r="I35" s="19"/>
      <c r="K35" s="49">
        <v>28</v>
      </c>
      <c r="L35" s="48">
        <f t="shared" si="3"/>
        <v>-28</v>
      </c>
      <c r="M35" s="47">
        <f t="shared" si="4"/>
        <v>0.20602890440817212</v>
      </c>
      <c r="N35" s="46">
        <f t="shared" si="5"/>
        <v>0.20602890440817212</v>
      </c>
      <c r="P35" s="19"/>
      <c r="R35" s="49">
        <v>28</v>
      </c>
      <c r="S35" s="48">
        <f t="shared" si="6"/>
        <v>-28</v>
      </c>
      <c r="T35" s="47">
        <f t="shared" si="7"/>
        <v>4.7614081283012505E-2</v>
      </c>
      <c r="U35" s="46">
        <f t="shared" si="8"/>
        <v>4.7614081283012505E-2</v>
      </c>
    </row>
    <row r="36" spans="2:21" x14ac:dyDescent="0.3">
      <c r="B36" s="19"/>
      <c r="D36" s="49">
        <v>29</v>
      </c>
      <c r="E36" s="48">
        <f t="shared" si="0"/>
        <v>-29</v>
      </c>
      <c r="F36" s="47">
        <f t="shared" si="1"/>
        <v>1.7809436385187727E-3</v>
      </c>
      <c r="G36" s="46">
        <f t="shared" si="2"/>
        <v>1.7809436385187727E-3</v>
      </c>
      <c r="I36" s="19"/>
      <c r="K36" s="49">
        <v>29</v>
      </c>
      <c r="L36" s="48">
        <f t="shared" si="3"/>
        <v>-29</v>
      </c>
      <c r="M36" s="47">
        <f t="shared" si="4"/>
        <v>0.19768261650895436</v>
      </c>
      <c r="N36" s="46">
        <f t="shared" si="5"/>
        <v>0.19768261650895436</v>
      </c>
      <c r="P36" s="19"/>
      <c r="R36" s="49">
        <v>29</v>
      </c>
      <c r="S36" s="48">
        <f t="shared" si="6"/>
        <v>-29</v>
      </c>
      <c r="T36" s="47">
        <f t="shared" si="7"/>
        <v>4.4853919382816104E-2</v>
      </c>
      <c r="U36" s="46">
        <f t="shared" si="8"/>
        <v>4.4853919382816104E-2</v>
      </c>
    </row>
    <row r="37" spans="2:21" x14ac:dyDescent="0.3">
      <c r="B37" s="19"/>
      <c r="D37" s="49">
        <v>30</v>
      </c>
      <c r="E37" s="48">
        <f t="shared" si="0"/>
        <v>-30</v>
      </c>
      <c r="F37" s="47">
        <f t="shared" si="1"/>
        <v>1.6643548487914606E-3</v>
      </c>
      <c r="G37" s="46">
        <f t="shared" si="2"/>
        <v>1.6643548487914606E-3</v>
      </c>
      <c r="I37" s="19"/>
      <c r="K37" s="49">
        <v>30</v>
      </c>
      <c r="L37" s="48">
        <f t="shared" si="3"/>
        <v>-30</v>
      </c>
      <c r="M37" s="47">
        <f t="shared" si="4"/>
        <v>0.1898863409433813</v>
      </c>
      <c r="N37" s="46">
        <f t="shared" si="5"/>
        <v>0.1898863409433813</v>
      </c>
      <c r="P37" s="19"/>
      <c r="R37" s="49">
        <v>30</v>
      </c>
      <c r="S37" s="48">
        <f t="shared" si="6"/>
        <v>-30</v>
      </c>
      <c r="T37" s="47">
        <f t="shared" si="7"/>
        <v>4.2314189699236643E-2</v>
      </c>
      <c r="U37" s="46">
        <f t="shared" si="8"/>
        <v>4.2314189699236643E-2</v>
      </c>
    </row>
    <row r="38" spans="2:21" x14ac:dyDescent="0.3">
      <c r="B38" s="19"/>
      <c r="D38" s="49">
        <v>31</v>
      </c>
      <c r="E38" s="48">
        <f t="shared" si="0"/>
        <v>-31</v>
      </c>
      <c r="F38" s="47">
        <f t="shared" si="1"/>
        <v>1.5588462781169765E-3</v>
      </c>
      <c r="G38" s="46">
        <f t="shared" si="2"/>
        <v>1.5588462781169765E-3</v>
      </c>
      <c r="I38" s="19"/>
      <c r="K38" s="49">
        <v>31</v>
      </c>
      <c r="L38" s="48">
        <f t="shared" si="3"/>
        <v>-31</v>
      </c>
      <c r="M38" s="47">
        <f t="shared" si="4"/>
        <v>0.18259139943985248</v>
      </c>
      <c r="N38" s="46">
        <f t="shared" si="5"/>
        <v>0.18259139943985248</v>
      </c>
      <c r="P38" s="19"/>
      <c r="R38" s="49">
        <v>31</v>
      </c>
      <c r="S38" s="48">
        <f t="shared" si="6"/>
        <v>-31</v>
      </c>
      <c r="T38" s="47">
        <f t="shared" si="7"/>
        <v>3.9973499904009446E-2</v>
      </c>
      <c r="U38" s="46">
        <f t="shared" si="8"/>
        <v>3.9973499904009446E-2</v>
      </c>
    </row>
    <row r="39" spans="2:21" x14ac:dyDescent="0.3">
      <c r="B39" s="19"/>
      <c r="D39" s="49">
        <v>32</v>
      </c>
      <c r="E39" s="48">
        <f t="shared" si="0"/>
        <v>-32</v>
      </c>
      <c r="F39" s="47">
        <f t="shared" si="1"/>
        <v>1.4630576456891031E-3</v>
      </c>
      <c r="G39" s="46">
        <f t="shared" si="2"/>
        <v>1.4630576456891031E-3</v>
      </c>
      <c r="I39" s="19"/>
      <c r="K39" s="49">
        <v>32</v>
      </c>
      <c r="L39" s="48">
        <f t="shared" si="3"/>
        <v>-32</v>
      </c>
      <c r="M39" s="47">
        <f t="shared" si="4"/>
        <v>0.17575439172174834</v>
      </c>
      <c r="N39" s="46">
        <f t="shared" si="5"/>
        <v>0.17575439172174834</v>
      </c>
      <c r="P39" s="19"/>
      <c r="R39" s="49">
        <v>32</v>
      </c>
      <c r="S39" s="48">
        <f t="shared" si="6"/>
        <v>-32</v>
      </c>
      <c r="T39" s="47">
        <f t="shared" si="7"/>
        <v>3.7812779160933618E-2</v>
      </c>
      <c r="U39" s="46">
        <f t="shared" si="8"/>
        <v>3.7812779160933618E-2</v>
      </c>
    </row>
    <row r="40" spans="2:21" x14ac:dyDescent="0.3">
      <c r="B40" s="19"/>
      <c r="D40" s="49">
        <v>33</v>
      </c>
      <c r="E40" s="48">
        <f t="shared" ref="E40:E71" si="9">-D40</f>
        <v>-33</v>
      </c>
      <c r="F40" s="47">
        <f t="shared" ref="F40:F71" si="10">(1-1/(1+(E$5/2/D40)^2)^1.5)</f>
        <v>1.3758311107152643E-3</v>
      </c>
      <c r="G40" s="46">
        <f t="shared" ref="G40:G71" si="11">F40*C$5</f>
        <v>1.3758311107152643E-3</v>
      </c>
      <c r="I40" s="19"/>
      <c r="K40" s="49">
        <v>33</v>
      </c>
      <c r="L40" s="48">
        <f t="shared" ref="L40:L71" si="12">-K40</f>
        <v>-33</v>
      </c>
      <c r="M40" s="47">
        <f t="shared" ref="M40:M71" si="13">(1-1/(1+(M$5/2/K40)^(1+0.38+0.62*J38))^(2.6-0.84*J38))</f>
        <v>0.16933653299400642</v>
      </c>
      <c r="N40" s="46">
        <f t="shared" ref="N40:N71" si="14">M40*J$5</f>
        <v>0.16933653299400642</v>
      </c>
      <c r="P40" s="19"/>
      <c r="R40" s="49">
        <v>33</v>
      </c>
      <c r="S40" s="48">
        <f t="shared" ref="S40:S71" si="15">-R40</f>
        <v>-33</v>
      </c>
      <c r="T40" s="47">
        <f t="shared" ref="T40:T57" si="16">(1-1/(1+(T$5/R40)^(1+0.38+0.62*$Q$6))^(2.6-0.84*$Q$6))/4</f>
        <v>3.5815019598330833E-2</v>
      </c>
      <c r="U40" s="46">
        <f t="shared" ref="U40:U71" si="17">T40*Q$5</f>
        <v>3.5815019598330833E-2</v>
      </c>
    </row>
    <row r="41" spans="2:21" x14ac:dyDescent="0.3">
      <c r="B41" s="19"/>
      <c r="D41" s="49">
        <v>34</v>
      </c>
      <c r="E41" s="48">
        <f t="shared" si="9"/>
        <v>-34</v>
      </c>
      <c r="F41" s="47">
        <f t="shared" si="10"/>
        <v>1.2961761790905024E-3</v>
      </c>
      <c r="G41" s="46">
        <f t="shared" si="11"/>
        <v>1.2961761790905024E-3</v>
      </c>
      <c r="I41" s="19"/>
      <c r="K41" s="49">
        <v>34</v>
      </c>
      <c r="L41" s="48">
        <f t="shared" si="12"/>
        <v>-34</v>
      </c>
      <c r="M41" s="47">
        <f t="shared" si="13"/>
        <v>0.16330308373912117</v>
      </c>
      <c r="N41" s="46">
        <f t="shared" si="14"/>
        <v>0.16330308373912117</v>
      </c>
      <c r="P41" s="19"/>
      <c r="R41" s="49">
        <v>34</v>
      </c>
      <c r="S41" s="48">
        <f t="shared" si="15"/>
        <v>-34</v>
      </c>
      <c r="T41" s="47">
        <f t="shared" si="16"/>
        <v>3.3965042743172552E-2</v>
      </c>
      <c r="U41" s="46">
        <f t="shared" si="17"/>
        <v>3.3965042743172552E-2</v>
      </c>
    </row>
    <row r="42" spans="2:21" x14ac:dyDescent="0.3">
      <c r="B42" s="19"/>
      <c r="D42" s="49">
        <v>35</v>
      </c>
      <c r="E42" s="48">
        <f t="shared" si="9"/>
        <v>-35</v>
      </c>
      <c r="F42" s="47">
        <f t="shared" si="10"/>
        <v>1.2232415054231893E-3</v>
      </c>
      <c r="G42" s="46">
        <f t="shared" si="11"/>
        <v>1.2232415054231893E-3</v>
      </c>
      <c r="I42" s="19"/>
      <c r="K42" s="49">
        <v>35</v>
      </c>
      <c r="L42" s="48">
        <f t="shared" si="12"/>
        <v>-35</v>
      </c>
      <c r="M42" s="47">
        <f t="shared" si="13"/>
        <v>0.15762285808710985</v>
      </c>
      <c r="N42" s="46">
        <f t="shared" si="14"/>
        <v>0.15762285808710985</v>
      </c>
      <c r="P42" s="19"/>
      <c r="R42" s="49">
        <v>35</v>
      </c>
      <c r="S42" s="48">
        <f t="shared" si="15"/>
        <v>-35</v>
      </c>
      <c r="T42" s="47">
        <f t="shared" si="16"/>
        <v>3.2249290361914457E-2</v>
      </c>
      <c r="U42" s="46">
        <f t="shared" si="17"/>
        <v>3.2249290361914457E-2</v>
      </c>
    </row>
    <row r="43" spans="2:21" x14ac:dyDescent="0.3">
      <c r="B43" s="19"/>
      <c r="D43" s="49">
        <v>36</v>
      </c>
      <c r="E43" s="48">
        <f t="shared" si="9"/>
        <v>-36</v>
      </c>
      <c r="F43" s="47">
        <f t="shared" si="10"/>
        <v>1.1562920848704472E-3</v>
      </c>
      <c r="G43" s="46">
        <f t="shared" si="11"/>
        <v>1.1562920848704472E-3</v>
      </c>
      <c r="I43" s="19"/>
      <c r="K43" s="49">
        <v>36</v>
      </c>
      <c r="L43" s="48">
        <f t="shared" si="12"/>
        <v>-36</v>
      </c>
      <c r="M43" s="47">
        <f t="shared" si="13"/>
        <v>0.15226779910537924</v>
      </c>
      <c r="N43" s="46">
        <f t="shared" si="14"/>
        <v>0.15226779910537924</v>
      </c>
      <c r="P43" s="19"/>
      <c r="R43" s="49">
        <v>36</v>
      </c>
      <c r="S43" s="48">
        <f t="shared" si="15"/>
        <v>-36</v>
      </c>
      <c r="T43" s="47">
        <f t="shared" si="16"/>
        <v>3.0655638326247125E-2</v>
      </c>
      <c r="U43" s="46">
        <f t="shared" si="17"/>
        <v>3.0655638326247125E-2</v>
      </c>
    </row>
    <row r="44" spans="2:21" x14ac:dyDescent="0.3">
      <c r="B44" s="19"/>
      <c r="D44" s="49">
        <v>37</v>
      </c>
      <c r="E44" s="48">
        <f t="shared" si="9"/>
        <v>-37</v>
      </c>
      <c r="F44" s="47">
        <f t="shared" si="10"/>
        <v>1.0946906890975105E-3</v>
      </c>
      <c r="G44" s="46">
        <f t="shared" si="11"/>
        <v>1.0946906890975105E-3</v>
      </c>
      <c r="I44" s="19"/>
      <c r="K44" s="49">
        <v>37</v>
      </c>
      <c r="L44" s="48">
        <f t="shared" si="12"/>
        <v>-37</v>
      </c>
      <c r="M44" s="47">
        <f t="shared" si="13"/>
        <v>0.14721261114158646</v>
      </c>
      <c r="N44" s="46">
        <f t="shared" si="14"/>
        <v>0.14721261114158646</v>
      </c>
      <c r="P44" s="19"/>
      <c r="R44" s="49">
        <v>37</v>
      </c>
      <c r="S44" s="48">
        <f t="shared" si="15"/>
        <v>-37</v>
      </c>
      <c r="T44" s="47">
        <f t="shared" si="16"/>
        <v>2.9173231698596841E-2</v>
      </c>
      <c r="U44" s="46">
        <f t="shared" si="17"/>
        <v>2.9173231698596841E-2</v>
      </c>
    </row>
    <row r="45" spans="2:21" x14ac:dyDescent="0.3">
      <c r="B45" s="19"/>
      <c r="D45" s="49">
        <v>38</v>
      </c>
      <c r="E45" s="48">
        <f t="shared" si="9"/>
        <v>-38</v>
      </c>
      <c r="F45" s="47">
        <f t="shared" si="10"/>
        <v>1.0378826674660724E-3</v>
      </c>
      <c r="G45" s="46">
        <f t="shared" si="11"/>
        <v>1.0378826674660724E-3</v>
      </c>
      <c r="I45" s="19"/>
      <c r="K45" s="49">
        <v>38</v>
      </c>
      <c r="L45" s="48">
        <f t="shared" si="12"/>
        <v>-38</v>
      </c>
      <c r="M45" s="47">
        <f t="shared" si="13"/>
        <v>0.14243444087402513</v>
      </c>
      <c r="N45" s="46">
        <f t="shared" si="14"/>
        <v>0.14243444087402513</v>
      </c>
      <c r="P45" s="19"/>
      <c r="R45" s="49">
        <v>38</v>
      </c>
      <c r="S45" s="48">
        <f t="shared" si="15"/>
        <v>-38</v>
      </c>
      <c r="T45" s="47">
        <f t="shared" si="16"/>
        <v>2.7792339064208943E-2</v>
      </c>
      <c r="U45" s="46">
        <f t="shared" si="17"/>
        <v>2.7792339064208943E-2</v>
      </c>
    </row>
    <row r="46" spans="2:21" x14ac:dyDescent="0.3">
      <c r="B46" s="19"/>
      <c r="D46" s="49">
        <v>39</v>
      </c>
      <c r="E46" s="48">
        <f t="shared" si="9"/>
        <v>-39</v>
      </c>
      <c r="F46" s="47">
        <f t="shared" si="10"/>
        <v>9.853834340859402E-4</v>
      </c>
      <c r="G46" s="46">
        <f t="shared" si="11"/>
        <v>9.853834340859402E-4</v>
      </c>
      <c r="I46" s="19"/>
      <c r="K46" s="49">
        <v>39</v>
      </c>
      <c r="L46" s="48">
        <f t="shared" si="12"/>
        <v>-39</v>
      </c>
      <c r="M46" s="47">
        <f t="shared" si="13"/>
        <v>0.1379126000121359</v>
      </c>
      <c r="N46" s="46">
        <f t="shared" si="14"/>
        <v>0.1379126000121359</v>
      </c>
      <c r="P46" s="19"/>
      <c r="R46" s="49">
        <v>39</v>
      </c>
      <c r="S46" s="48">
        <f t="shared" si="15"/>
        <v>-39</v>
      </c>
      <c r="T46" s="47">
        <f t="shared" si="16"/>
        <v>2.650422412568465E-2</v>
      </c>
      <c r="U46" s="46">
        <f t="shared" si="17"/>
        <v>2.650422412568465E-2</v>
      </c>
    </row>
    <row r="47" spans="2:21" x14ac:dyDescent="0.3">
      <c r="B47" s="19"/>
      <c r="D47" s="49">
        <v>40</v>
      </c>
      <c r="E47" s="48">
        <f t="shared" si="9"/>
        <v>-40</v>
      </c>
      <c r="F47" s="47">
        <f t="shared" si="10"/>
        <v>9.3676811180753994E-4</v>
      </c>
      <c r="G47" s="46">
        <f t="shared" si="11"/>
        <v>9.3676811180753994E-4</v>
      </c>
      <c r="I47" s="19"/>
      <c r="K47" s="49">
        <v>40</v>
      </c>
      <c r="L47" s="48">
        <f t="shared" si="12"/>
        <v>-40</v>
      </c>
      <c r="M47" s="47">
        <f t="shared" si="13"/>
        <v>0.13362832367637678</v>
      </c>
      <c r="N47" s="46">
        <f t="shared" si="14"/>
        <v>0.13362832367637678</v>
      </c>
      <c r="P47" s="19"/>
      <c r="R47" s="49">
        <v>40</v>
      </c>
      <c r="S47" s="48">
        <f t="shared" si="15"/>
        <v>-40</v>
      </c>
      <c r="T47" s="47">
        <f t="shared" si="16"/>
        <v>2.530103265725081E-2</v>
      </c>
      <c r="U47" s="46">
        <f t="shared" si="17"/>
        <v>2.530103265725081E-2</v>
      </c>
    </row>
    <row r="48" spans="2:21" x14ac:dyDescent="0.3">
      <c r="B48" s="19"/>
      <c r="D48" s="49">
        <v>41</v>
      </c>
      <c r="E48" s="48">
        <f t="shared" si="9"/>
        <v>-41</v>
      </c>
      <c r="F48" s="47">
        <f t="shared" si="10"/>
        <v>8.9166291856901392E-4</v>
      </c>
      <c r="G48" s="46">
        <f t="shared" si="11"/>
        <v>8.9166291856901392E-4</v>
      </c>
      <c r="I48" s="19"/>
      <c r="K48" s="49">
        <v>41</v>
      </c>
      <c r="L48" s="48">
        <f t="shared" si="12"/>
        <v>-41</v>
      </c>
      <c r="M48" s="47">
        <f t="shared" si="13"/>
        <v>0.12956455940153</v>
      </c>
      <c r="N48" s="46">
        <f t="shared" si="14"/>
        <v>0.12956455940153</v>
      </c>
      <c r="P48" s="19"/>
      <c r="R48" s="49">
        <v>41</v>
      </c>
      <c r="S48" s="48">
        <f t="shared" si="15"/>
        <v>-41</v>
      </c>
      <c r="T48" s="47">
        <f t="shared" si="16"/>
        <v>2.4175693047799984E-2</v>
      </c>
      <c r="U48" s="46">
        <f t="shared" si="17"/>
        <v>2.4175693047799984E-2</v>
      </c>
    </row>
    <row r="49" spans="2:21" x14ac:dyDescent="0.3">
      <c r="B49" s="19"/>
      <c r="D49" s="49">
        <v>42</v>
      </c>
      <c r="E49" s="48">
        <f t="shared" si="9"/>
        <v>-42</v>
      </c>
      <c r="F49" s="47">
        <f t="shared" si="10"/>
        <v>8.4973796903342613E-4</v>
      </c>
      <c r="G49" s="46">
        <f t="shared" si="11"/>
        <v>8.4973796903342613E-4</v>
      </c>
      <c r="I49" s="19"/>
      <c r="K49" s="49">
        <v>42</v>
      </c>
      <c r="L49" s="48">
        <f t="shared" si="12"/>
        <v>-42</v>
      </c>
      <c r="M49" s="47">
        <f t="shared" si="13"/>
        <v>0.12570578247693154</v>
      </c>
      <c r="N49" s="46">
        <f t="shared" si="14"/>
        <v>0.12570578247693154</v>
      </c>
      <c r="P49" s="19"/>
      <c r="R49" s="49">
        <v>42</v>
      </c>
      <c r="S49" s="48">
        <f t="shared" si="15"/>
        <v>-42</v>
      </c>
      <c r="T49" s="47">
        <f t="shared" si="16"/>
        <v>2.3121828816996731E-2</v>
      </c>
      <c r="U49" s="46">
        <f t="shared" si="17"/>
        <v>2.3121828816996731E-2</v>
      </c>
    </row>
    <row r="50" spans="2:21" x14ac:dyDescent="0.3">
      <c r="B50" s="19"/>
      <c r="D50" s="49">
        <v>43</v>
      </c>
      <c r="E50" s="48">
        <f t="shared" si="9"/>
        <v>-43</v>
      </c>
      <c r="F50" s="47">
        <f t="shared" si="10"/>
        <v>8.1070123190929433E-4</v>
      </c>
      <c r="G50" s="46">
        <f t="shared" si="11"/>
        <v>8.1070123190929433E-4</v>
      </c>
      <c r="I50" s="19"/>
      <c r="K50" s="49">
        <v>43</v>
      </c>
      <c r="L50" s="48">
        <f t="shared" si="12"/>
        <v>-43</v>
      </c>
      <c r="M50" s="47">
        <f t="shared" si="13"/>
        <v>0.12203783398404966</v>
      </c>
      <c r="N50" s="46">
        <f t="shared" si="14"/>
        <v>0.12203783398404966</v>
      </c>
      <c r="P50" s="19"/>
      <c r="R50" s="49">
        <v>43</v>
      </c>
      <c r="S50" s="48">
        <f t="shared" si="15"/>
        <v>-43</v>
      </c>
      <c r="T50" s="47">
        <f t="shared" si="16"/>
        <v>2.2133681650748055E-2</v>
      </c>
      <c r="U50" s="46">
        <f t="shared" si="17"/>
        <v>2.2133681650748055E-2</v>
      </c>
    </row>
    <row r="51" spans="2:21" x14ac:dyDescent="0.3">
      <c r="B51" s="19"/>
      <c r="D51" s="49">
        <v>44</v>
      </c>
      <c r="E51" s="48">
        <f t="shared" si="9"/>
        <v>-44</v>
      </c>
      <c r="F51" s="47">
        <f t="shared" si="10"/>
        <v>7.7429343572088527E-4</v>
      </c>
      <c r="G51" s="46">
        <f t="shared" si="11"/>
        <v>7.7429343572088527E-4</v>
      </c>
      <c r="I51" s="19"/>
      <c r="K51" s="49">
        <v>44</v>
      </c>
      <c r="L51" s="48">
        <f t="shared" si="12"/>
        <v>-44</v>
      </c>
      <c r="M51" s="47">
        <f t="shared" si="13"/>
        <v>0.11854777843601227</v>
      </c>
      <c r="N51" s="46">
        <f t="shared" si="14"/>
        <v>0.11854777843601227</v>
      </c>
      <c r="P51" s="19"/>
      <c r="R51" s="49">
        <v>44</v>
      </c>
      <c r="S51" s="48">
        <f t="shared" si="15"/>
        <v>-44</v>
      </c>
      <c r="T51" s="47">
        <f t="shared" si="16"/>
        <v>2.1206043660977142E-2</v>
      </c>
      <c r="U51" s="46">
        <f t="shared" si="17"/>
        <v>2.1206043660977142E-2</v>
      </c>
    </row>
    <row r="52" spans="2:21" x14ac:dyDescent="0.3">
      <c r="B52" s="19"/>
      <c r="D52" s="49">
        <v>45</v>
      </c>
      <c r="E52" s="48">
        <f t="shared" si="9"/>
        <v>-45</v>
      </c>
      <c r="F52" s="47">
        <f t="shared" si="10"/>
        <v>7.4028375665813329E-4</v>
      </c>
      <c r="G52" s="46">
        <f t="shared" si="11"/>
        <v>7.4028375665813329E-4</v>
      </c>
      <c r="I52" s="19"/>
      <c r="K52" s="49">
        <v>45</v>
      </c>
      <c r="L52" s="48">
        <f t="shared" si="12"/>
        <v>-45</v>
      </c>
      <c r="M52" s="47">
        <f t="shared" si="13"/>
        <v>0.11522377838175768</v>
      </c>
      <c r="N52" s="46">
        <f t="shared" si="14"/>
        <v>0.11522377838175768</v>
      </c>
      <c r="P52" s="19"/>
      <c r="R52" s="49">
        <v>45</v>
      </c>
      <c r="S52" s="48">
        <f t="shared" si="15"/>
        <v>-45</v>
      </c>
      <c r="T52" s="47">
        <f t="shared" si="16"/>
        <v>2.033419772418224E-2</v>
      </c>
      <c r="U52" s="46">
        <f t="shared" si="17"/>
        <v>2.033419772418224E-2</v>
      </c>
    </row>
    <row r="53" spans="2:21" x14ac:dyDescent="0.3">
      <c r="B53" s="19"/>
      <c r="D53" s="49">
        <v>46</v>
      </c>
      <c r="E53" s="48">
        <f t="shared" si="9"/>
        <v>-46</v>
      </c>
      <c r="F53" s="47">
        <f t="shared" si="10"/>
        <v>7.084661542716697E-4</v>
      </c>
      <c r="G53" s="46">
        <f t="shared" si="11"/>
        <v>7.084661542716697E-4</v>
      </c>
      <c r="I53" s="19"/>
      <c r="K53" s="49">
        <v>46</v>
      </c>
      <c r="L53" s="48">
        <f t="shared" si="12"/>
        <v>-46</v>
      </c>
      <c r="M53" s="47">
        <f t="shared" si="13"/>
        <v>0.11205498372349798</v>
      </c>
      <c r="N53" s="46">
        <f t="shared" si="14"/>
        <v>0.11205498372349798</v>
      </c>
      <c r="P53" s="19"/>
      <c r="R53" s="49">
        <v>46</v>
      </c>
      <c r="S53" s="48">
        <f t="shared" si="15"/>
        <v>-46</v>
      </c>
      <c r="T53" s="47">
        <f t="shared" si="16"/>
        <v>1.9513864890762678E-2</v>
      </c>
      <c r="U53" s="46">
        <f t="shared" si="17"/>
        <v>1.9513864890762678E-2</v>
      </c>
    </row>
    <row r="54" spans="2:21" x14ac:dyDescent="0.3">
      <c r="B54" s="19"/>
      <c r="D54" s="49">
        <v>47</v>
      </c>
      <c r="E54" s="48">
        <f t="shared" si="9"/>
        <v>-47</v>
      </c>
      <c r="F54" s="47">
        <f t="shared" si="10"/>
        <v>6.7865624612828412E-4</v>
      </c>
      <c r="G54" s="46">
        <f t="shared" si="11"/>
        <v>6.7865624612828412E-4</v>
      </c>
      <c r="I54" s="19"/>
      <c r="K54" s="49">
        <v>47</v>
      </c>
      <c r="L54" s="48">
        <f t="shared" si="12"/>
        <v>-47</v>
      </c>
      <c r="M54" s="47">
        <f t="shared" si="13"/>
        <v>0.10903143382194158</v>
      </c>
      <c r="N54" s="46">
        <f t="shared" si="14"/>
        <v>0.10903143382194158</v>
      </c>
      <c r="P54" s="19"/>
      <c r="R54" s="49">
        <v>47</v>
      </c>
      <c r="S54" s="48">
        <f t="shared" si="15"/>
        <v>-47</v>
      </c>
      <c r="T54" s="47">
        <f t="shared" si="16"/>
        <v>1.8741157981384704E-2</v>
      </c>
      <c r="U54" s="46">
        <f t="shared" si="17"/>
        <v>1.8741157981384704E-2</v>
      </c>
    </row>
    <row r="55" spans="2:21" x14ac:dyDescent="0.3">
      <c r="B55" s="19"/>
      <c r="D55" s="49">
        <v>48</v>
      </c>
      <c r="E55" s="48">
        <f t="shared" si="9"/>
        <v>-48</v>
      </c>
      <c r="F55" s="47">
        <f t="shared" si="10"/>
        <v>6.5068863272421673E-4</v>
      </c>
      <c r="G55" s="46">
        <f t="shared" si="11"/>
        <v>6.5068863272421673E-4</v>
      </c>
      <c r="I55" s="19"/>
      <c r="K55" s="49">
        <v>48</v>
      </c>
      <c r="L55" s="48">
        <f t="shared" si="12"/>
        <v>-48</v>
      </c>
      <c r="M55" s="47">
        <f t="shared" si="13"/>
        <v>0.10614397073903847</v>
      </c>
      <c r="N55" s="46">
        <f t="shared" si="14"/>
        <v>0.10614397073903847</v>
      </c>
      <c r="P55" s="19"/>
      <c r="R55" s="49">
        <v>48</v>
      </c>
      <c r="S55" s="48">
        <f t="shared" si="15"/>
        <v>-48</v>
      </c>
      <c r="T55" s="47">
        <f t="shared" si="16"/>
        <v>1.8012540597663523E-2</v>
      </c>
      <c r="U55" s="46">
        <f t="shared" si="17"/>
        <v>1.8012540597663523E-2</v>
      </c>
    </row>
    <row r="56" spans="2:21" x14ac:dyDescent="0.3">
      <c r="B56" s="19"/>
      <c r="D56" s="49">
        <v>49</v>
      </c>
      <c r="E56" s="48">
        <f t="shared" si="9"/>
        <v>-49</v>
      </c>
      <c r="F56" s="47">
        <f t="shared" si="10"/>
        <v>6.244146000273787E-4</v>
      </c>
      <c r="G56" s="46">
        <f t="shared" si="11"/>
        <v>6.244146000273787E-4</v>
      </c>
      <c r="I56" s="19"/>
      <c r="K56" s="49">
        <v>49</v>
      </c>
      <c r="L56" s="48">
        <f t="shared" si="12"/>
        <v>-49</v>
      </c>
      <c r="M56" s="47">
        <f t="shared" si="13"/>
        <v>0.10338416220106872</v>
      </c>
      <c r="N56" s="46">
        <f t="shared" si="14"/>
        <v>0.10338416220106872</v>
      </c>
      <c r="P56" s="19"/>
      <c r="R56" s="49">
        <v>49</v>
      </c>
      <c r="S56" s="48">
        <f t="shared" si="15"/>
        <v>-49</v>
      </c>
      <c r="T56" s="47">
        <f t="shared" si="16"/>
        <v>1.7324790872716989E-2</v>
      </c>
      <c r="U56" s="46">
        <f t="shared" si="17"/>
        <v>1.7324790872716989E-2</v>
      </c>
    </row>
    <row r="57" spans="2:21" ht="15" thickBot="1" x14ac:dyDescent="0.35">
      <c r="B57" s="45"/>
      <c r="C57" s="44"/>
      <c r="D57" s="43">
        <v>50</v>
      </c>
      <c r="E57" s="42">
        <f t="shared" si="9"/>
        <v>-50</v>
      </c>
      <c r="F57" s="41">
        <f t="shared" si="10"/>
        <v>5.9970013993693172E-4</v>
      </c>
      <c r="G57" s="40">
        <f t="shared" si="11"/>
        <v>5.9970013993693172E-4</v>
      </c>
      <c r="H57" s="44"/>
      <c r="I57" s="45"/>
      <c r="J57" s="44"/>
      <c r="K57" s="43">
        <v>50</v>
      </c>
      <c r="L57" s="42">
        <f t="shared" si="12"/>
        <v>-50</v>
      </c>
      <c r="M57" s="41">
        <f t="shared" si="13"/>
        <v>0.1007442330625915</v>
      </c>
      <c r="N57" s="40">
        <f t="shared" si="14"/>
        <v>0.1007442330625915</v>
      </c>
      <c r="O57" s="44"/>
      <c r="P57" s="45"/>
      <c r="Q57" s="44"/>
      <c r="R57" s="43">
        <v>50</v>
      </c>
      <c r="S57" s="42">
        <f t="shared" si="15"/>
        <v>-50</v>
      </c>
      <c r="T57" s="41">
        <f t="shared" si="16"/>
        <v>1.6674969373604298E-2</v>
      </c>
      <c r="U57" s="40">
        <f t="shared" si="17"/>
        <v>1.6674969373604298E-2</v>
      </c>
    </row>
  </sheetData>
  <mergeCells count="8">
    <mergeCell ref="B3:U3"/>
    <mergeCell ref="B4:G4"/>
    <mergeCell ref="I4:N4"/>
    <mergeCell ref="K5:L5"/>
    <mergeCell ref="K6:L6"/>
    <mergeCell ref="P4:U4"/>
    <mergeCell ref="R5:S5"/>
    <mergeCell ref="R6:S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D4DE3-2871-4C67-B216-43FD2F701A04}">
  <sheetPr codeName="Sheet3"/>
  <dimension ref="B1:M50"/>
  <sheetViews>
    <sheetView zoomScale="71" workbookViewId="0">
      <selection activeCell="Q39" sqref="Q39"/>
    </sheetView>
  </sheetViews>
  <sheetFormatPr defaultRowHeight="14.4" x14ac:dyDescent="0.3"/>
  <sheetData>
    <row r="1" spans="2:13" ht="15" thickBot="1" x14ac:dyDescent="0.35"/>
    <row r="2" spans="2:13" x14ac:dyDescent="0.3">
      <c r="B2" s="25" t="s">
        <v>22</v>
      </c>
      <c r="C2" s="24">
        <v>5</v>
      </c>
      <c r="D2" s="23"/>
      <c r="E2" s="196" t="s">
        <v>29</v>
      </c>
      <c r="F2" s="196"/>
      <c r="G2" s="196"/>
      <c r="H2" s="196"/>
      <c r="I2" s="196"/>
      <c r="J2" s="196"/>
      <c r="K2" s="196"/>
      <c r="L2" s="196"/>
      <c r="M2" s="197"/>
    </row>
    <row r="3" spans="2:13" x14ac:dyDescent="0.3">
      <c r="B3" s="8" t="s">
        <v>21</v>
      </c>
      <c r="C3" s="22">
        <v>5</v>
      </c>
      <c r="E3" s="194"/>
      <c r="F3" s="194"/>
      <c r="G3" s="194"/>
      <c r="H3" s="194"/>
      <c r="I3" s="194"/>
      <c r="J3" s="194"/>
      <c r="K3" s="194"/>
      <c r="L3" s="194"/>
      <c r="M3" s="195"/>
    </row>
    <row r="4" spans="2:13" x14ac:dyDescent="0.3">
      <c r="B4" s="8" t="s">
        <v>28</v>
      </c>
      <c r="C4" s="22">
        <v>8</v>
      </c>
      <c r="E4" s="194" t="s">
        <v>27</v>
      </c>
      <c r="F4" s="194"/>
      <c r="G4" s="194"/>
      <c r="H4" s="194"/>
      <c r="I4" s="194"/>
      <c r="J4" s="194"/>
      <c r="K4" s="194"/>
      <c r="L4" s="194"/>
      <c r="M4" s="195"/>
    </row>
    <row r="5" spans="2:13" x14ac:dyDescent="0.3">
      <c r="B5" s="8" t="s">
        <v>26</v>
      </c>
      <c r="C5" s="22">
        <v>0</v>
      </c>
      <c r="E5" s="194"/>
      <c r="F5" s="194"/>
      <c r="G5" s="194"/>
      <c r="H5" s="194"/>
      <c r="I5" s="194"/>
      <c r="J5" s="194"/>
      <c r="K5" s="194"/>
      <c r="L5" s="194"/>
      <c r="M5" s="195"/>
    </row>
    <row r="6" spans="2:13" x14ac:dyDescent="0.3">
      <c r="B6" s="8" t="s">
        <v>25</v>
      </c>
      <c r="C6" s="22">
        <v>1</v>
      </c>
      <c r="E6" s="20"/>
      <c r="F6" s="20"/>
      <c r="G6" s="20"/>
      <c r="H6" s="20"/>
      <c r="I6" s="20"/>
      <c r="J6" s="20"/>
      <c r="K6" s="20"/>
      <c r="L6" s="20"/>
      <c r="M6" s="6"/>
    </row>
    <row r="7" spans="2:13" x14ac:dyDescent="0.3">
      <c r="B7" s="8" t="s">
        <v>24</v>
      </c>
      <c r="C7" s="21">
        <f>1/2/PI()*M50*C6</f>
        <v>0.43982010969555135</v>
      </c>
      <c r="E7" s="20"/>
      <c r="F7" s="20"/>
      <c r="G7" s="20"/>
      <c r="H7" s="20"/>
      <c r="I7" s="20"/>
      <c r="J7" s="20"/>
      <c r="K7" s="20"/>
      <c r="L7" s="20"/>
      <c r="M7" s="6"/>
    </row>
    <row r="8" spans="2:13" ht="15" thickBot="1" x14ac:dyDescent="0.35">
      <c r="B8" s="19"/>
      <c r="M8" s="6"/>
    </row>
    <row r="9" spans="2:13" ht="15" thickBot="1" x14ac:dyDescent="0.35">
      <c r="B9" s="18" t="s">
        <v>23</v>
      </c>
      <c r="C9" s="17" t="s">
        <v>22</v>
      </c>
      <c r="D9" s="17" t="s">
        <v>21</v>
      </c>
      <c r="E9" s="17" t="s">
        <v>20</v>
      </c>
      <c r="F9" s="17" t="s">
        <v>19</v>
      </c>
      <c r="G9" s="17" t="s">
        <v>18</v>
      </c>
      <c r="H9" s="17" t="s">
        <v>17</v>
      </c>
      <c r="I9" s="17" t="s">
        <v>16</v>
      </c>
      <c r="J9" s="17" t="s">
        <v>15</v>
      </c>
      <c r="K9" s="17" t="s">
        <v>14</v>
      </c>
      <c r="L9" s="17" t="s">
        <v>13</v>
      </c>
      <c r="M9" s="16" t="s">
        <v>12</v>
      </c>
    </row>
    <row r="10" spans="2:13" x14ac:dyDescent="0.3">
      <c r="B10" s="12">
        <v>0</v>
      </c>
      <c r="C10" s="14">
        <v>0</v>
      </c>
      <c r="D10" s="14">
        <f>0</f>
        <v>0</v>
      </c>
      <c r="E10" s="12">
        <f t="shared" ref="E10:E49" si="0">C11-C10</f>
        <v>1</v>
      </c>
      <c r="F10" s="12">
        <f t="shared" ref="F10:F49" si="1">D11-D10</f>
        <v>0</v>
      </c>
      <c r="G10" s="12">
        <f t="shared" ref="G10:G50" si="2">C10-C$2</f>
        <v>-5</v>
      </c>
      <c r="H10" s="12">
        <f t="shared" ref="H10:H50" si="3">D10-C$3</f>
        <v>-5</v>
      </c>
      <c r="I10" s="12">
        <f t="shared" ref="I10:I49" si="4">SQRT(G10*G10+H10*H10)</f>
        <v>7.0710678118654755</v>
      </c>
      <c r="J10" s="12">
        <f t="shared" ref="J10:J49" si="5">I10/MAX(0,C$4-C$5)</f>
        <v>0.88388347648318444</v>
      </c>
      <c r="K10" s="12">
        <f t="shared" ref="K10:K49" si="6">(G10*H11-H10*G11)/2</f>
        <v>2.5</v>
      </c>
      <c r="L10" s="12">
        <f t="shared" ref="L10:L49" si="7">IF(K10=0,0,K10/I10/I11*2)</f>
        <v>0.11043152607484653</v>
      </c>
      <c r="M10" s="15">
        <f t="shared" ref="M10:M49" si="8">(1-POWER(1+J10*J10,-1.5))*L10</f>
        <v>6.397938270450991E-2</v>
      </c>
    </row>
    <row r="11" spans="2:13" x14ac:dyDescent="0.3">
      <c r="B11" s="1">
        <v>1</v>
      </c>
      <c r="C11" s="14">
        <v>1</v>
      </c>
      <c r="D11" s="14">
        <f>0</f>
        <v>0</v>
      </c>
      <c r="E11" s="1">
        <f t="shared" si="0"/>
        <v>1</v>
      </c>
      <c r="F11" s="1">
        <f t="shared" si="1"/>
        <v>0</v>
      </c>
      <c r="G11" s="1">
        <f t="shared" si="2"/>
        <v>-4</v>
      </c>
      <c r="H11" s="1">
        <f t="shared" si="3"/>
        <v>-5</v>
      </c>
      <c r="I11" s="1">
        <f t="shared" si="4"/>
        <v>6.4031242374328485</v>
      </c>
      <c r="J11" s="12">
        <f t="shared" si="5"/>
        <v>0.80039052967910607</v>
      </c>
      <c r="K11" s="1">
        <f t="shared" si="6"/>
        <v>2.5</v>
      </c>
      <c r="L11" s="12">
        <f t="shared" si="7"/>
        <v>0.13391789600139506</v>
      </c>
      <c r="M11" s="13">
        <f t="shared" si="8"/>
        <v>7.0190726427909078E-2</v>
      </c>
    </row>
    <row r="12" spans="2:13" x14ac:dyDescent="0.3">
      <c r="B12" s="12">
        <v>2</v>
      </c>
      <c r="C12" s="14">
        <v>2</v>
      </c>
      <c r="D12" s="14">
        <f>0</f>
        <v>0</v>
      </c>
      <c r="E12" s="1">
        <f t="shared" si="0"/>
        <v>1</v>
      </c>
      <c r="F12" s="1">
        <f t="shared" si="1"/>
        <v>0</v>
      </c>
      <c r="G12" s="1">
        <f t="shared" si="2"/>
        <v>-3</v>
      </c>
      <c r="H12" s="1">
        <f t="shared" si="3"/>
        <v>-5</v>
      </c>
      <c r="I12" s="1">
        <f t="shared" si="4"/>
        <v>5.8309518948453007</v>
      </c>
      <c r="J12" s="12">
        <f t="shared" si="5"/>
        <v>0.72886898685566259</v>
      </c>
      <c r="K12" s="1">
        <f t="shared" si="6"/>
        <v>2.5</v>
      </c>
      <c r="L12" s="12">
        <f t="shared" si="7"/>
        <v>0.15923243882462049</v>
      </c>
      <c r="M12" s="13">
        <f t="shared" si="8"/>
        <v>7.5197015083784111E-2</v>
      </c>
    </row>
    <row r="13" spans="2:13" x14ac:dyDescent="0.3">
      <c r="B13" s="1">
        <v>3</v>
      </c>
      <c r="C13" s="14">
        <v>3</v>
      </c>
      <c r="D13" s="14">
        <f>0</f>
        <v>0</v>
      </c>
      <c r="E13" s="1">
        <f t="shared" si="0"/>
        <v>1</v>
      </c>
      <c r="F13" s="1">
        <f t="shared" si="1"/>
        <v>0</v>
      </c>
      <c r="G13" s="1">
        <f t="shared" si="2"/>
        <v>-2</v>
      </c>
      <c r="H13" s="1">
        <f t="shared" si="3"/>
        <v>-5</v>
      </c>
      <c r="I13" s="1">
        <f t="shared" si="4"/>
        <v>5.3851648071345037</v>
      </c>
      <c r="J13" s="12">
        <f t="shared" si="5"/>
        <v>0.67314560089181297</v>
      </c>
      <c r="K13" s="1">
        <f t="shared" si="6"/>
        <v>2.5</v>
      </c>
      <c r="L13" s="12">
        <f t="shared" si="7"/>
        <v>0.18208926018230748</v>
      </c>
      <c r="M13" s="13">
        <f t="shared" si="8"/>
        <v>7.8137973437806846E-2</v>
      </c>
    </row>
    <row r="14" spans="2:13" x14ac:dyDescent="0.3">
      <c r="B14" s="12">
        <v>4</v>
      </c>
      <c r="C14" s="14">
        <v>4</v>
      </c>
      <c r="D14" s="14">
        <f>0</f>
        <v>0</v>
      </c>
      <c r="E14" s="1">
        <f t="shared" si="0"/>
        <v>1</v>
      </c>
      <c r="F14" s="1">
        <f t="shared" si="1"/>
        <v>0</v>
      </c>
      <c r="G14" s="1">
        <f t="shared" si="2"/>
        <v>-1</v>
      </c>
      <c r="H14" s="1">
        <f t="shared" si="3"/>
        <v>-5</v>
      </c>
      <c r="I14" s="1">
        <f t="shared" si="4"/>
        <v>5.0990195135927845</v>
      </c>
      <c r="J14" s="12">
        <f t="shared" si="5"/>
        <v>0.63737743919909806</v>
      </c>
      <c r="K14" s="1">
        <f t="shared" si="6"/>
        <v>2.5</v>
      </c>
      <c r="L14" s="12">
        <f t="shared" si="7"/>
        <v>0.19611613513818404</v>
      </c>
      <c r="M14" s="13">
        <f t="shared" si="8"/>
        <v>7.8512831231378977E-2</v>
      </c>
    </row>
    <row r="15" spans="2:13" x14ac:dyDescent="0.3">
      <c r="B15" s="1">
        <v>5</v>
      </c>
      <c r="C15" s="14">
        <v>5</v>
      </c>
      <c r="D15" s="14">
        <f>0</f>
        <v>0</v>
      </c>
      <c r="E15" s="1">
        <f t="shared" si="0"/>
        <v>1</v>
      </c>
      <c r="F15" s="1">
        <f t="shared" si="1"/>
        <v>0</v>
      </c>
      <c r="G15" s="1">
        <f t="shared" si="2"/>
        <v>0</v>
      </c>
      <c r="H15" s="1">
        <f t="shared" si="3"/>
        <v>-5</v>
      </c>
      <c r="I15" s="1">
        <f t="shared" si="4"/>
        <v>5</v>
      </c>
      <c r="J15" s="12">
        <f t="shared" si="5"/>
        <v>0.625</v>
      </c>
      <c r="K15" s="1">
        <f t="shared" si="6"/>
        <v>2.5</v>
      </c>
      <c r="L15" s="12">
        <f t="shared" si="7"/>
        <v>0.19611613513818404</v>
      </c>
      <c r="M15" s="13">
        <f t="shared" si="8"/>
        <v>7.6525195822974915E-2</v>
      </c>
    </row>
    <row r="16" spans="2:13" x14ac:dyDescent="0.3">
      <c r="B16" s="12">
        <v>6</v>
      </c>
      <c r="C16" s="14">
        <v>6</v>
      </c>
      <c r="D16" s="14">
        <f>0</f>
        <v>0</v>
      </c>
      <c r="E16" s="1">
        <f t="shared" si="0"/>
        <v>1</v>
      </c>
      <c r="F16" s="1">
        <f t="shared" si="1"/>
        <v>0</v>
      </c>
      <c r="G16" s="1">
        <f t="shared" si="2"/>
        <v>1</v>
      </c>
      <c r="H16" s="1">
        <f t="shared" si="3"/>
        <v>-5</v>
      </c>
      <c r="I16" s="1">
        <f t="shared" si="4"/>
        <v>5.0990195135927845</v>
      </c>
      <c r="J16" s="12">
        <f t="shared" si="5"/>
        <v>0.63737743919909806</v>
      </c>
      <c r="K16" s="1">
        <f t="shared" si="6"/>
        <v>2.5</v>
      </c>
      <c r="L16" s="12">
        <f t="shared" si="7"/>
        <v>0.18208926018230745</v>
      </c>
      <c r="M16" s="13">
        <f t="shared" si="8"/>
        <v>7.2897333733743588E-2</v>
      </c>
    </row>
    <row r="17" spans="2:13" x14ac:dyDescent="0.3">
      <c r="B17" s="1">
        <v>7</v>
      </c>
      <c r="C17" s="14">
        <v>7</v>
      </c>
      <c r="D17" s="14">
        <f>0</f>
        <v>0</v>
      </c>
      <c r="E17" s="1">
        <f t="shared" si="0"/>
        <v>1</v>
      </c>
      <c r="F17" s="1">
        <f t="shared" si="1"/>
        <v>0</v>
      </c>
      <c r="G17" s="1">
        <f t="shared" si="2"/>
        <v>2</v>
      </c>
      <c r="H17" s="1">
        <f t="shared" si="3"/>
        <v>-5</v>
      </c>
      <c r="I17" s="1">
        <f t="shared" si="4"/>
        <v>5.3851648071345037</v>
      </c>
      <c r="J17" s="12">
        <f t="shared" si="5"/>
        <v>0.67314560089181297</v>
      </c>
      <c r="K17" s="1">
        <f t="shared" si="6"/>
        <v>2.5</v>
      </c>
      <c r="L17" s="12">
        <f t="shared" si="7"/>
        <v>0.15923243882462051</v>
      </c>
      <c r="M17" s="13">
        <f t="shared" si="8"/>
        <v>6.8329675582504926E-2</v>
      </c>
    </row>
    <row r="18" spans="2:13" x14ac:dyDescent="0.3">
      <c r="B18" s="12">
        <v>8</v>
      </c>
      <c r="C18" s="14">
        <v>8</v>
      </c>
      <c r="D18" s="14">
        <f>0</f>
        <v>0</v>
      </c>
      <c r="E18" s="1">
        <f t="shared" si="0"/>
        <v>1</v>
      </c>
      <c r="F18" s="1">
        <f t="shared" si="1"/>
        <v>0</v>
      </c>
      <c r="G18" s="1">
        <f t="shared" si="2"/>
        <v>3</v>
      </c>
      <c r="H18" s="1">
        <f t="shared" si="3"/>
        <v>-5</v>
      </c>
      <c r="I18" s="1">
        <f t="shared" si="4"/>
        <v>5.8309518948453007</v>
      </c>
      <c r="J18" s="12">
        <f t="shared" si="5"/>
        <v>0.72886898685566259</v>
      </c>
      <c r="K18" s="1">
        <f t="shared" si="6"/>
        <v>2.5</v>
      </c>
      <c r="L18" s="12">
        <f t="shared" si="7"/>
        <v>0.13391789600139503</v>
      </c>
      <c r="M18" s="13">
        <f t="shared" si="8"/>
        <v>6.3242302384735424E-2</v>
      </c>
    </row>
    <row r="19" spans="2:13" x14ac:dyDescent="0.3">
      <c r="B19" s="1">
        <v>9</v>
      </c>
      <c r="C19" s="14">
        <v>9</v>
      </c>
      <c r="D19" s="14">
        <f>0</f>
        <v>0</v>
      </c>
      <c r="E19" s="1">
        <f t="shared" si="0"/>
        <v>1</v>
      </c>
      <c r="F19" s="1">
        <f t="shared" si="1"/>
        <v>0</v>
      </c>
      <c r="G19" s="1">
        <f t="shared" si="2"/>
        <v>4</v>
      </c>
      <c r="H19" s="1">
        <f t="shared" si="3"/>
        <v>-5</v>
      </c>
      <c r="I19" s="1">
        <f t="shared" si="4"/>
        <v>6.4031242374328485</v>
      </c>
      <c r="J19" s="12">
        <f t="shared" si="5"/>
        <v>0.80039052967910607</v>
      </c>
      <c r="K19" s="1">
        <f t="shared" si="6"/>
        <v>2.5</v>
      </c>
      <c r="L19" s="12">
        <f t="shared" si="7"/>
        <v>0.11043152607484655</v>
      </c>
      <c r="M19" s="13">
        <f t="shared" si="8"/>
        <v>5.7880755800220424E-2</v>
      </c>
    </row>
    <row r="20" spans="2:13" x14ac:dyDescent="0.3">
      <c r="B20" s="12">
        <v>10</v>
      </c>
      <c r="C20" s="14">
        <v>10</v>
      </c>
      <c r="D20" s="14">
        <f>0</f>
        <v>0</v>
      </c>
      <c r="E20" s="1">
        <f t="shared" si="0"/>
        <v>0</v>
      </c>
      <c r="F20" s="1">
        <f t="shared" si="1"/>
        <v>1</v>
      </c>
      <c r="G20" s="1">
        <f t="shared" si="2"/>
        <v>5</v>
      </c>
      <c r="H20" s="1">
        <f t="shared" si="3"/>
        <v>-5</v>
      </c>
      <c r="I20" s="1">
        <f t="shared" si="4"/>
        <v>7.0710678118654755</v>
      </c>
      <c r="J20" s="12">
        <f t="shared" si="5"/>
        <v>0.88388347648318444</v>
      </c>
      <c r="K20" s="1">
        <f t="shared" si="6"/>
        <v>2.5</v>
      </c>
      <c r="L20" s="12">
        <f t="shared" si="7"/>
        <v>0.11043152607484653</v>
      </c>
      <c r="M20" s="13">
        <f t="shared" si="8"/>
        <v>6.397938270450991E-2</v>
      </c>
    </row>
    <row r="21" spans="2:13" x14ac:dyDescent="0.3">
      <c r="B21" s="1">
        <v>11</v>
      </c>
      <c r="C21" s="14">
        <v>10</v>
      </c>
      <c r="D21" s="14">
        <v>1</v>
      </c>
      <c r="E21" s="1">
        <f t="shared" si="0"/>
        <v>0</v>
      </c>
      <c r="F21" s="1">
        <f t="shared" si="1"/>
        <v>1</v>
      </c>
      <c r="G21" s="1">
        <f t="shared" si="2"/>
        <v>5</v>
      </c>
      <c r="H21" s="1">
        <f t="shared" si="3"/>
        <v>-4</v>
      </c>
      <c r="I21" s="1">
        <f t="shared" si="4"/>
        <v>6.4031242374328485</v>
      </c>
      <c r="J21" s="12">
        <f t="shared" si="5"/>
        <v>0.80039052967910607</v>
      </c>
      <c r="K21" s="1">
        <f t="shared" si="6"/>
        <v>2.5</v>
      </c>
      <c r="L21" s="12">
        <f t="shared" si="7"/>
        <v>0.13391789600139506</v>
      </c>
      <c r="M21" s="13">
        <f t="shared" si="8"/>
        <v>7.0190726427909078E-2</v>
      </c>
    </row>
    <row r="22" spans="2:13" x14ac:dyDescent="0.3">
      <c r="B22" s="12">
        <v>12</v>
      </c>
      <c r="C22" s="14">
        <v>10</v>
      </c>
      <c r="D22" s="14">
        <v>2</v>
      </c>
      <c r="E22" s="1">
        <f t="shared" si="0"/>
        <v>0</v>
      </c>
      <c r="F22" s="1">
        <f t="shared" si="1"/>
        <v>1</v>
      </c>
      <c r="G22" s="1">
        <f t="shared" si="2"/>
        <v>5</v>
      </c>
      <c r="H22" s="1">
        <f t="shared" si="3"/>
        <v>-3</v>
      </c>
      <c r="I22" s="1">
        <f t="shared" si="4"/>
        <v>5.8309518948453007</v>
      </c>
      <c r="J22" s="12">
        <f t="shared" si="5"/>
        <v>0.72886898685566259</v>
      </c>
      <c r="K22" s="1">
        <f t="shared" si="6"/>
        <v>2.5</v>
      </c>
      <c r="L22" s="12">
        <f t="shared" si="7"/>
        <v>0.15923243882462049</v>
      </c>
      <c r="M22" s="13">
        <f t="shared" si="8"/>
        <v>7.5197015083784111E-2</v>
      </c>
    </row>
    <row r="23" spans="2:13" x14ac:dyDescent="0.3">
      <c r="B23" s="1">
        <v>13</v>
      </c>
      <c r="C23" s="14">
        <v>10</v>
      </c>
      <c r="D23" s="14">
        <v>3</v>
      </c>
      <c r="E23" s="1">
        <f t="shared" si="0"/>
        <v>0</v>
      </c>
      <c r="F23" s="1">
        <f t="shared" si="1"/>
        <v>1</v>
      </c>
      <c r="G23" s="1">
        <f t="shared" si="2"/>
        <v>5</v>
      </c>
      <c r="H23" s="1">
        <f t="shared" si="3"/>
        <v>-2</v>
      </c>
      <c r="I23" s="1">
        <f t="shared" si="4"/>
        <v>5.3851648071345037</v>
      </c>
      <c r="J23" s="12">
        <f t="shared" si="5"/>
        <v>0.67314560089181297</v>
      </c>
      <c r="K23" s="1">
        <f t="shared" si="6"/>
        <v>2.5</v>
      </c>
      <c r="L23" s="12">
        <f t="shared" si="7"/>
        <v>0.18208926018230748</v>
      </c>
      <c r="M23" s="13">
        <f t="shared" si="8"/>
        <v>7.8137973437806846E-2</v>
      </c>
    </row>
    <row r="24" spans="2:13" x14ac:dyDescent="0.3">
      <c r="B24" s="12">
        <v>14</v>
      </c>
      <c r="C24" s="14">
        <v>10</v>
      </c>
      <c r="D24" s="14">
        <v>4</v>
      </c>
      <c r="E24" s="1">
        <f t="shared" si="0"/>
        <v>0</v>
      </c>
      <c r="F24" s="1">
        <f t="shared" si="1"/>
        <v>1</v>
      </c>
      <c r="G24" s="1">
        <f t="shared" si="2"/>
        <v>5</v>
      </c>
      <c r="H24" s="1">
        <f t="shared" si="3"/>
        <v>-1</v>
      </c>
      <c r="I24" s="1">
        <f t="shared" si="4"/>
        <v>5.0990195135927845</v>
      </c>
      <c r="J24" s="12">
        <f t="shared" si="5"/>
        <v>0.63737743919909806</v>
      </c>
      <c r="K24" s="1">
        <f t="shared" si="6"/>
        <v>2.5</v>
      </c>
      <c r="L24" s="12">
        <f t="shared" si="7"/>
        <v>0.19611613513818404</v>
      </c>
      <c r="M24" s="13">
        <f t="shared" si="8"/>
        <v>7.8512831231378977E-2</v>
      </c>
    </row>
    <row r="25" spans="2:13" x14ac:dyDescent="0.3">
      <c r="B25" s="1">
        <v>15</v>
      </c>
      <c r="C25" s="14">
        <v>10</v>
      </c>
      <c r="D25" s="14">
        <v>5</v>
      </c>
      <c r="E25" s="1">
        <f t="shared" si="0"/>
        <v>0</v>
      </c>
      <c r="F25" s="1">
        <f t="shared" si="1"/>
        <v>1</v>
      </c>
      <c r="G25" s="1">
        <f t="shared" si="2"/>
        <v>5</v>
      </c>
      <c r="H25" s="1">
        <f t="shared" si="3"/>
        <v>0</v>
      </c>
      <c r="I25" s="1">
        <f t="shared" si="4"/>
        <v>5</v>
      </c>
      <c r="J25" s="12">
        <f t="shared" si="5"/>
        <v>0.625</v>
      </c>
      <c r="K25" s="1">
        <f t="shared" si="6"/>
        <v>2.5</v>
      </c>
      <c r="L25" s="12">
        <f t="shared" si="7"/>
        <v>0.19611613513818404</v>
      </c>
      <c r="M25" s="13">
        <f t="shared" si="8"/>
        <v>7.6525195822974915E-2</v>
      </c>
    </row>
    <row r="26" spans="2:13" x14ac:dyDescent="0.3">
      <c r="B26" s="12">
        <v>16</v>
      </c>
      <c r="C26" s="14">
        <v>10</v>
      </c>
      <c r="D26" s="14">
        <v>6</v>
      </c>
      <c r="E26" s="1">
        <f t="shared" si="0"/>
        <v>0</v>
      </c>
      <c r="F26" s="1">
        <f t="shared" si="1"/>
        <v>1</v>
      </c>
      <c r="G26" s="1">
        <f t="shared" si="2"/>
        <v>5</v>
      </c>
      <c r="H26" s="1">
        <f t="shared" si="3"/>
        <v>1</v>
      </c>
      <c r="I26" s="1">
        <f t="shared" si="4"/>
        <v>5.0990195135927845</v>
      </c>
      <c r="J26" s="12">
        <f t="shared" si="5"/>
        <v>0.63737743919909806</v>
      </c>
      <c r="K26" s="1">
        <f t="shared" si="6"/>
        <v>2.5</v>
      </c>
      <c r="L26" s="12">
        <f t="shared" si="7"/>
        <v>0.18208926018230745</v>
      </c>
      <c r="M26" s="13">
        <f t="shared" si="8"/>
        <v>7.2897333733743588E-2</v>
      </c>
    </row>
    <row r="27" spans="2:13" x14ac:dyDescent="0.3">
      <c r="B27" s="1">
        <v>17</v>
      </c>
      <c r="C27" s="14">
        <v>10</v>
      </c>
      <c r="D27" s="14">
        <v>7</v>
      </c>
      <c r="E27" s="1">
        <f t="shared" si="0"/>
        <v>0</v>
      </c>
      <c r="F27" s="1">
        <f t="shared" si="1"/>
        <v>1</v>
      </c>
      <c r="G27" s="1">
        <f t="shared" si="2"/>
        <v>5</v>
      </c>
      <c r="H27" s="1">
        <f t="shared" si="3"/>
        <v>2</v>
      </c>
      <c r="I27" s="1">
        <f t="shared" si="4"/>
        <v>5.3851648071345037</v>
      </c>
      <c r="J27" s="12">
        <f t="shared" si="5"/>
        <v>0.67314560089181297</v>
      </c>
      <c r="K27" s="1">
        <f t="shared" si="6"/>
        <v>2.5</v>
      </c>
      <c r="L27" s="12">
        <f t="shared" si="7"/>
        <v>0.15923243882462051</v>
      </c>
      <c r="M27" s="13">
        <f t="shared" si="8"/>
        <v>6.8329675582504926E-2</v>
      </c>
    </row>
    <row r="28" spans="2:13" x14ac:dyDescent="0.3">
      <c r="B28" s="12">
        <v>18</v>
      </c>
      <c r="C28" s="14">
        <v>10</v>
      </c>
      <c r="D28" s="14">
        <v>8</v>
      </c>
      <c r="E28" s="1">
        <f t="shared" si="0"/>
        <v>0</v>
      </c>
      <c r="F28" s="1">
        <f t="shared" si="1"/>
        <v>1</v>
      </c>
      <c r="G28" s="1">
        <f t="shared" si="2"/>
        <v>5</v>
      </c>
      <c r="H28" s="1">
        <f t="shared" si="3"/>
        <v>3</v>
      </c>
      <c r="I28" s="1">
        <f t="shared" si="4"/>
        <v>5.8309518948453007</v>
      </c>
      <c r="J28" s="12">
        <f t="shared" si="5"/>
        <v>0.72886898685566259</v>
      </c>
      <c r="K28" s="1">
        <f t="shared" si="6"/>
        <v>2.5</v>
      </c>
      <c r="L28" s="12">
        <f t="shared" si="7"/>
        <v>0.13391789600139503</v>
      </c>
      <c r="M28" s="13">
        <f t="shared" si="8"/>
        <v>6.3242302384735424E-2</v>
      </c>
    </row>
    <row r="29" spans="2:13" x14ac:dyDescent="0.3">
      <c r="B29" s="1">
        <v>19</v>
      </c>
      <c r="C29" s="14">
        <v>10</v>
      </c>
      <c r="D29" s="14">
        <v>9</v>
      </c>
      <c r="E29" s="1">
        <f t="shared" si="0"/>
        <v>0</v>
      </c>
      <c r="F29" s="1">
        <f t="shared" si="1"/>
        <v>1</v>
      </c>
      <c r="G29" s="1">
        <f t="shared" si="2"/>
        <v>5</v>
      </c>
      <c r="H29" s="1">
        <f t="shared" si="3"/>
        <v>4</v>
      </c>
      <c r="I29" s="1">
        <f t="shared" si="4"/>
        <v>6.4031242374328485</v>
      </c>
      <c r="J29" s="12">
        <f t="shared" si="5"/>
        <v>0.80039052967910607</v>
      </c>
      <c r="K29" s="1">
        <f t="shared" si="6"/>
        <v>2.5</v>
      </c>
      <c r="L29" s="12">
        <f t="shared" si="7"/>
        <v>0.11043152607484655</v>
      </c>
      <c r="M29" s="13">
        <f t="shared" si="8"/>
        <v>5.7880755800220424E-2</v>
      </c>
    </row>
    <row r="30" spans="2:13" x14ac:dyDescent="0.3">
      <c r="B30" s="12">
        <v>20</v>
      </c>
      <c r="C30" s="14">
        <v>10</v>
      </c>
      <c r="D30" s="14">
        <v>10</v>
      </c>
      <c r="E30" s="1">
        <f t="shared" si="0"/>
        <v>-1</v>
      </c>
      <c r="F30" s="1">
        <f t="shared" si="1"/>
        <v>0</v>
      </c>
      <c r="G30" s="1">
        <f t="shared" si="2"/>
        <v>5</v>
      </c>
      <c r="H30" s="1">
        <f t="shared" si="3"/>
        <v>5</v>
      </c>
      <c r="I30" s="1">
        <f t="shared" si="4"/>
        <v>7.0710678118654755</v>
      </c>
      <c r="J30" s="12">
        <f t="shared" si="5"/>
        <v>0.88388347648318444</v>
      </c>
      <c r="K30" s="1">
        <f t="shared" si="6"/>
        <v>2.5</v>
      </c>
      <c r="L30" s="12">
        <f t="shared" si="7"/>
        <v>0.11043152607484653</v>
      </c>
      <c r="M30" s="13">
        <f t="shared" si="8"/>
        <v>6.397938270450991E-2</v>
      </c>
    </row>
    <row r="31" spans="2:13" x14ac:dyDescent="0.3">
      <c r="B31" s="1">
        <v>21</v>
      </c>
      <c r="C31" s="14">
        <v>9</v>
      </c>
      <c r="D31" s="14">
        <v>10</v>
      </c>
      <c r="E31" s="1">
        <f t="shared" si="0"/>
        <v>-1</v>
      </c>
      <c r="F31" s="1">
        <f t="shared" si="1"/>
        <v>0</v>
      </c>
      <c r="G31" s="1">
        <f t="shared" si="2"/>
        <v>4</v>
      </c>
      <c r="H31" s="1">
        <f t="shared" si="3"/>
        <v>5</v>
      </c>
      <c r="I31" s="1">
        <f t="shared" si="4"/>
        <v>6.4031242374328485</v>
      </c>
      <c r="J31" s="12">
        <f t="shared" si="5"/>
        <v>0.80039052967910607</v>
      </c>
      <c r="K31" s="1">
        <f t="shared" si="6"/>
        <v>2.5</v>
      </c>
      <c r="L31" s="12">
        <f t="shared" si="7"/>
        <v>0.13391789600139506</v>
      </c>
      <c r="M31" s="13">
        <f t="shared" si="8"/>
        <v>7.0190726427909078E-2</v>
      </c>
    </row>
    <row r="32" spans="2:13" x14ac:dyDescent="0.3">
      <c r="B32" s="12">
        <v>22</v>
      </c>
      <c r="C32" s="14">
        <v>8</v>
      </c>
      <c r="D32" s="14">
        <v>10</v>
      </c>
      <c r="E32" s="1">
        <f t="shared" si="0"/>
        <v>-1</v>
      </c>
      <c r="F32" s="1">
        <f t="shared" si="1"/>
        <v>0</v>
      </c>
      <c r="G32" s="1">
        <f t="shared" si="2"/>
        <v>3</v>
      </c>
      <c r="H32" s="1">
        <f t="shared" si="3"/>
        <v>5</v>
      </c>
      <c r="I32" s="1">
        <f t="shared" si="4"/>
        <v>5.8309518948453007</v>
      </c>
      <c r="J32" s="12">
        <f t="shared" si="5"/>
        <v>0.72886898685566259</v>
      </c>
      <c r="K32" s="1">
        <f t="shared" si="6"/>
        <v>2.5</v>
      </c>
      <c r="L32" s="12">
        <f t="shared" si="7"/>
        <v>0.15923243882462049</v>
      </c>
      <c r="M32" s="13">
        <f t="shared" si="8"/>
        <v>7.5197015083784111E-2</v>
      </c>
    </row>
    <row r="33" spans="2:13" x14ac:dyDescent="0.3">
      <c r="B33" s="1">
        <v>23</v>
      </c>
      <c r="C33" s="14">
        <v>7</v>
      </c>
      <c r="D33" s="14">
        <v>10</v>
      </c>
      <c r="E33" s="1">
        <f t="shared" si="0"/>
        <v>-1</v>
      </c>
      <c r="F33" s="1">
        <f t="shared" si="1"/>
        <v>0</v>
      </c>
      <c r="G33" s="1">
        <f t="shared" si="2"/>
        <v>2</v>
      </c>
      <c r="H33" s="1">
        <f t="shared" si="3"/>
        <v>5</v>
      </c>
      <c r="I33" s="1">
        <f t="shared" si="4"/>
        <v>5.3851648071345037</v>
      </c>
      <c r="J33" s="12">
        <f t="shared" si="5"/>
        <v>0.67314560089181297</v>
      </c>
      <c r="K33" s="1">
        <f t="shared" si="6"/>
        <v>2.5</v>
      </c>
      <c r="L33" s="12">
        <f t="shared" si="7"/>
        <v>0.18208926018230748</v>
      </c>
      <c r="M33" s="13">
        <f t="shared" si="8"/>
        <v>7.8137973437806846E-2</v>
      </c>
    </row>
    <row r="34" spans="2:13" x14ac:dyDescent="0.3">
      <c r="B34" s="12">
        <v>24</v>
      </c>
      <c r="C34" s="14">
        <v>6</v>
      </c>
      <c r="D34" s="14">
        <v>10</v>
      </c>
      <c r="E34" s="1">
        <f t="shared" si="0"/>
        <v>-1</v>
      </c>
      <c r="F34" s="1">
        <f t="shared" si="1"/>
        <v>0</v>
      </c>
      <c r="G34" s="1">
        <f t="shared" si="2"/>
        <v>1</v>
      </c>
      <c r="H34" s="1">
        <f t="shared" si="3"/>
        <v>5</v>
      </c>
      <c r="I34" s="1">
        <f t="shared" si="4"/>
        <v>5.0990195135927845</v>
      </c>
      <c r="J34" s="12">
        <f t="shared" si="5"/>
        <v>0.63737743919909806</v>
      </c>
      <c r="K34" s="1">
        <f t="shared" si="6"/>
        <v>2.5</v>
      </c>
      <c r="L34" s="12">
        <f t="shared" si="7"/>
        <v>0.19611613513818404</v>
      </c>
      <c r="M34" s="13">
        <f t="shared" si="8"/>
        <v>7.8512831231378977E-2</v>
      </c>
    </row>
    <row r="35" spans="2:13" x14ac:dyDescent="0.3">
      <c r="B35" s="1">
        <v>25</v>
      </c>
      <c r="C35" s="14">
        <v>5</v>
      </c>
      <c r="D35" s="14">
        <v>10</v>
      </c>
      <c r="E35" s="1">
        <f t="shared" si="0"/>
        <v>-1</v>
      </c>
      <c r="F35" s="1">
        <f t="shared" si="1"/>
        <v>0</v>
      </c>
      <c r="G35" s="1">
        <f t="shared" si="2"/>
        <v>0</v>
      </c>
      <c r="H35" s="1">
        <f t="shared" si="3"/>
        <v>5</v>
      </c>
      <c r="I35" s="1">
        <f t="shared" si="4"/>
        <v>5</v>
      </c>
      <c r="J35" s="12">
        <f t="shared" si="5"/>
        <v>0.625</v>
      </c>
      <c r="K35" s="1">
        <f t="shared" si="6"/>
        <v>2.5</v>
      </c>
      <c r="L35" s="12">
        <f t="shared" si="7"/>
        <v>0.19611613513818404</v>
      </c>
      <c r="M35" s="13">
        <f t="shared" si="8"/>
        <v>7.6525195822974915E-2</v>
      </c>
    </row>
    <row r="36" spans="2:13" x14ac:dyDescent="0.3">
      <c r="B36" s="12">
        <v>26</v>
      </c>
      <c r="C36" s="14">
        <v>4</v>
      </c>
      <c r="D36" s="14">
        <v>10</v>
      </c>
      <c r="E36" s="1">
        <f t="shared" si="0"/>
        <v>-1</v>
      </c>
      <c r="F36" s="1">
        <f t="shared" si="1"/>
        <v>0</v>
      </c>
      <c r="G36" s="1">
        <f t="shared" si="2"/>
        <v>-1</v>
      </c>
      <c r="H36" s="1">
        <f t="shared" si="3"/>
        <v>5</v>
      </c>
      <c r="I36" s="1">
        <f t="shared" si="4"/>
        <v>5.0990195135927845</v>
      </c>
      <c r="J36" s="12">
        <f t="shared" si="5"/>
        <v>0.63737743919909806</v>
      </c>
      <c r="K36" s="1">
        <f t="shared" si="6"/>
        <v>2.5</v>
      </c>
      <c r="L36" s="12">
        <f t="shared" si="7"/>
        <v>0.18208926018230745</v>
      </c>
      <c r="M36" s="13">
        <f t="shared" si="8"/>
        <v>7.2897333733743588E-2</v>
      </c>
    </row>
    <row r="37" spans="2:13" x14ac:dyDescent="0.3">
      <c r="B37" s="1">
        <v>27</v>
      </c>
      <c r="C37" s="14">
        <v>3</v>
      </c>
      <c r="D37" s="14">
        <v>10</v>
      </c>
      <c r="E37" s="1">
        <f t="shared" si="0"/>
        <v>-1</v>
      </c>
      <c r="F37" s="1">
        <f t="shared" si="1"/>
        <v>0</v>
      </c>
      <c r="G37" s="1">
        <f t="shared" si="2"/>
        <v>-2</v>
      </c>
      <c r="H37" s="1">
        <f t="shared" si="3"/>
        <v>5</v>
      </c>
      <c r="I37" s="1">
        <f t="shared" si="4"/>
        <v>5.3851648071345037</v>
      </c>
      <c r="J37" s="12">
        <f t="shared" si="5"/>
        <v>0.67314560089181297</v>
      </c>
      <c r="K37" s="1">
        <f t="shared" si="6"/>
        <v>2.5</v>
      </c>
      <c r="L37" s="12">
        <f t="shared" si="7"/>
        <v>0.15923243882462051</v>
      </c>
      <c r="M37" s="13">
        <f t="shared" si="8"/>
        <v>6.8329675582504926E-2</v>
      </c>
    </row>
    <row r="38" spans="2:13" x14ac:dyDescent="0.3">
      <c r="B38" s="12">
        <v>28</v>
      </c>
      <c r="C38" s="14">
        <v>2</v>
      </c>
      <c r="D38" s="14">
        <v>10</v>
      </c>
      <c r="E38" s="1">
        <f t="shared" si="0"/>
        <v>-1</v>
      </c>
      <c r="F38" s="1">
        <f t="shared" si="1"/>
        <v>0</v>
      </c>
      <c r="G38" s="1">
        <f t="shared" si="2"/>
        <v>-3</v>
      </c>
      <c r="H38" s="1">
        <f t="shared" si="3"/>
        <v>5</v>
      </c>
      <c r="I38" s="1">
        <f t="shared" si="4"/>
        <v>5.8309518948453007</v>
      </c>
      <c r="J38" s="12">
        <f t="shared" si="5"/>
        <v>0.72886898685566259</v>
      </c>
      <c r="K38" s="1">
        <f t="shared" si="6"/>
        <v>2.5</v>
      </c>
      <c r="L38" s="12">
        <f t="shared" si="7"/>
        <v>0.13391789600139503</v>
      </c>
      <c r="M38" s="13">
        <f t="shared" si="8"/>
        <v>6.3242302384735424E-2</v>
      </c>
    </row>
    <row r="39" spans="2:13" x14ac:dyDescent="0.3">
      <c r="B39" s="1">
        <v>29</v>
      </c>
      <c r="C39" s="14">
        <v>1</v>
      </c>
      <c r="D39" s="14">
        <v>10</v>
      </c>
      <c r="E39" s="1">
        <f t="shared" si="0"/>
        <v>-1</v>
      </c>
      <c r="F39" s="1">
        <f t="shared" si="1"/>
        <v>0</v>
      </c>
      <c r="G39" s="1">
        <f t="shared" si="2"/>
        <v>-4</v>
      </c>
      <c r="H39" s="1">
        <f t="shared" si="3"/>
        <v>5</v>
      </c>
      <c r="I39" s="1">
        <f t="shared" si="4"/>
        <v>6.4031242374328485</v>
      </c>
      <c r="J39" s="12">
        <f t="shared" si="5"/>
        <v>0.80039052967910607</v>
      </c>
      <c r="K39" s="1">
        <f t="shared" si="6"/>
        <v>2.5</v>
      </c>
      <c r="L39" s="12">
        <f t="shared" si="7"/>
        <v>0.11043152607484655</v>
      </c>
      <c r="M39" s="13">
        <f t="shared" si="8"/>
        <v>5.7880755800220424E-2</v>
      </c>
    </row>
    <row r="40" spans="2:13" x14ac:dyDescent="0.3">
      <c r="B40" s="12">
        <v>30</v>
      </c>
      <c r="C40" s="14">
        <v>0</v>
      </c>
      <c r="D40" s="14">
        <v>10</v>
      </c>
      <c r="E40" s="1">
        <f t="shared" si="0"/>
        <v>0</v>
      </c>
      <c r="F40" s="1">
        <f t="shared" si="1"/>
        <v>-1</v>
      </c>
      <c r="G40" s="1">
        <f t="shared" si="2"/>
        <v>-5</v>
      </c>
      <c r="H40" s="1">
        <f t="shared" si="3"/>
        <v>5</v>
      </c>
      <c r="I40" s="1">
        <f t="shared" si="4"/>
        <v>7.0710678118654755</v>
      </c>
      <c r="J40" s="12">
        <f t="shared" si="5"/>
        <v>0.88388347648318444</v>
      </c>
      <c r="K40" s="1">
        <f t="shared" si="6"/>
        <v>2.5</v>
      </c>
      <c r="L40" s="12">
        <f t="shared" si="7"/>
        <v>0.11043152607484653</v>
      </c>
      <c r="M40" s="13">
        <f t="shared" si="8"/>
        <v>6.397938270450991E-2</v>
      </c>
    </row>
    <row r="41" spans="2:13" x14ac:dyDescent="0.3">
      <c r="B41" s="1">
        <v>31</v>
      </c>
      <c r="C41" s="14">
        <v>0</v>
      </c>
      <c r="D41" s="14">
        <v>9</v>
      </c>
      <c r="E41" s="1">
        <f t="shared" si="0"/>
        <v>0</v>
      </c>
      <c r="F41" s="1">
        <f t="shared" si="1"/>
        <v>-1</v>
      </c>
      <c r="G41" s="1">
        <f t="shared" si="2"/>
        <v>-5</v>
      </c>
      <c r="H41" s="1">
        <f t="shared" si="3"/>
        <v>4</v>
      </c>
      <c r="I41" s="1">
        <f t="shared" si="4"/>
        <v>6.4031242374328485</v>
      </c>
      <c r="J41" s="12">
        <f t="shared" si="5"/>
        <v>0.80039052967910607</v>
      </c>
      <c r="K41" s="1">
        <f t="shared" si="6"/>
        <v>2.5</v>
      </c>
      <c r="L41" s="12">
        <f t="shared" si="7"/>
        <v>0.13391789600139506</v>
      </c>
      <c r="M41" s="13">
        <f t="shared" si="8"/>
        <v>7.0190726427909078E-2</v>
      </c>
    </row>
    <row r="42" spans="2:13" x14ac:dyDescent="0.3">
      <c r="B42" s="12">
        <v>32</v>
      </c>
      <c r="C42" s="14">
        <v>0</v>
      </c>
      <c r="D42" s="14">
        <v>8</v>
      </c>
      <c r="E42" s="1">
        <f t="shared" si="0"/>
        <v>0</v>
      </c>
      <c r="F42" s="1">
        <f t="shared" si="1"/>
        <v>-1</v>
      </c>
      <c r="G42" s="1">
        <f t="shared" si="2"/>
        <v>-5</v>
      </c>
      <c r="H42" s="1">
        <f t="shared" si="3"/>
        <v>3</v>
      </c>
      <c r="I42" s="1">
        <f t="shared" si="4"/>
        <v>5.8309518948453007</v>
      </c>
      <c r="J42" s="12">
        <f t="shared" si="5"/>
        <v>0.72886898685566259</v>
      </c>
      <c r="K42" s="1">
        <f t="shared" si="6"/>
        <v>2.5</v>
      </c>
      <c r="L42" s="12">
        <f t="shared" si="7"/>
        <v>0.15923243882462049</v>
      </c>
      <c r="M42" s="13">
        <f t="shared" si="8"/>
        <v>7.5197015083784111E-2</v>
      </c>
    </row>
    <row r="43" spans="2:13" x14ac:dyDescent="0.3">
      <c r="B43" s="1">
        <v>33</v>
      </c>
      <c r="C43" s="14">
        <v>0</v>
      </c>
      <c r="D43" s="14">
        <v>7</v>
      </c>
      <c r="E43" s="1">
        <f t="shared" si="0"/>
        <v>0</v>
      </c>
      <c r="F43" s="1">
        <f t="shared" si="1"/>
        <v>-1</v>
      </c>
      <c r="G43" s="1">
        <f t="shared" si="2"/>
        <v>-5</v>
      </c>
      <c r="H43" s="1">
        <f t="shared" si="3"/>
        <v>2</v>
      </c>
      <c r="I43" s="1">
        <f t="shared" si="4"/>
        <v>5.3851648071345037</v>
      </c>
      <c r="J43" s="12">
        <f t="shared" si="5"/>
        <v>0.67314560089181297</v>
      </c>
      <c r="K43" s="1">
        <f t="shared" si="6"/>
        <v>2.5</v>
      </c>
      <c r="L43" s="12">
        <f t="shared" si="7"/>
        <v>0.18208926018230748</v>
      </c>
      <c r="M43" s="13">
        <f t="shared" si="8"/>
        <v>7.8137973437806846E-2</v>
      </c>
    </row>
    <row r="44" spans="2:13" x14ac:dyDescent="0.3">
      <c r="B44" s="12">
        <v>34</v>
      </c>
      <c r="C44" s="14">
        <v>0</v>
      </c>
      <c r="D44" s="14">
        <v>6</v>
      </c>
      <c r="E44" s="1">
        <f t="shared" si="0"/>
        <v>0</v>
      </c>
      <c r="F44" s="1">
        <f t="shared" si="1"/>
        <v>-1</v>
      </c>
      <c r="G44" s="1">
        <f t="shared" si="2"/>
        <v>-5</v>
      </c>
      <c r="H44" s="1">
        <f t="shared" si="3"/>
        <v>1</v>
      </c>
      <c r="I44" s="1">
        <f t="shared" si="4"/>
        <v>5.0990195135927845</v>
      </c>
      <c r="J44" s="12">
        <f t="shared" si="5"/>
        <v>0.63737743919909806</v>
      </c>
      <c r="K44" s="1">
        <f t="shared" si="6"/>
        <v>2.5</v>
      </c>
      <c r="L44" s="12">
        <f t="shared" si="7"/>
        <v>0.19611613513818404</v>
      </c>
      <c r="M44" s="13">
        <f t="shared" si="8"/>
        <v>7.8512831231378977E-2</v>
      </c>
    </row>
    <row r="45" spans="2:13" x14ac:dyDescent="0.3">
      <c r="B45" s="1">
        <v>35</v>
      </c>
      <c r="C45" s="14">
        <v>0</v>
      </c>
      <c r="D45" s="14">
        <v>5</v>
      </c>
      <c r="E45" s="1">
        <f t="shared" si="0"/>
        <v>0</v>
      </c>
      <c r="F45" s="1">
        <f t="shared" si="1"/>
        <v>-1</v>
      </c>
      <c r="G45" s="1">
        <f t="shared" si="2"/>
        <v>-5</v>
      </c>
      <c r="H45" s="1">
        <f t="shared" si="3"/>
        <v>0</v>
      </c>
      <c r="I45" s="1">
        <f t="shared" si="4"/>
        <v>5</v>
      </c>
      <c r="J45" s="12">
        <f t="shared" si="5"/>
        <v>0.625</v>
      </c>
      <c r="K45" s="1">
        <f t="shared" si="6"/>
        <v>2.5</v>
      </c>
      <c r="L45" s="12">
        <f t="shared" si="7"/>
        <v>0.19611613513818404</v>
      </c>
      <c r="M45" s="13">
        <f t="shared" si="8"/>
        <v>7.6525195822974915E-2</v>
      </c>
    </row>
    <row r="46" spans="2:13" x14ac:dyDescent="0.3">
      <c r="B46" s="12">
        <v>36</v>
      </c>
      <c r="C46" s="14">
        <v>0</v>
      </c>
      <c r="D46" s="14">
        <v>4</v>
      </c>
      <c r="E46" s="1">
        <f t="shared" si="0"/>
        <v>0</v>
      </c>
      <c r="F46" s="1">
        <f t="shared" si="1"/>
        <v>-1</v>
      </c>
      <c r="G46" s="1">
        <f t="shared" si="2"/>
        <v>-5</v>
      </c>
      <c r="H46" s="1">
        <f t="shared" si="3"/>
        <v>-1</v>
      </c>
      <c r="I46" s="1">
        <f t="shared" si="4"/>
        <v>5.0990195135927845</v>
      </c>
      <c r="J46" s="12">
        <f t="shared" si="5"/>
        <v>0.63737743919909806</v>
      </c>
      <c r="K46" s="1">
        <f t="shared" si="6"/>
        <v>2.5</v>
      </c>
      <c r="L46" s="12">
        <f t="shared" si="7"/>
        <v>0.18208926018230745</v>
      </c>
      <c r="M46" s="13">
        <f t="shared" si="8"/>
        <v>7.2897333733743588E-2</v>
      </c>
    </row>
    <row r="47" spans="2:13" x14ac:dyDescent="0.3">
      <c r="B47" s="1">
        <v>37</v>
      </c>
      <c r="C47" s="14">
        <v>0</v>
      </c>
      <c r="D47" s="14">
        <v>3</v>
      </c>
      <c r="E47" s="1">
        <f t="shared" si="0"/>
        <v>0</v>
      </c>
      <c r="F47" s="1">
        <f t="shared" si="1"/>
        <v>-1</v>
      </c>
      <c r="G47" s="1">
        <f t="shared" si="2"/>
        <v>-5</v>
      </c>
      <c r="H47" s="1">
        <f t="shared" si="3"/>
        <v>-2</v>
      </c>
      <c r="I47" s="1">
        <f t="shared" si="4"/>
        <v>5.3851648071345037</v>
      </c>
      <c r="J47" s="12">
        <f t="shared" si="5"/>
        <v>0.67314560089181297</v>
      </c>
      <c r="K47" s="1">
        <f t="shared" si="6"/>
        <v>2.5</v>
      </c>
      <c r="L47" s="12">
        <f t="shared" si="7"/>
        <v>0.15923243882462051</v>
      </c>
      <c r="M47" s="13">
        <f t="shared" si="8"/>
        <v>6.8329675582504926E-2</v>
      </c>
    </row>
    <row r="48" spans="2:13" x14ac:dyDescent="0.3">
      <c r="B48" s="12">
        <v>38</v>
      </c>
      <c r="C48" s="14">
        <v>0</v>
      </c>
      <c r="D48" s="14">
        <v>2</v>
      </c>
      <c r="E48" s="1">
        <f t="shared" si="0"/>
        <v>0</v>
      </c>
      <c r="F48" s="1">
        <f t="shared" si="1"/>
        <v>-1</v>
      </c>
      <c r="G48" s="1">
        <f t="shared" si="2"/>
        <v>-5</v>
      </c>
      <c r="H48" s="1">
        <f t="shared" si="3"/>
        <v>-3</v>
      </c>
      <c r="I48" s="1">
        <f t="shared" si="4"/>
        <v>5.8309518948453007</v>
      </c>
      <c r="J48" s="12">
        <f t="shared" si="5"/>
        <v>0.72886898685566259</v>
      </c>
      <c r="K48" s="1">
        <f t="shared" si="6"/>
        <v>2.5</v>
      </c>
      <c r="L48" s="12">
        <f t="shared" si="7"/>
        <v>0.13391789600139503</v>
      </c>
      <c r="M48" s="13">
        <f t="shared" si="8"/>
        <v>6.3242302384735424E-2</v>
      </c>
    </row>
    <row r="49" spans="2:13" x14ac:dyDescent="0.3">
      <c r="B49" s="1">
        <v>39</v>
      </c>
      <c r="C49" s="14">
        <v>0</v>
      </c>
      <c r="D49" s="14">
        <v>1</v>
      </c>
      <c r="E49" s="1">
        <f t="shared" si="0"/>
        <v>0</v>
      </c>
      <c r="F49" s="1">
        <f t="shared" si="1"/>
        <v>-1</v>
      </c>
      <c r="G49" s="1">
        <f t="shared" si="2"/>
        <v>-5</v>
      </c>
      <c r="H49" s="1">
        <f t="shared" si="3"/>
        <v>-4</v>
      </c>
      <c r="I49" s="1">
        <f t="shared" si="4"/>
        <v>6.4031242374328485</v>
      </c>
      <c r="J49" s="12">
        <f t="shared" si="5"/>
        <v>0.80039052967910607</v>
      </c>
      <c r="K49" s="1">
        <f t="shared" si="6"/>
        <v>2.5</v>
      </c>
      <c r="L49" s="12">
        <f t="shared" si="7"/>
        <v>3.3946337642230843E-3</v>
      </c>
      <c r="M49" s="13">
        <f t="shared" si="8"/>
        <v>1.7792380031496583E-3</v>
      </c>
    </row>
    <row r="50" spans="2:13" x14ac:dyDescent="0.3">
      <c r="B50" s="12">
        <v>40</v>
      </c>
      <c r="C50" s="11">
        <f>C10</f>
        <v>0</v>
      </c>
      <c r="D50" s="11">
        <f>D10</f>
        <v>0</v>
      </c>
      <c r="E50" s="10">
        <f>SUM(E10:E49)</f>
        <v>0</v>
      </c>
      <c r="F50" s="10">
        <f>SUM(F10:F49)</f>
        <v>0</v>
      </c>
      <c r="G50" s="1">
        <f t="shared" si="2"/>
        <v>-5</v>
      </c>
      <c r="H50" s="1">
        <f t="shared" si="3"/>
        <v>-5</v>
      </c>
      <c r="I50" s="10">
        <f>SUM(I10:I49)</f>
        <v>230.03035487150544</v>
      </c>
      <c r="J50" s="10">
        <f>SUM(J10:J49)</f>
        <v>28.75379435893818</v>
      </c>
      <c r="K50" s="10">
        <f>SUM(K10:K49)</f>
        <v>100</v>
      </c>
      <c r="L50" s="10">
        <f>SUM(L10:L49)</f>
        <v>6.147261157460207</v>
      </c>
      <c r="M50" s="9">
        <f>SUM(M10:M49)</f>
        <v>2.7634712510412021</v>
      </c>
    </row>
  </sheetData>
  <mergeCells count="2">
    <mergeCell ref="E4:M5"/>
    <mergeCell ref="E2:M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FD50D-833E-43EC-A817-5F2D87B33318}">
  <sheetPr codeName="Sheet9"/>
  <dimension ref="B1:AD106"/>
  <sheetViews>
    <sheetView topLeftCell="A6" zoomScale="85" zoomScaleNormal="85" workbookViewId="0">
      <selection activeCell="S25" sqref="S25"/>
    </sheetView>
  </sheetViews>
  <sheetFormatPr defaultRowHeight="14.4" x14ac:dyDescent="0.3"/>
  <cols>
    <col min="1" max="1" width="8.88671875" style="97" customWidth="1"/>
    <col min="2" max="2" width="6.109375" style="103" customWidth="1"/>
    <col min="3" max="3" width="8.5546875" style="103" customWidth="1"/>
    <col min="4" max="4" width="7.44140625" style="99" customWidth="1"/>
    <col min="5" max="5" width="10.77734375" style="101" bestFit="1" customWidth="1"/>
    <col min="6" max="6" width="12.44140625" style="101" bestFit="1" customWidth="1"/>
    <col min="7" max="7" width="11.33203125" style="102" bestFit="1" customWidth="1"/>
    <col min="8" max="8" width="7.6640625" style="101" bestFit="1" customWidth="1"/>
    <col min="9" max="9" width="13.21875" style="98" bestFit="1" customWidth="1"/>
    <col min="10" max="10" width="5.5546875" style="98" hidden="1" customWidth="1"/>
    <col min="11" max="12" width="4.5546875" style="98" hidden="1" customWidth="1"/>
    <col min="13" max="13" width="7.33203125" style="98" hidden="1" customWidth="1"/>
    <col min="14" max="15" width="4.5546875" style="98" hidden="1" customWidth="1"/>
    <col min="16" max="16" width="5.5546875" style="98" hidden="1" customWidth="1"/>
    <col min="17" max="17" width="7.77734375" style="98" bestFit="1" customWidth="1"/>
    <col min="18" max="18" width="9.77734375" style="98" bestFit="1" customWidth="1"/>
    <col min="19" max="19" width="10" style="100" bestFit="1" customWidth="1"/>
    <col min="20" max="21" width="5.5546875" style="99" hidden="1" customWidth="1"/>
    <col min="22" max="22" width="10.5546875" style="98" bestFit="1" customWidth="1"/>
    <col min="23" max="23" width="5.21875" style="98" customWidth="1"/>
    <col min="24" max="27" width="8.88671875" style="97" customWidth="1"/>
    <col min="28" max="16384" width="8.88671875" style="97"/>
  </cols>
  <sheetData>
    <row r="1" spans="2:23" ht="15" thickBot="1" x14ac:dyDescent="0.35"/>
    <row r="2" spans="2:23" ht="21" x14ac:dyDescent="0.4">
      <c r="B2" s="154" t="s">
        <v>192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6"/>
    </row>
    <row r="3" spans="2:23" x14ac:dyDescent="0.3">
      <c r="B3" s="121"/>
      <c r="C3" s="120"/>
      <c r="D3" s="116"/>
      <c r="E3" s="118"/>
      <c r="F3" s="118"/>
      <c r="G3" s="119"/>
      <c r="H3" s="118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22"/>
      <c r="T3" s="116"/>
      <c r="U3" s="116"/>
      <c r="V3" s="115"/>
      <c r="W3" s="114"/>
    </row>
    <row r="4" spans="2:23" x14ac:dyDescent="0.3">
      <c r="B4" s="158" t="s">
        <v>191</v>
      </c>
      <c r="C4" s="159"/>
      <c r="D4" s="159"/>
      <c r="E4" s="159"/>
      <c r="F4" s="159"/>
      <c r="G4" s="159"/>
      <c r="H4" s="118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22"/>
      <c r="T4" s="116"/>
      <c r="U4" s="116"/>
      <c r="V4" s="115"/>
      <c r="W4" s="114"/>
    </row>
    <row r="5" spans="2:23" x14ac:dyDescent="0.3">
      <c r="B5" s="151" t="s">
        <v>190</v>
      </c>
      <c r="C5" s="150"/>
      <c r="D5" s="152"/>
      <c r="E5" s="148" t="s">
        <v>189</v>
      </c>
      <c r="F5" s="77">
        <v>100</v>
      </c>
      <c r="G5" s="119" t="s">
        <v>188</v>
      </c>
      <c r="H5" s="118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22"/>
      <c r="T5" s="116"/>
      <c r="U5" s="116"/>
      <c r="V5" s="115"/>
      <c r="W5" s="114"/>
    </row>
    <row r="6" spans="2:23" x14ac:dyDescent="0.3">
      <c r="B6" s="121" t="s">
        <v>187</v>
      </c>
      <c r="C6" s="120"/>
      <c r="D6" s="152"/>
      <c r="E6" s="153" t="s">
        <v>186</v>
      </c>
      <c r="F6" s="77">
        <v>0</v>
      </c>
      <c r="G6" s="119" t="s">
        <v>156</v>
      </c>
      <c r="H6" s="118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22"/>
      <c r="T6" s="116"/>
      <c r="U6" s="116"/>
      <c r="V6" s="115"/>
      <c r="W6" s="114"/>
    </row>
    <row r="7" spans="2:23" x14ac:dyDescent="0.3">
      <c r="B7" s="121" t="s">
        <v>185</v>
      </c>
      <c r="C7" s="120"/>
      <c r="D7" s="152"/>
      <c r="E7" s="153" t="s">
        <v>184</v>
      </c>
      <c r="F7" s="77">
        <v>0</v>
      </c>
      <c r="G7" s="119" t="s">
        <v>156</v>
      </c>
      <c r="H7" s="118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22"/>
      <c r="T7" s="116"/>
      <c r="U7" s="116"/>
      <c r="V7" s="115"/>
      <c r="W7" s="114"/>
    </row>
    <row r="8" spans="2:23" x14ac:dyDescent="0.3">
      <c r="B8" s="121"/>
      <c r="C8" s="120"/>
      <c r="D8" s="116"/>
      <c r="E8" s="118"/>
      <c r="F8" s="118"/>
      <c r="G8" s="119"/>
      <c r="H8" s="118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22"/>
      <c r="T8" s="116"/>
      <c r="U8" s="116"/>
      <c r="V8" s="115"/>
      <c r="W8" s="114"/>
    </row>
    <row r="9" spans="2:23" x14ac:dyDescent="0.3">
      <c r="B9" s="158" t="s">
        <v>183</v>
      </c>
      <c r="C9" s="159"/>
      <c r="D9" s="159"/>
      <c r="E9" s="159"/>
      <c r="F9" s="159"/>
      <c r="G9" s="159"/>
      <c r="H9" s="118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22"/>
      <c r="T9" s="116"/>
      <c r="U9" s="116"/>
      <c r="V9" s="115"/>
      <c r="W9" s="114"/>
    </row>
    <row r="10" spans="2:23" x14ac:dyDescent="0.3">
      <c r="B10" s="151" t="s">
        <v>182</v>
      </c>
      <c r="C10" s="150"/>
      <c r="D10" s="152"/>
      <c r="E10" s="148" t="s">
        <v>50</v>
      </c>
      <c r="F10" s="77">
        <v>2.5</v>
      </c>
      <c r="G10" s="119" t="s">
        <v>156</v>
      </c>
      <c r="H10" s="118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22"/>
      <c r="T10" s="116"/>
      <c r="U10" s="116"/>
      <c r="V10" s="115"/>
      <c r="W10" s="114"/>
    </row>
    <row r="11" spans="2:23" x14ac:dyDescent="0.3">
      <c r="B11" s="151" t="s">
        <v>181</v>
      </c>
      <c r="C11" s="150"/>
      <c r="D11" s="152"/>
      <c r="E11" s="148" t="s">
        <v>51</v>
      </c>
      <c r="F11" s="77">
        <v>2.5</v>
      </c>
      <c r="G11" s="119" t="s">
        <v>156</v>
      </c>
      <c r="H11" s="118"/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22"/>
      <c r="T11" s="116"/>
      <c r="U11" s="116"/>
      <c r="V11" s="115"/>
      <c r="W11" s="114"/>
    </row>
    <row r="12" spans="2:23" x14ac:dyDescent="0.3">
      <c r="B12" s="151" t="s">
        <v>180</v>
      </c>
      <c r="C12" s="150"/>
      <c r="D12" s="152"/>
      <c r="E12" s="148" t="s">
        <v>179</v>
      </c>
      <c r="F12" s="77">
        <v>0.5</v>
      </c>
      <c r="G12" s="119" t="s">
        <v>156</v>
      </c>
      <c r="H12" s="118"/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22"/>
      <c r="T12" s="116"/>
      <c r="U12" s="116"/>
      <c r="V12" s="115"/>
      <c r="W12" s="114"/>
    </row>
    <row r="13" spans="2:23" x14ac:dyDescent="0.3">
      <c r="B13" s="121"/>
      <c r="C13" s="120"/>
      <c r="D13" s="116"/>
      <c r="E13" s="118"/>
      <c r="F13" s="118"/>
      <c r="G13" s="119"/>
      <c r="H13" s="118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22"/>
      <c r="T13" s="116"/>
      <c r="U13" s="116"/>
      <c r="V13" s="115"/>
      <c r="W13" s="114"/>
    </row>
    <row r="14" spans="2:23" x14ac:dyDescent="0.3">
      <c r="B14" s="158" t="s">
        <v>178</v>
      </c>
      <c r="C14" s="159"/>
      <c r="D14" s="159"/>
      <c r="E14" s="159"/>
      <c r="F14" s="159"/>
      <c r="G14" s="159"/>
      <c r="H14" s="118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22"/>
      <c r="T14" s="116"/>
      <c r="U14" s="116"/>
      <c r="V14" s="115"/>
      <c r="W14" s="114"/>
    </row>
    <row r="15" spans="2:23" x14ac:dyDescent="0.3">
      <c r="B15" s="121" t="s">
        <v>113</v>
      </c>
      <c r="C15" s="120"/>
      <c r="D15" s="116"/>
      <c r="E15" s="148" t="s">
        <v>112</v>
      </c>
      <c r="F15" s="77">
        <v>0.25</v>
      </c>
      <c r="G15" s="119" t="s">
        <v>156</v>
      </c>
      <c r="H15" s="118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22"/>
      <c r="T15" s="116"/>
      <c r="U15" s="116"/>
      <c r="V15" s="115"/>
      <c r="W15" s="114"/>
    </row>
    <row r="16" spans="2:23" x14ac:dyDescent="0.3">
      <c r="B16" s="121" t="s">
        <v>177</v>
      </c>
      <c r="C16" s="120"/>
      <c r="D16" s="116"/>
      <c r="E16" s="148" t="s">
        <v>176</v>
      </c>
      <c r="F16" s="77">
        <v>0</v>
      </c>
      <c r="G16" s="119" t="s">
        <v>156</v>
      </c>
      <c r="H16" s="118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22"/>
      <c r="T16" s="116"/>
      <c r="U16" s="116"/>
      <c r="V16" s="115"/>
      <c r="W16" s="114"/>
    </row>
    <row r="17" spans="2:30" x14ac:dyDescent="0.3">
      <c r="B17" s="121" t="s">
        <v>115</v>
      </c>
      <c r="C17" s="120"/>
      <c r="D17" s="116"/>
      <c r="E17" s="148" t="s">
        <v>114</v>
      </c>
      <c r="F17" s="77">
        <v>50</v>
      </c>
      <c r="G17" s="119"/>
      <c r="H17" s="118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22"/>
      <c r="T17" s="116"/>
      <c r="U17" s="116"/>
      <c r="V17" s="115"/>
      <c r="W17" s="114"/>
    </row>
    <row r="18" spans="2:30" x14ac:dyDescent="0.3">
      <c r="B18" s="151" t="s">
        <v>175</v>
      </c>
      <c r="C18" s="150"/>
      <c r="D18" s="152"/>
      <c r="E18" s="153" t="s">
        <v>174</v>
      </c>
      <c r="F18" s="77">
        <v>6</v>
      </c>
      <c r="G18" s="119" t="s">
        <v>156</v>
      </c>
      <c r="H18" s="118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22"/>
      <c r="T18" s="116"/>
      <c r="U18" s="116"/>
      <c r="V18" s="115"/>
      <c r="W18" s="114"/>
    </row>
    <row r="19" spans="2:30" x14ac:dyDescent="0.3">
      <c r="B19" s="121" t="s">
        <v>173</v>
      </c>
      <c r="C19" s="120"/>
      <c r="D19" s="116"/>
      <c r="E19" s="148" t="s">
        <v>172</v>
      </c>
      <c r="F19" s="77">
        <v>0</v>
      </c>
      <c r="G19" s="119" t="s">
        <v>125</v>
      </c>
      <c r="H19" s="118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22"/>
      <c r="T19" s="116"/>
      <c r="U19" s="116"/>
      <c r="V19" s="115"/>
      <c r="W19" s="114"/>
    </row>
    <row r="20" spans="2:30" x14ac:dyDescent="0.3">
      <c r="B20" s="121"/>
      <c r="C20" s="120"/>
      <c r="D20" s="116"/>
      <c r="E20" s="118"/>
      <c r="F20" s="118"/>
      <c r="G20" s="119"/>
      <c r="H20" s="118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22"/>
      <c r="T20" s="116"/>
      <c r="U20" s="116"/>
      <c r="V20" s="115"/>
      <c r="W20" s="114"/>
    </row>
    <row r="21" spans="2:30" x14ac:dyDescent="0.3">
      <c r="B21" s="121"/>
      <c r="C21" s="120"/>
      <c r="D21" s="116"/>
      <c r="E21" s="118"/>
      <c r="F21" s="118"/>
      <c r="G21" s="119"/>
      <c r="H21" s="118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22"/>
      <c r="T21" s="116"/>
      <c r="U21" s="116"/>
      <c r="V21" s="115"/>
      <c r="W21" s="114"/>
    </row>
    <row r="22" spans="2:30" x14ac:dyDescent="0.3">
      <c r="B22" s="151" t="s">
        <v>171</v>
      </c>
      <c r="C22" s="150"/>
      <c r="D22" s="152"/>
      <c r="E22" s="148" t="s">
        <v>170</v>
      </c>
      <c r="F22" s="77">
        <v>2.5</v>
      </c>
      <c r="G22" s="119" t="s">
        <v>168</v>
      </c>
      <c r="H22" s="118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22"/>
      <c r="T22" s="116"/>
      <c r="U22" s="116"/>
      <c r="V22" s="115"/>
      <c r="W22" s="114"/>
      <c r="Z22" s="160"/>
      <c r="AA22" s="160"/>
      <c r="AB22" s="160"/>
      <c r="AC22" s="160"/>
      <c r="AD22" s="160"/>
    </row>
    <row r="23" spans="2:30" x14ac:dyDescent="0.3">
      <c r="B23" s="151" t="s">
        <v>169</v>
      </c>
      <c r="C23" s="150"/>
      <c r="D23" s="152"/>
      <c r="E23" s="148" t="s">
        <v>107</v>
      </c>
      <c r="F23" s="77">
        <v>1</v>
      </c>
      <c r="G23" s="119" t="s">
        <v>168</v>
      </c>
      <c r="H23" s="118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22"/>
      <c r="T23" s="116"/>
      <c r="U23" s="116"/>
      <c r="V23" s="115"/>
      <c r="W23" s="114"/>
    </row>
    <row r="24" spans="2:30" x14ac:dyDescent="0.3">
      <c r="B24" s="121"/>
      <c r="C24" s="120"/>
      <c r="D24" s="116"/>
      <c r="E24" s="118"/>
      <c r="F24" s="118"/>
      <c r="G24" s="119"/>
      <c r="H24" s="118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22"/>
      <c r="T24" s="116"/>
      <c r="U24" s="116"/>
      <c r="V24" s="115"/>
      <c r="W24" s="114"/>
    </row>
    <row r="25" spans="2:30" x14ac:dyDescent="0.3">
      <c r="B25" s="158" t="s">
        <v>24</v>
      </c>
      <c r="C25" s="159"/>
      <c r="D25" s="159"/>
      <c r="E25" s="159"/>
      <c r="F25" s="159"/>
      <c r="G25" s="159"/>
      <c r="H25" s="118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22"/>
      <c r="T25" s="116"/>
      <c r="U25" s="116"/>
      <c r="V25" s="115"/>
      <c r="W25" s="114"/>
    </row>
    <row r="26" spans="2:30" x14ac:dyDescent="0.3">
      <c r="B26" s="151" t="s">
        <v>167</v>
      </c>
      <c r="C26" s="150"/>
      <c r="D26" s="116"/>
      <c r="E26" s="148" t="s">
        <v>166</v>
      </c>
      <c r="F26" s="149">
        <f>F5/F10/F11*(1+6*F6/F10+6*F7/F10)</f>
        <v>16</v>
      </c>
      <c r="G26" s="119" t="s">
        <v>125</v>
      </c>
      <c r="H26" s="118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22"/>
      <c r="T26" s="116"/>
      <c r="U26" s="116"/>
      <c r="V26" s="115"/>
      <c r="W26" s="114"/>
    </row>
    <row r="27" spans="2:30" x14ac:dyDescent="0.3">
      <c r="B27" s="151" t="s">
        <v>165</v>
      </c>
      <c r="C27" s="150"/>
      <c r="D27" s="116"/>
      <c r="E27" s="148" t="s">
        <v>164</v>
      </c>
      <c r="F27" s="149">
        <f>F5/F10/F11*(1-6*F6/F10-6*F7/F10)</f>
        <v>16</v>
      </c>
      <c r="G27" s="119" t="s">
        <v>125</v>
      </c>
      <c r="H27" s="118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22"/>
      <c r="T27" s="116"/>
      <c r="U27" s="116"/>
      <c r="V27" s="115"/>
      <c r="W27" s="114"/>
    </row>
    <row r="28" spans="2:30" x14ac:dyDescent="0.3">
      <c r="B28" s="151" t="s">
        <v>163</v>
      </c>
      <c r="C28" s="150"/>
      <c r="D28" s="116"/>
      <c r="E28" s="148" t="s">
        <v>162</v>
      </c>
      <c r="F28" s="149">
        <f>F27/F26</f>
        <v>1</v>
      </c>
      <c r="G28" s="119" t="s">
        <v>161</v>
      </c>
      <c r="H28" s="118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22"/>
      <c r="T28" s="116"/>
      <c r="U28" s="116"/>
      <c r="V28" s="115"/>
      <c r="W28" s="114"/>
    </row>
    <row r="29" spans="2:30" x14ac:dyDescent="0.3">
      <c r="B29" s="121" t="s">
        <v>160</v>
      </c>
      <c r="C29" s="120"/>
      <c r="D29" s="116"/>
      <c r="E29" s="148" t="s">
        <v>159</v>
      </c>
      <c r="F29" s="147">
        <f>F10-2*F6</f>
        <v>2.5</v>
      </c>
      <c r="G29" s="119" t="s">
        <v>156</v>
      </c>
      <c r="H29" s="118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22"/>
      <c r="T29" s="116"/>
      <c r="U29" s="116"/>
      <c r="V29" s="115"/>
      <c r="W29" s="114"/>
    </row>
    <row r="30" spans="2:30" x14ac:dyDescent="0.3">
      <c r="B30" s="121" t="s">
        <v>158</v>
      </c>
      <c r="C30" s="120"/>
      <c r="D30" s="116"/>
      <c r="E30" s="148" t="s">
        <v>157</v>
      </c>
      <c r="F30" s="147">
        <f>F11-2*F7</f>
        <v>2.5</v>
      </c>
      <c r="G30" s="119" t="s">
        <v>156</v>
      </c>
      <c r="H30" s="118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22"/>
      <c r="T30" s="116"/>
      <c r="U30" s="116"/>
      <c r="V30" s="115"/>
      <c r="W30" s="114"/>
    </row>
    <row r="31" spans="2:30" x14ac:dyDescent="0.3">
      <c r="B31" s="121" t="s">
        <v>154</v>
      </c>
      <c r="C31" s="120"/>
      <c r="D31" s="116"/>
      <c r="E31" s="148" t="s">
        <v>155</v>
      </c>
      <c r="F31" s="147">
        <f>1+0.3*F30/F29</f>
        <v>1.3</v>
      </c>
      <c r="G31" s="119"/>
      <c r="H31" s="118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22"/>
      <c r="T31" s="116"/>
      <c r="U31" s="116"/>
      <c r="V31" s="115"/>
      <c r="W31" s="114"/>
    </row>
    <row r="32" spans="2:30" x14ac:dyDescent="0.3">
      <c r="B32" s="121" t="s">
        <v>154</v>
      </c>
      <c r="C32" s="120"/>
      <c r="D32" s="116"/>
      <c r="E32" s="148" t="s">
        <v>153</v>
      </c>
      <c r="F32" s="147">
        <f>1-0.3*F30/F29</f>
        <v>0.7</v>
      </c>
      <c r="G32" s="119"/>
      <c r="H32" s="118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22"/>
      <c r="T32" s="116"/>
      <c r="U32" s="116"/>
      <c r="V32" s="115"/>
      <c r="W32" s="114"/>
    </row>
    <row r="33" spans="2:23" x14ac:dyDescent="0.3">
      <c r="B33" s="121"/>
      <c r="C33" s="120"/>
      <c r="D33" s="116"/>
      <c r="E33" s="118"/>
      <c r="F33" s="118"/>
      <c r="G33" s="119"/>
      <c r="H33" s="118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22"/>
      <c r="T33" s="116"/>
      <c r="U33" s="116"/>
      <c r="V33" s="115"/>
      <c r="W33" s="114"/>
    </row>
    <row r="34" spans="2:23" x14ac:dyDescent="0.3">
      <c r="B34" s="121"/>
      <c r="C34" s="157" t="s">
        <v>152</v>
      </c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46"/>
    </row>
    <row r="35" spans="2:23" x14ac:dyDescent="0.3">
      <c r="B35" s="121"/>
      <c r="C35" s="157" t="s">
        <v>102</v>
      </c>
      <c r="D35" s="157"/>
      <c r="E35" s="157" t="s">
        <v>101</v>
      </c>
      <c r="F35" s="157"/>
      <c r="G35" s="157"/>
      <c r="H35" s="157"/>
      <c r="I35" s="134" t="s">
        <v>151</v>
      </c>
      <c r="J35" s="134"/>
      <c r="K35" s="134"/>
      <c r="L35" s="134"/>
      <c r="M35" s="134"/>
      <c r="N35" s="134"/>
      <c r="O35" s="134"/>
      <c r="P35" s="134"/>
      <c r="Q35" s="134" t="s">
        <v>150</v>
      </c>
      <c r="R35" s="134" t="s">
        <v>149</v>
      </c>
      <c r="S35" s="142" t="s">
        <v>58</v>
      </c>
      <c r="T35" s="161" t="s">
        <v>148</v>
      </c>
      <c r="U35" s="161"/>
      <c r="V35" s="161"/>
      <c r="W35" s="114"/>
    </row>
    <row r="36" spans="2:23" x14ac:dyDescent="0.3">
      <c r="B36" s="121"/>
      <c r="C36" s="145" t="s">
        <v>147</v>
      </c>
      <c r="D36" s="134" t="s">
        <v>146</v>
      </c>
      <c r="E36" s="143" t="s">
        <v>145</v>
      </c>
      <c r="F36" s="143" t="s">
        <v>144</v>
      </c>
      <c r="G36" s="144" t="s">
        <v>143</v>
      </c>
      <c r="H36" s="143" t="s">
        <v>137</v>
      </c>
      <c r="I36" s="134" t="s">
        <v>142</v>
      </c>
      <c r="J36" s="134" t="s">
        <v>141</v>
      </c>
      <c r="K36" s="134" t="s">
        <v>140</v>
      </c>
      <c r="L36" s="134" t="s">
        <v>139</v>
      </c>
      <c r="M36" s="134" t="s">
        <v>138</v>
      </c>
      <c r="N36" s="134" t="s">
        <v>137</v>
      </c>
      <c r="O36" s="134" t="s">
        <v>136</v>
      </c>
      <c r="P36" s="134" t="s">
        <v>51</v>
      </c>
      <c r="Q36" s="134" t="s">
        <v>135</v>
      </c>
      <c r="R36" s="134" t="s">
        <v>135</v>
      </c>
      <c r="S36" s="142" t="s">
        <v>123</v>
      </c>
      <c r="T36" s="135"/>
      <c r="U36" s="135"/>
      <c r="V36" s="134" t="s">
        <v>134</v>
      </c>
      <c r="W36" s="114"/>
    </row>
    <row r="37" spans="2:23" x14ac:dyDescent="0.3">
      <c r="B37" s="121"/>
      <c r="C37" s="141">
        <v>0</v>
      </c>
      <c r="D37" s="140">
        <f>F16-F$15/2</f>
        <v>-0.125</v>
      </c>
      <c r="E37" s="139">
        <v>5</v>
      </c>
      <c r="F37" s="139">
        <v>0</v>
      </c>
      <c r="G37" s="139">
        <v>2000</v>
      </c>
      <c r="H37" s="139">
        <v>1.95</v>
      </c>
      <c r="I37" s="137">
        <f>$F$5/(F$29-D37)/(F$30-D37)</f>
        <v>14.512471655328799</v>
      </c>
      <c r="J37" s="137" cm="1">
        <f t="array" ref="J37:L37">Bearing_Capacity_Factors(RADIANS(F37))</f>
        <v>5.14</v>
      </c>
      <c r="K37" s="137">
        <v>1</v>
      </c>
      <c r="L37" s="137">
        <v>0</v>
      </c>
      <c r="M37" s="137">
        <f>F19</f>
        <v>0</v>
      </c>
      <c r="N37" s="137">
        <f t="shared" ref="N37:N68" si="0">IF(-D37&gt;F$18,H37-F$23,H37)</f>
        <v>1.95</v>
      </c>
      <c r="O37" s="137">
        <f t="shared" ref="O37:O68" si="1">IF(F$18&lt;ABS(D37),H37-F$23,IF(F$18&gt;P37+ABS(D37),H37,H37-(H37-F$23)*(P37-D37-F$18)/P37))</f>
        <v>1.95</v>
      </c>
      <c r="P37" s="137">
        <f>F30-F16</f>
        <v>2.5</v>
      </c>
      <c r="Q37" s="137">
        <f>E37*J37*F$31+M37*K37+0.5*F$32*P37*O37*L37</f>
        <v>33.410000000000004</v>
      </c>
      <c r="R37" s="137">
        <f>E37*J37*F$31+M38*K37+0.5*F$32*P38*O38*L37</f>
        <v>33.897500000000001</v>
      </c>
      <c r="S37" s="136">
        <f t="shared" ref="S37:S68" si="2">I37/G37*100</f>
        <v>0.7256235827664399</v>
      </c>
      <c r="T37" s="135">
        <f>IFERROR(Q37/(F26+M37),"")</f>
        <v>2.0881250000000002</v>
      </c>
      <c r="U37" s="135">
        <f t="shared" ref="U37:U68" si="3">IFERROR(R37/(I37+M38),"")</f>
        <v>2.2598376036235894</v>
      </c>
      <c r="V37" s="134">
        <f t="shared" ref="V37:V68" si="4">IF(C37="","",MIN(T37,U37))</f>
        <v>2.0881250000000002</v>
      </c>
      <c r="W37" s="114"/>
    </row>
    <row r="38" spans="2:23" x14ac:dyDescent="0.3">
      <c r="B38" s="121"/>
      <c r="C38" s="141">
        <f t="shared" ref="C38:C69" si="5">IF(C37&lt;F$17,C37+1,"")</f>
        <v>1</v>
      </c>
      <c r="D38" s="140">
        <f t="shared" ref="D38:D69" si="6">IF(C38="","",D37-F$15)</f>
        <v>-0.375</v>
      </c>
      <c r="E38" s="138">
        <v>5</v>
      </c>
      <c r="F38" s="138">
        <v>0</v>
      </c>
      <c r="G38" s="138">
        <v>2000</v>
      </c>
      <c r="H38" s="138">
        <v>1.95</v>
      </c>
      <c r="I38" s="134">
        <f t="shared" ref="I38:I69" si="7">IFERROR($F$5/(F$29-D38)/(F$30-D38),"")</f>
        <v>12.098298676748582</v>
      </c>
      <c r="J38" s="134" cm="1">
        <f t="array" ref="J38:L38">IF(C38="","",Bearing_Capacity_Factors(RADIANS(F38)))</f>
        <v>5.14</v>
      </c>
      <c r="K38" s="134">
        <v>1</v>
      </c>
      <c r="L38" s="134">
        <v>0</v>
      </c>
      <c r="M38" s="134">
        <f t="shared" ref="M38:M69" si="8">IF(C38="","",M37+N37*$F$15)</f>
        <v>0.48749999999999999</v>
      </c>
      <c r="N38" s="137">
        <f t="shared" si="0"/>
        <v>1.95</v>
      </c>
      <c r="O38" s="137">
        <f t="shared" si="1"/>
        <v>1.95</v>
      </c>
      <c r="P38" s="134">
        <f t="shared" ref="P38:P69" si="9">IF(C38="","",P37+F$15)</f>
        <v>2.75</v>
      </c>
      <c r="Q38" s="134">
        <f t="shared" ref="Q38:Q69" si="10">IF(C38="","",E38*J38*F$31+M38*K38+0.5*F$32*P38*O38*L38)</f>
        <v>33.897500000000001</v>
      </c>
      <c r="R38" s="137">
        <f t="shared" ref="R38:R69" si="11">IFERROR(E38*J38*F$31+M39*K38+0.5*F$32*P39*N39*L38,"")</f>
        <v>34.385000000000005</v>
      </c>
      <c r="S38" s="136">
        <f t="shared" si="2"/>
        <v>0.60491493383742911</v>
      </c>
      <c r="T38" s="135">
        <f t="shared" ref="T38:T69" si="12">IFERROR(Q38/(I37+M38),"")</f>
        <v>2.2598376036235894</v>
      </c>
      <c r="U38" s="135">
        <f t="shared" si="3"/>
        <v>2.6301701544656968</v>
      </c>
      <c r="V38" s="134">
        <f t="shared" si="4"/>
        <v>2.2598376036235894</v>
      </c>
      <c r="W38" s="114"/>
    </row>
    <row r="39" spans="2:23" x14ac:dyDescent="0.3">
      <c r="B39" s="121"/>
      <c r="C39" s="141">
        <f t="shared" si="5"/>
        <v>2</v>
      </c>
      <c r="D39" s="140">
        <f t="shared" si="6"/>
        <v>-0.625</v>
      </c>
      <c r="E39" s="138">
        <v>5</v>
      </c>
      <c r="F39" s="139">
        <v>0</v>
      </c>
      <c r="G39" s="138">
        <v>2000</v>
      </c>
      <c r="H39" s="138">
        <v>1.95</v>
      </c>
      <c r="I39" s="134">
        <f t="shared" si="7"/>
        <v>10.24</v>
      </c>
      <c r="J39" s="134" cm="1">
        <f t="array" ref="J39:L39">IF(C39="","",Bearing_Capacity_Factors(RADIANS(F39)))</f>
        <v>5.14</v>
      </c>
      <c r="K39" s="134">
        <v>1</v>
      </c>
      <c r="L39" s="134">
        <v>0</v>
      </c>
      <c r="M39" s="134">
        <f t="shared" si="8"/>
        <v>0.97499999999999998</v>
      </c>
      <c r="N39" s="137">
        <f t="shared" si="0"/>
        <v>1.95</v>
      </c>
      <c r="O39" s="137">
        <f t="shared" si="1"/>
        <v>1.95</v>
      </c>
      <c r="P39" s="134">
        <f t="shared" si="9"/>
        <v>3</v>
      </c>
      <c r="Q39" s="134">
        <f t="shared" si="10"/>
        <v>34.385000000000005</v>
      </c>
      <c r="R39" s="137">
        <f t="shared" si="11"/>
        <v>34.872500000000002</v>
      </c>
      <c r="S39" s="136">
        <f t="shared" si="2"/>
        <v>0.51200000000000001</v>
      </c>
      <c r="T39" s="135">
        <f t="shared" si="12"/>
        <v>2.6301701544656968</v>
      </c>
      <c r="U39" s="135">
        <f t="shared" si="3"/>
        <v>2.979918820764794</v>
      </c>
      <c r="V39" s="134">
        <f t="shared" si="4"/>
        <v>2.6301701544656968</v>
      </c>
      <c r="W39" s="114"/>
    </row>
    <row r="40" spans="2:23" x14ac:dyDescent="0.3">
      <c r="B40" s="121"/>
      <c r="C40" s="141">
        <f t="shared" si="5"/>
        <v>3</v>
      </c>
      <c r="D40" s="140">
        <f t="shared" si="6"/>
        <v>-0.875</v>
      </c>
      <c r="E40" s="138">
        <v>5</v>
      </c>
      <c r="F40" s="138">
        <v>0</v>
      </c>
      <c r="G40" s="138">
        <v>2000</v>
      </c>
      <c r="H40" s="138">
        <v>1.95</v>
      </c>
      <c r="I40" s="134">
        <f t="shared" si="7"/>
        <v>8.7791495198902609</v>
      </c>
      <c r="J40" s="134" cm="1">
        <f t="array" ref="J40:L40">IF(C40="","",Bearing_Capacity_Factors(RADIANS(F40)))</f>
        <v>5.14</v>
      </c>
      <c r="K40" s="134">
        <v>1</v>
      </c>
      <c r="L40" s="134">
        <v>0</v>
      </c>
      <c r="M40" s="134">
        <f t="shared" si="8"/>
        <v>1.4624999999999999</v>
      </c>
      <c r="N40" s="137">
        <f t="shared" si="0"/>
        <v>1.95</v>
      </c>
      <c r="O40" s="137">
        <f t="shared" si="1"/>
        <v>1.95</v>
      </c>
      <c r="P40" s="134">
        <f t="shared" si="9"/>
        <v>3.25</v>
      </c>
      <c r="Q40" s="134">
        <f t="shared" si="10"/>
        <v>34.872500000000002</v>
      </c>
      <c r="R40" s="137">
        <f t="shared" si="11"/>
        <v>35.360000000000007</v>
      </c>
      <c r="S40" s="136">
        <f t="shared" si="2"/>
        <v>0.43895747599451307</v>
      </c>
      <c r="T40" s="135">
        <f t="shared" si="12"/>
        <v>2.979918820764794</v>
      </c>
      <c r="U40" s="135">
        <f t="shared" si="3"/>
        <v>3.2956945873899683</v>
      </c>
      <c r="V40" s="134">
        <f t="shared" si="4"/>
        <v>2.979918820764794</v>
      </c>
      <c r="W40" s="114"/>
    </row>
    <row r="41" spans="2:23" x14ac:dyDescent="0.3">
      <c r="B41" s="121"/>
      <c r="C41" s="141">
        <f t="shared" si="5"/>
        <v>4</v>
      </c>
      <c r="D41" s="140">
        <f t="shared" si="6"/>
        <v>-1.125</v>
      </c>
      <c r="E41" s="138">
        <v>2</v>
      </c>
      <c r="F41" s="139">
        <v>5</v>
      </c>
      <c r="G41" s="138">
        <v>2000</v>
      </c>
      <c r="H41" s="138">
        <v>1.95</v>
      </c>
      <c r="I41" s="134">
        <f t="shared" si="7"/>
        <v>7.6099881093935782</v>
      </c>
      <c r="J41" s="134" cm="1">
        <f t="array" ref="J41:L41">IF(C41="","",Bearing_Capacity_Factors(RADIANS(F41)))</f>
        <v>6.4888234442251589</v>
      </c>
      <c r="K41" s="134">
        <v>1.5676984909909422</v>
      </c>
      <c r="L41" s="134">
        <v>0.44928901862865861</v>
      </c>
      <c r="M41" s="134">
        <f t="shared" si="8"/>
        <v>1.95</v>
      </c>
      <c r="N41" s="137">
        <f t="shared" si="0"/>
        <v>1.95</v>
      </c>
      <c r="O41" s="137">
        <f t="shared" si="1"/>
        <v>1.95</v>
      </c>
      <c r="P41" s="134">
        <f t="shared" si="9"/>
        <v>3.5</v>
      </c>
      <c r="Q41" s="134">
        <f t="shared" si="10"/>
        <v>21.00119215566696</v>
      </c>
      <c r="R41" s="137">
        <f t="shared" si="11"/>
        <v>21.842105108828559</v>
      </c>
      <c r="S41" s="136">
        <f t="shared" si="2"/>
        <v>0.38049940546967892</v>
      </c>
      <c r="T41" s="135">
        <f t="shared" si="12"/>
        <v>1.9573957951405048</v>
      </c>
      <c r="U41" s="135">
        <f t="shared" si="3"/>
        <v>2.1738871318900075</v>
      </c>
      <c r="V41" s="134">
        <f t="shared" si="4"/>
        <v>1.9573957951405048</v>
      </c>
      <c r="W41" s="114"/>
    </row>
    <row r="42" spans="2:23" x14ac:dyDescent="0.3">
      <c r="B42" s="121"/>
      <c r="C42" s="141">
        <f t="shared" si="5"/>
        <v>5</v>
      </c>
      <c r="D42" s="140">
        <f t="shared" si="6"/>
        <v>-1.375</v>
      </c>
      <c r="E42" s="138">
        <v>2</v>
      </c>
      <c r="F42" s="139">
        <v>5</v>
      </c>
      <c r="G42" s="138">
        <v>2000</v>
      </c>
      <c r="H42" s="138">
        <v>1.95</v>
      </c>
      <c r="I42" s="134">
        <f t="shared" si="7"/>
        <v>6.6597294484911549</v>
      </c>
      <c r="J42" s="134" cm="1">
        <f t="array" ref="J42:L42">IF(C42="","",Bearing_Capacity_Factors(RADIANS(F42)))</f>
        <v>6.4888234442251589</v>
      </c>
      <c r="K42" s="134">
        <v>1.5676984909909422</v>
      </c>
      <c r="L42" s="134">
        <v>0.44928901862865861</v>
      </c>
      <c r="M42" s="134">
        <f t="shared" si="8"/>
        <v>2.4375</v>
      </c>
      <c r="N42" s="137">
        <f t="shared" si="0"/>
        <v>1.95</v>
      </c>
      <c r="O42" s="137">
        <f t="shared" si="1"/>
        <v>1.95</v>
      </c>
      <c r="P42" s="134">
        <f t="shared" si="9"/>
        <v>3.75</v>
      </c>
      <c r="Q42" s="134">
        <f t="shared" si="10"/>
        <v>21.842105108828559</v>
      </c>
      <c r="R42" s="137">
        <f t="shared" si="11"/>
        <v>22.683018061990158</v>
      </c>
      <c r="S42" s="136">
        <f t="shared" si="2"/>
        <v>0.33298647242455776</v>
      </c>
      <c r="T42" s="135">
        <f t="shared" si="12"/>
        <v>2.1738871318900075</v>
      </c>
      <c r="U42" s="135">
        <f t="shared" si="3"/>
        <v>2.366578856908784</v>
      </c>
      <c r="V42" s="134">
        <f t="shared" si="4"/>
        <v>2.1738871318900075</v>
      </c>
      <c r="W42" s="114"/>
    </row>
    <row r="43" spans="2:23" x14ac:dyDescent="0.3">
      <c r="B43" s="121"/>
      <c r="C43" s="141">
        <f t="shared" si="5"/>
        <v>6</v>
      </c>
      <c r="D43" s="140">
        <f t="shared" si="6"/>
        <v>-1.625</v>
      </c>
      <c r="E43" s="138">
        <v>2</v>
      </c>
      <c r="F43" s="139">
        <v>5</v>
      </c>
      <c r="G43" s="138">
        <v>2000</v>
      </c>
      <c r="H43" s="138">
        <v>1.95</v>
      </c>
      <c r="I43" s="134">
        <f t="shared" si="7"/>
        <v>5.8769513314967856</v>
      </c>
      <c r="J43" s="134" cm="1">
        <f t="array" ref="J43:L43">IF(C43="","",Bearing_Capacity_Factors(RADIANS(F43)))</f>
        <v>6.4888234442251589</v>
      </c>
      <c r="K43" s="134">
        <v>1.5676984909909422</v>
      </c>
      <c r="L43" s="134">
        <v>0.44928901862865861</v>
      </c>
      <c r="M43" s="134">
        <f t="shared" si="8"/>
        <v>2.9249999999999998</v>
      </c>
      <c r="N43" s="137">
        <f t="shared" si="0"/>
        <v>1.95</v>
      </c>
      <c r="O43" s="137">
        <f t="shared" si="1"/>
        <v>1.95</v>
      </c>
      <c r="P43" s="134">
        <f t="shared" si="9"/>
        <v>4</v>
      </c>
      <c r="Q43" s="134">
        <f t="shared" si="10"/>
        <v>22.683018061990158</v>
      </c>
      <c r="R43" s="137">
        <f t="shared" si="11"/>
        <v>23.523931015151756</v>
      </c>
      <c r="S43" s="136">
        <f t="shared" si="2"/>
        <v>0.29384756657483929</v>
      </c>
      <c r="T43" s="135">
        <f t="shared" si="12"/>
        <v>2.366578856908784</v>
      </c>
      <c r="U43" s="135">
        <f t="shared" si="3"/>
        <v>2.5323272791571219</v>
      </c>
      <c r="V43" s="134">
        <f t="shared" si="4"/>
        <v>2.366578856908784</v>
      </c>
      <c r="W43" s="114"/>
    </row>
    <row r="44" spans="2:23" x14ac:dyDescent="0.3">
      <c r="B44" s="121"/>
      <c r="C44" s="141">
        <f t="shared" si="5"/>
        <v>7</v>
      </c>
      <c r="D44" s="140">
        <f t="shared" si="6"/>
        <v>-1.875</v>
      </c>
      <c r="E44" s="138">
        <v>2</v>
      </c>
      <c r="F44" s="139">
        <v>5</v>
      </c>
      <c r="G44" s="138">
        <v>2000</v>
      </c>
      <c r="H44" s="138">
        <v>1.95</v>
      </c>
      <c r="I44" s="134">
        <f t="shared" si="7"/>
        <v>5.2244897959183678</v>
      </c>
      <c r="J44" s="134" cm="1">
        <f t="array" ref="J44:L44">IF(C44="","",Bearing_Capacity_Factors(RADIANS(F44)))</f>
        <v>6.4888234442251589</v>
      </c>
      <c r="K44" s="134">
        <v>1.5676984909909422</v>
      </c>
      <c r="L44" s="134">
        <v>0.44928901862865861</v>
      </c>
      <c r="M44" s="134">
        <f t="shared" si="8"/>
        <v>3.4124999999999996</v>
      </c>
      <c r="N44" s="137">
        <f t="shared" si="0"/>
        <v>1.95</v>
      </c>
      <c r="O44" s="137">
        <f t="shared" si="1"/>
        <v>1.9220588235294118</v>
      </c>
      <c r="P44" s="134">
        <f t="shared" si="9"/>
        <v>4.25</v>
      </c>
      <c r="Q44" s="134">
        <f t="shared" si="10"/>
        <v>23.505257440315003</v>
      </c>
      <c r="R44" s="137">
        <f t="shared" si="11"/>
        <v>24.364843968313355</v>
      </c>
      <c r="S44" s="136">
        <f t="shared" si="2"/>
        <v>0.26122448979591839</v>
      </c>
      <c r="T44" s="135">
        <f t="shared" si="12"/>
        <v>2.5303170877937804</v>
      </c>
      <c r="U44" s="135">
        <f t="shared" si="3"/>
        <v>2.6702691891016648</v>
      </c>
      <c r="V44" s="134">
        <f t="shared" si="4"/>
        <v>2.5303170877937804</v>
      </c>
      <c r="W44" s="114"/>
    </row>
    <row r="45" spans="2:23" x14ac:dyDescent="0.3">
      <c r="B45" s="121"/>
      <c r="C45" s="141">
        <f t="shared" si="5"/>
        <v>8</v>
      </c>
      <c r="D45" s="140">
        <f t="shared" si="6"/>
        <v>-2.125</v>
      </c>
      <c r="E45" s="138">
        <v>2</v>
      </c>
      <c r="F45" s="139">
        <v>5</v>
      </c>
      <c r="G45" s="138">
        <v>2000</v>
      </c>
      <c r="H45" s="138">
        <v>1.95</v>
      </c>
      <c r="I45" s="134">
        <f t="shared" si="7"/>
        <v>4.6749452154857556</v>
      </c>
      <c r="J45" s="134" cm="1">
        <f t="array" ref="J45:L45">IF(C45="","",Bearing_Capacity_Factors(RADIANS(F45)))</f>
        <v>6.4888234442251589</v>
      </c>
      <c r="K45" s="134">
        <v>1.5676984909909422</v>
      </c>
      <c r="L45" s="134">
        <v>0.44928901862865861</v>
      </c>
      <c r="M45" s="134">
        <f t="shared" si="8"/>
        <v>3.8999999999999995</v>
      </c>
      <c r="N45" s="137">
        <f t="shared" si="0"/>
        <v>1.95</v>
      </c>
      <c r="O45" s="137">
        <f t="shared" si="1"/>
        <v>1.8180555555555555</v>
      </c>
      <c r="P45" s="134">
        <f t="shared" si="9"/>
        <v>4.5</v>
      </c>
      <c r="Q45" s="134">
        <f t="shared" si="10"/>
        <v>24.271476094129586</v>
      </c>
      <c r="R45" s="137">
        <f t="shared" si="11"/>
        <v>25.205756921474958</v>
      </c>
      <c r="S45" s="136">
        <f t="shared" si="2"/>
        <v>0.23374726077428779</v>
      </c>
      <c r="T45" s="135">
        <f t="shared" si="12"/>
        <v>2.6600365211638328</v>
      </c>
      <c r="U45" s="135">
        <f t="shared" si="3"/>
        <v>2.7813417154129416</v>
      </c>
      <c r="V45" s="134">
        <f t="shared" si="4"/>
        <v>2.6600365211638328</v>
      </c>
      <c r="W45" s="114"/>
    </row>
    <row r="46" spans="2:23" x14ac:dyDescent="0.3">
      <c r="B46" s="121"/>
      <c r="C46" s="141">
        <f t="shared" si="5"/>
        <v>9</v>
      </c>
      <c r="D46" s="140">
        <f t="shared" si="6"/>
        <v>-2.375</v>
      </c>
      <c r="E46" s="138">
        <v>2</v>
      </c>
      <c r="F46" s="139">
        <v>5</v>
      </c>
      <c r="G46" s="138">
        <v>2000</v>
      </c>
      <c r="H46" s="138">
        <v>1.95</v>
      </c>
      <c r="I46" s="134">
        <f t="shared" si="7"/>
        <v>4.2077580539119008</v>
      </c>
      <c r="J46" s="134" cm="1">
        <f t="array" ref="J46:L46">IF(C46="","",Bearing_Capacity_Factors(RADIANS(F46)))</f>
        <v>6.4888234442251589</v>
      </c>
      <c r="K46" s="134">
        <v>1.5676984909909422</v>
      </c>
      <c r="L46" s="134">
        <v>0.44928901862865861</v>
      </c>
      <c r="M46" s="134">
        <f t="shared" si="8"/>
        <v>4.3874999999999993</v>
      </c>
      <c r="N46" s="137">
        <f t="shared" si="0"/>
        <v>1.95</v>
      </c>
      <c r="O46" s="137">
        <f t="shared" si="1"/>
        <v>1.7250000000000001</v>
      </c>
      <c r="P46" s="134">
        <f t="shared" si="9"/>
        <v>4.75</v>
      </c>
      <c r="Q46" s="134">
        <f t="shared" si="10"/>
        <v>25.037694747944172</v>
      </c>
      <c r="R46" s="137">
        <f t="shared" si="11"/>
        <v>26.046669874636553</v>
      </c>
      <c r="S46" s="136">
        <f t="shared" si="2"/>
        <v>0.21038790269559504</v>
      </c>
      <c r="T46" s="135">
        <f t="shared" si="12"/>
        <v>2.7627968117434989</v>
      </c>
      <c r="U46" s="135">
        <f t="shared" si="3"/>
        <v>2.8677049107807493</v>
      </c>
      <c r="V46" s="134">
        <f t="shared" si="4"/>
        <v>2.7627968117434989</v>
      </c>
      <c r="W46" s="114"/>
    </row>
    <row r="47" spans="2:23" x14ac:dyDescent="0.3">
      <c r="B47" s="121"/>
      <c r="C47" s="141">
        <f t="shared" si="5"/>
        <v>10</v>
      </c>
      <c r="D47" s="140">
        <f t="shared" si="6"/>
        <v>-2.625</v>
      </c>
      <c r="E47" s="138">
        <v>0</v>
      </c>
      <c r="F47" s="139">
        <v>30</v>
      </c>
      <c r="G47" s="138">
        <v>2000</v>
      </c>
      <c r="H47" s="138">
        <v>1.95</v>
      </c>
      <c r="I47" s="134">
        <f t="shared" si="7"/>
        <v>3.8072575847709698</v>
      </c>
      <c r="J47" s="134" cm="1">
        <f t="array" ref="J47:L47">IF(C47="","",Bearing_Capacity_Factors(RADIANS(F47)))</f>
        <v>30.139627791519036</v>
      </c>
      <c r="K47" s="134">
        <v>18.401122218708636</v>
      </c>
      <c r="L47" s="134">
        <v>22.402486271104515</v>
      </c>
      <c r="M47" s="134">
        <f t="shared" si="8"/>
        <v>4.8749999999999991</v>
      </c>
      <c r="N47" s="137">
        <f t="shared" si="0"/>
        <v>1.95</v>
      </c>
      <c r="O47" s="137">
        <f t="shared" si="1"/>
        <v>1.6412499999999999</v>
      </c>
      <c r="P47" s="134">
        <f t="shared" si="9"/>
        <v>5</v>
      </c>
      <c r="Q47" s="134">
        <f t="shared" si="10"/>
        <v>154.0496118529926</v>
      </c>
      <c r="R47" s="137">
        <f t="shared" si="11"/>
        <v>178.94692651797641</v>
      </c>
      <c r="S47" s="136">
        <f t="shared" si="2"/>
        <v>0.19036287923854847</v>
      </c>
      <c r="T47" s="135">
        <f t="shared" si="12"/>
        <v>16.960664474228089</v>
      </c>
      <c r="U47" s="135">
        <f t="shared" si="3"/>
        <v>19.514902642046881</v>
      </c>
      <c r="V47" s="134">
        <f t="shared" si="4"/>
        <v>16.960664474228089</v>
      </c>
      <c r="W47" s="114"/>
    </row>
    <row r="48" spans="2:23" x14ac:dyDescent="0.3">
      <c r="B48" s="121"/>
      <c r="C48" s="141">
        <f t="shared" si="5"/>
        <v>11</v>
      </c>
      <c r="D48" s="140">
        <f t="shared" si="6"/>
        <v>-2.875</v>
      </c>
      <c r="E48" s="138">
        <v>0</v>
      </c>
      <c r="F48" s="139">
        <v>30</v>
      </c>
      <c r="G48" s="138">
        <v>2000</v>
      </c>
      <c r="H48" s="138">
        <v>1.95</v>
      </c>
      <c r="I48" s="134">
        <f t="shared" si="7"/>
        <v>3.4613304488912928</v>
      </c>
      <c r="J48" s="134" cm="1">
        <f t="array" ref="J48:L48">IF(C48="","",Bearing_Capacity_Factors(RADIANS(F48)))</f>
        <v>30.139627791519036</v>
      </c>
      <c r="K48" s="134">
        <v>18.401122218708636</v>
      </c>
      <c r="L48" s="134">
        <v>22.402486271104515</v>
      </c>
      <c r="M48" s="134">
        <f t="shared" si="8"/>
        <v>5.3624999999999989</v>
      </c>
      <c r="N48" s="137">
        <f t="shared" si="0"/>
        <v>1.95</v>
      </c>
      <c r="O48" s="137">
        <f t="shared" si="1"/>
        <v>1.5654761904761905</v>
      </c>
      <c r="P48" s="134">
        <f t="shared" si="9"/>
        <v>5.25</v>
      </c>
      <c r="Q48" s="134">
        <f t="shared" si="10"/>
        <v>163.11816981204913</v>
      </c>
      <c r="R48" s="137">
        <f t="shared" si="11"/>
        <v>191.73989781960407</v>
      </c>
      <c r="S48" s="136">
        <f t="shared" si="2"/>
        <v>0.17306652244456464</v>
      </c>
      <c r="T48" s="135">
        <f t="shared" si="12"/>
        <v>17.788711239537452</v>
      </c>
      <c r="U48" s="135">
        <f t="shared" si="3"/>
        <v>20.59210537871467</v>
      </c>
      <c r="V48" s="134">
        <f t="shared" si="4"/>
        <v>17.788711239537452</v>
      </c>
      <c r="W48" s="114"/>
    </row>
    <row r="49" spans="2:23" x14ac:dyDescent="0.3">
      <c r="B49" s="121"/>
      <c r="C49" s="141">
        <f t="shared" si="5"/>
        <v>12</v>
      </c>
      <c r="D49" s="140">
        <f t="shared" si="6"/>
        <v>-3.125</v>
      </c>
      <c r="E49" s="138">
        <v>0</v>
      </c>
      <c r="F49" s="139">
        <v>30</v>
      </c>
      <c r="G49" s="138">
        <v>2000</v>
      </c>
      <c r="H49" s="138">
        <v>1.95</v>
      </c>
      <c r="I49" s="134">
        <f t="shared" si="7"/>
        <v>3.1604938271604941</v>
      </c>
      <c r="J49" s="134" cm="1">
        <f t="array" ref="J49:L49">IF(C49="","",Bearing_Capacity_Factors(RADIANS(F49)))</f>
        <v>30.139627791519036</v>
      </c>
      <c r="K49" s="134">
        <v>18.401122218708636</v>
      </c>
      <c r="L49" s="134">
        <v>22.402486271104515</v>
      </c>
      <c r="M49" s="134">
        <f t="shared" si="8"/>
        <v>5.8499999999999988</v>
      </c>
      <c r="N49" s="137">
        <f t="shared" si="0"/>
        <v>1.95</v>
      </c>
      <c r="O49" s="137">
        <f t="shared" si="1"/>
        <v>1.4965909090909091</v>
      </c>
      <c r="P49" s="134">
        <f t="shared" si="9"/>
        <v>5.5</v>
      </c>
      <c r="Q49" s="134">
        <f t="shared" si="10"/>
        <v>172.18672777110567</v>
      </c>
      <c r="R49" s="137">
        <f t="shared" si="11"/>
        <v>204.53286912123173</v>
      </c>
      <c r="S49" s="136">
        <f t="shared" si="2"/>
        <v>0.15802469135802472</v>
      </c>
      <c r="T49" s="135">
        <f t="shared" si="12"/>
        <v>18.492172382477101</v>
      </c>
      <c r="U49" s="135">
        <f t="shared" si="3"/>
        <v>21.534323231117387</v>
      </c>
      <c r="V49" s="134">
        <f t="shared" si="4"/>
        <v>18.492172382477101</v>
      </c>
      <c r="W49" s="114"/>
    </row>
    <row r="50" spans="2:23" x14ac:dyDescent="0.3">
      <c r="B50" s="121"/>
      <c r="C50" s="141">
        <f t="shared" si="5"/>
        <v>13</v>
      </c>
      <c r="D50" s="140">
        <f t="shared" si="6"/>
        <v>-3.375</v>
      </c>
      <c r="E50" s="138">
        <v>0</v>
      </c>
      <c r="F50" s="139">
        <v>30</v>
      </c>
      <c r="G50" s="138">
        <v>2000</v>
      </c>
      <c r="H50" s="138">
        <v>1.95</v>
      </c>
      <c r="I50" s="134">
        <f t="shared" si="7"/>
        <v>2.8972385694884562</v>
      </c>
      <c r="J50" s="134" cm="1">
        <f t="array" ref="J50:L50">IF(C50="","",Bearing_Capacity_Factors(RADIANS(F50)))</f>
        <v>30.139627791519036</v>
      </c>
      <c r="K50" s="134">
        <v>18.401122218708636</v>
      </c>
      <c r="L50" s="134">
        <v>22.402486271104515</v>
      </c>
      <c r="M50" s="134">
        <f t="shared" si="8"/>
        <v>6.3374999999999986</v>
      </c>
      <c r="N50" s="137">
        <f t="shared" si="0"/>
        <v>1.95</v>
      </c>
      <c r="O50" s="137">
        <f t="shared" si="1"/>
        <v>1.433695652173913</v>
      </c>
      <c r="P50" s="134">
        <f t="shared" si="9"/>
        <v>5.75</v>
      </c>
      <c r="Q50" s="134">
        <f t="shared" si="10"/>
        <v>181.2552857301622</v>
      </c>
      <c r="R50" s="137">
        <f t="shared" si="11"/>
        <v>217.32584042285936</v>
      </c>
      <c r="S50" s="136">
        <f t="shared" si="2"/>
        <v>0.14486192847442281</v>
      </c>
      <c r="T50" s="135">
        <f t="shared" si="12"/>
        <v>19.083533747078675</v>
      </c>
      <c r="U50" s="135">
        <f t="shared" si="3"/>
        <v>22.353477429045871</v>
      </c>
      <c r="V50" s="134">
        <f t="shared" si="4"/>
        <v>19.083533747078675</v>
      </c>
      <c r="W50" s="114"/>
    </row>
    <row r="51" spans="2:23" x14ac:dyDescent="0.3">
      <c r="B51" s="121"/>
      <c r="C51" s="141">
        <f t="shared" si="5"/>
        <v>14</v>
      </c>
      <c r="D51" s="140">
        <f t="shared" si="6"/>
        <v>-3.625</v>
      </c>
      <c r="E51" s="138">
        <v>0</v>
      </c>
      <c r="F51" s="139">
        <v>30</v>
      </c>
      <c r="G51" s="138">
        <v>2000</v>
      </c>
      <c r="H51" s="138">
        <v>1.95</v>
      </c>
      <c r="I51" s="134">
        <f t="shared" si="7"/>
        <v>2.6655560183256979</v>
      </c>
      <c r="J51" s="134" cm="1">
        <f t="array" ref="J51:L51">IF(C51="","",Bearing_Capacity_Factors(RADIANS(F51)))</f>
        <v>30.139627791519036</v>
      </c>
      <c r="K51" s="134">
        <v>18.401122218708636</v>
      </c>
      <c r="L51" s="134">
        <v>22.402486271104515</v>
      </c>
      <c r="M51" s="134">
        <f t="shared" si="8"/>
        <v>6.8249999999999984</v>
      </c>
      <c r="N51" s="137">
        <f t="shared" si="0"/>
        <v>1.95</v>
      </c>
      <c r="O51" s="137">
        <f t="shared" si="1"/>
        <v>1.3760416666666666</v>
      </c>
      <c r="P51" s="134">
        <f t="shared" si="9"/>
        <v>6</v>
      </c>
      <c r="Q51" s="134">
        <f t="shared" si="10"/>
        <v>190.32384368921873</v>
      </c>
      <c r="R51" s="137">
        <f t="shared" si="11"/>
        <v>230.11881172448705</v>
      </c>
      <c r="S51" s="136">
        <f t="shared" si="2"/>
        <v>0.13327780091628491</v>
      </c>
      <c r="T51" s="135">
        <f t="shared" si="12"/>
        <v>19.576133863503088</v>
      </c>
      <c r="U51" s="135">
        <f t="shared" si="3"/>
        <v>23.06248945704964</v>
      </c>
      <c r="V51" s="134">
        <f t="shared" si="4"/>
        <v>19.576133863503088</v>
      </c>
      <c r="W51" s="114"/>
    </row>
    <row r="52" spans="2:23" x14ac:dyDescent="0.3">
      <c r="B52" s="121"/>
      <c r="C52" s="141">
        <f t="shared" si="5"/>
        <v>15</v>
      </c>
      <c r="D52" s="140">
        <f t="shared" si="6"/>
        <v>-3.875</v>
      </c>
      <c r="E52" s="138">
        <v>0</v>
      </c>
      <c r="F52" s="139">
        <v>30</v>
      </c>
      <c r="G52" s="138">
        <v>2000</v>
      </c>
      <c r="H52" s="138">
        <v>1.95</v>
      </c>
      <c r="I52" s="134">
        <f t="shared" si="7"/>
        <v>2.4605920799692425</v>
      </c>
      <c r="J52" s="134" cm="1">
        <f t="array" ref="J52:L52">IF(C52="","",Bearing_Capacity_Factors(RADIANS(F52)))</f>
        <v>30.139627791519036</v>
      </c>
      <c r="K52" s="134">
        <v>18.401122218708636</v>
      </c>
      <c r="L52" s="134">
        <v>22.402486271104515</v>
      </c>
      <c r="M52" s="134">
        <f t="shared" si="8"/>
        <v>7.3124999999999982</v>
      </c>
      <c r="N52" s="137">
        <f t="shared" si="0"/>
        <v>1.95</v>
      </c>
      <c r="O52" s="137">
        <f t="shared" si="1"/>
        <v>1.323</v>
      </c>
      <c r="P52" s="134">
        <f t="shared" si="9"/>
        <v>6.25</v>
      </c>
      <c r="Q52" s="134">
        <f t="shared" si="10"/>
        <v>199.39240164827527</v>
      </c>
      <c r="R52" s="137">
        <f t="shared" si="11"/>
        <v>242.91178302611473</v>
      </c>
      <c r="S52" s="136">
        <f t="shared" si="2"/>
        <v>0.12302960399846212</v>
      </c>
      <c r="T52" s="135">
        <f t="shared" si="12"/>
        <v>19.983091023148319</v>
      </c>
      <c r="U52" s="135">
        <f t="shared" si="3"/>
        <v>23.674246196798705</v>
      </c>
      <c r="V52" s="134">
        <f t="shared" si="4"/>
        <v>19.983091023148319</v>
      </c>
      <c r="W52" s="114"/>
    </row>
    <row r="53" spans="2:23" x14ac:dyDescent="0.3">
      <c r="B53" s="121"/>
      <c r="C53" s="141">
        <f t="shared" si="5"/>
        <v>16</v>
      </c>
      <c r="D53" s="140">
        <f t="shared" si="6"/>
        <v>-4.125</v>
      </c>
      <c r="E53" s="138">
        <v>0</v>
      </c>
      <c r="F53" s="139">
        <v>30</v>
      </c>
      <c r="G53" s="138">
        <v>2000</v>
      </c>
      <c r="H53" s="138">
        <v>1.95</v>
      </c>
      <c r="I53" s="134">
        <f t="shared" si="7"/>
        <v>2.2783908864364544</v>
      </c>
      <c r="J53" s="134" cm="1">
        <f t="array" ref="J53:L53">IF(C53="","",Bearing_Capacity_Factors(RADIANS(F53)))</f>
        <v>30.139627791519036</v>
      </c>
      <c r="K53" s="134">
        <v>18.401122218708636</v>
      </c>
      <c r="L53" s="134">
        <v>22.402486271104515</v>
      </c>
      <c r="M53" s="134">
        <f t="shared" si="8"/>
        <v>7.799999999999998</v>
      </c>
      <c r="N53" s="137">
        <f t="shared" si="0"/>
        <v>1.95</v>
      </c>
      <c r="O53" s="137">
        <f t="shared" si="1"/>
        <v>1.2740384615384617</v>
      </c>
      <c r="P53" s="134">
        <f t="shared" si="9"/>
        <v>6.5</v>
      </c>
      <c r="Q53" s="134">
        <f t="shared" si="10"/>
        <v>208.4609596073318</v>
      </c>
      <c r="R53" s="137">
        <f t="shared" si="11"/>
        <v>255.70475432774236</v>
      </c>
      <c r="S53" s="136">
        <f t="shared" si="2"/>
        <v>0.11391954432182273</v>
      </c>
      <c r="T53" s="135">
        <f t="shared" si="12"/>
        <v>20.316659894733551</v>
      </c>
      <c r="U53" s="135">
        <f t="shared" si="3"/>
        <v>24.200964885601202</v>
      </c>
      <c r="V53" s="134">
        <f t="shared" si="4"/>
        <v>20.316659894733551</v>
      </c>
      <c r="W53" s="114"/>
    </row>
    <row r="54" spans="2:23" x14ac:dyDescent="0.3">
      <c r="B54" s="121"/>
      <c r="C54" s="141">
        <f t="shared" si="5"/>
        <v>17</v>
      </c>
      <c r="D54" s="140">
        <f t="shared" si="6"/>
        <v>-4.375</v>
      </c>
      <c r="E54" s="138">
        <v>0</v>
      </c>
      <c r="F54" s="139">
        <v>30</v>
      </c>
      <c r="G54" s="138">
        <v>2000</v>
      </c>
      <c r="H54" s="138">
        <v>1.95</v>
      </c>
      <c r="I54" s="134">
        <f t="shared" si="7"/>
        <v>2.115702479338843</v>
      </c>
      <c r="J54" s="134" cm="1">
        <f t="array" ref="J54:L54">IF(C54="","",Bearing_Capacity_Factors(RADIANS(F54)))</f>
        <v>30.139627791519036</v>
      </c>
      <c r="K54" s="134">
        <v>18.401122218708636</v>
      </c>
      <c r="L54" s="134">
        <v>22.402486271104515</v>
      </c>
      <c r="M54" s="134">
        <f t="shared" si="8"/>
        <v>8.2874999999999979</v>
      </c>
      <c r="N54" s="137">
        <f t="shared" si="0"/>
        <v>1.95</v>
      </c>
      <c r="O54" s="137">
        <f t="shared" si="1"/>
        <v>1.2287037037037036</v>
      </c>
      <c r="P54" s="134">
        <f t="shared" si="9"/>
        <v>6.75</v>
      </c>
      <c r="Q54" s="134">
        <f t="shared" si="10"/>
        <v>217.52951756638834</v>
      </c>
      <c r="R54" s="137">
        <f t="shared" si="11"/>
        <v>268.49772562937005</v>
      </c>
      <c r="S54" s="136">
        <f t="shared" si="2"/>
        <v>0.10578512396694215</v>
      </c>
      <c r="T54" s="135">
        <f t="shared" si="12"/>
        <v>20.587901191146436</v>
      </c>
      <c r="U54" s="135">
        <f t="shared" si="3"/>
        <v>24.653848191955213</v>
      </c>
      <c r="V54" s="134">
        <f t="shared" si="4"/>
        <v>20.587901191146436</v>
      </c>
      <c r="W54" s="114"/>
    </row>
    <row r="55" spans="2:23" x14ac:dyDescent="0.3">
      <c r="B55" s="121"/>
      <c r="C55" s="141">
        <f t="shared" si="5"/>
        <v>18</v>
      </c>
      <c r="D55" s="140">
        <f t="shared" si="6"/>
        <v>-4.625</v>
      </c>
      <c r="E55" s="138">
        <v>0</v>
      </c>
      <c r="F55" s="139">
        <v>30</v>
      </c>
      <c r="G55" s="138">
        <v>2000</v>
      </c>
      <c r="H55" s="138">
        <v>1.95</v>
      </c>
      <c r="I55" s="134">
        <f t="shared" si="7"/>
        <v>1.9698368728839641</v>
      </c>
      <c r="J55" s="134" cm="1">
        <f t="array" ref="J55:L55">IF(C55="","",Bearing_Capacity_Factors(RADIANS(F55)))</f>
        <v>30.139627791519036</v>
      </c>
      <c r="K55" s="134">
        <v>18.401122218708636</v>
      </c>
      <c r="L55" s="134">
        <v>22.402486271104515</v>
      </c>
      <c r="M55" s="134">
        <f t="shared" si="8"/>
        <v>8.7749999999999986</v>
      </c>
      <c r="N55" s="137">
        <f t="shared" si="0"/>
        <v>1.95</v>
      </c>
      <c r="O55" s="137">
        <f t="shared" si="1"/>
        <v>1.186607142857143</v>
      </c>
      <c r="P55" s="134">
        <f t="shared" si="9"/>
        <v>7</v>
      </c>
      <c r="Q55" s="134">
        <f t="shared" si="10"/>
        <v>226.59807552544493</v>
      </c>
      <c r="R55" s="137">
        <f t="shared" si="11"/>
        <v>281.29069693099774</v>
      </c>
      <c r="S55" s="136">
        <f t="shared" si="2"/>
        <v>9.8491843644198218E-2</v>
      </c>
      <c r="T55" s="135">
        <f t="shared" si="12"/>
        <v>20.80656192337754</v>
      </c>
      <c r="U55" s="135">
        <f t="shared" si="3"/>
        <v>25.042936310970422</v>
      </c>
      <c r="V55" s="134">
        <f t="shared" si="4"/>
        <v>20.80656192337754</v>
      </c>
      <c r="W55" s="114"/>
    </row>
    <row r="56" spans="2:23" x14ac:dyDescent="0.3">
      <c r="B56" s="121"/>
      <c r="C56" s="141">
        <f t="shared" si="5"/>
        <v>19</v>
      </c>
      <c r="D56" s="140">
        <f t="shared" si="6"/>
        <v>-4.875</v>
      </c>
      <c r="E56" s="138">
        <v>0</v>
      </c>
      <c r="F56" s="139">
        <v>30</v>
      </c>
      <c r="G56" s="138">
        <v>2000</v>
      </c>
      <c r="H56" s="138">
        <v>1.95</v>
      </c>
      <c r="I56" s="134">
        <f t="shared" si="7"/>
        <v>1.8385521401896006</v>
      </c>
      <c r="J56" s="134" cm="1">
        <f t="array" ref="J56:L56">IF(C56="","",Bearing_Capacity_Factors(RADIANS(F56)))</f>
        <v>30.139627791519036</v>
      </c>
      <c r="K56" s="134">
        <v>18.401122218708636</v>
      </c>
      <c r="L56" s="134">
        <v>22.402486271104515</v>
      </c>
      <c r="M56" s="134">
        <f t="shared" si="8"/>
        <v>9.2624999999999993</v>
      </c>
      <c r="N56" s="137">
        <f t="shared" si="0"/>
        <v>1.95</v>
      </c>
      <c r="O56" s="137">
        <f t="shared" si="1"/>
        <v>1.1474137931034483</v>
      </c>
      <c r="P56" s="134">
        <f t="shared" si="9"/>
        <v>7.25</v>
      </c>
      <c r="Q56" s="134">
        <f t="shared" si="10"/>
        <v>235.66663348450146</v>
      </c>
      <c r="R56" s="137">
        <f t="shared" si="11"/>
        <v>294.08366823262543</v>
      </c>
      <c r="S56" s="136">
        <f t="shared" si="2"/>
        <v>9.1927607009480036E-2</v>
      </c>
      <c r="T56" s="135">
        <f t="shared" si="12"/>
        <v>20.981086674263249</v>
      </c>
      <c r="U56" s="135">
        <f t="shared" si="3"/>
        <v>25.377084615491398</v>
      </c>
      <c r="V56" s="134">
        <f t="shared" si="4"/>
        <v>20.981086674263249</v>
      </c>
      <c r="W56" s="114"/>
    </row>
    <row r="57" spans="2:23" x14ac:dyDescent="0.3">
      <c r="B57" s="121"/>
      <c r="C57" s="141">
        <f t="shared" si="5"/>
        <v>20</v>
      </c>
      <c r="D57" s="140">
        <f t="shared" si="6"/>
        <v>-5.125</v>
      </c>
      <c r="E57" s="138">
        <v>0</v>
      </c>
      <c r="F57" s="139">
        <v>30</v>
      </c>
      <c r="G57" s="138">
        <v>2000</v>
      </c>
      <c r="H57" s="138">
        <v>1.95</v>
      </c>
      <c r="I57" s="134">
        <f t="shared" si="7"/>
        <v>1.7199677506046762</v>
      </c>
      <c r="J57" s="134" cm="1">
        <f t="array" ref="J57:L57">IF(C57="","",Bearing_Capacity_Factors(RADIANS(F57)))</f>
        <v>30.139627791519036</v>
      </c>
      <c r="K57" s="134">
        <v>18.401122218708636</v>
      </c>
      <c r="L57" s="134">
        <v>22.402486271104515</v>
      </c>
      <c r="M57" s="134">
        <f t="shared" si="8"/>
        <v>9.75</v>
      </c>
      <c r="N57" s="137">
        <f t="shared" si="0"/>
        <v>1.95</v>
      </c>
      <c r="O57" s="137">
        <f t="shared" si="1"/>
        <v>1.1108333333333333</v>
      </c>
      <c r="P57" s="134">
        <f t="shared" si="9"/>
        <v>7.5</v>
      </c>
      <c r="Q57" s="134">
        <f t="shared" si="10"/>
        <v>244.73519144355799</v>
      </c>
      <c r="R57" s="137">
        <f t="shared" si="11"/>
        <v>306.87663953425312</v>
      </c>
      <c r="S57" s="136">
        <f t="shared" si="2"/>
        <v>8.5998387530233811E-2</v>
      </c>
      <c r="T57" s="135">
        <f t="shared" si="12"/>
        <v>21.118703051333373</v>
      </c>
      <c r="U57" s="135">
        <f t="shared" si="3"/>
        <v>25.664015654044704</v>
      </c>
      <c r="V57" s="134">
        <f t="shared" si="4"/>
        <v>21.118703051333373</v>
      </c>
      <c r="W57" s="114"/>
    </row>
    <row r="58" spans="2:23" x14ac:dyDescent="0.3">
      <c r="B58" s="121"/>
      <c r="C58" s="141">
        <f t="shared" si="5"/>
        <v>21</v>
      </c>
      <c r="D58" s="140">
        <f t="shared" si="6"/>
        <v>-5.375</v>
      </c>
      <c r="E58" s="138">
        <v>5</v>
      </c>
      <c r="F58" s="139">
        <v>20</v>
      </c>
      <c r="G58" s="138">
        <v>2000</v>
      </c>
      <c r="H58" s="138">
        <v>1.95</v>
      </c>
      <c r="I58" s="134">
        <f t="shared" si="7"/>
        <v>1.6124968505920887</v>
      </c>
      <c r="J58" s="134" cm="1">
        <f t="array" ref="J58:L58">IF(C58="","",Bearing_Capacity_Factors(RADIANS(F58)))</f>
        <v>14.834711777931165</v>
      </c>
      <c r="K58" s="134">
        <v>6.3993935210851971</v>
      </c>
      <c r="L58" s="134">
        <v>5.3863179865943982</v>
      </c>
      <c r="M58" s="134">
        <f t="shared" si="8"/>
        <v>10.237500000000001</v>
      </c>
      <c r="N58" s="137">
        <f t="shared" si="0"/>
        <v>1.95</v>
      </c>
      <c r="O58" s="137">
        <f t="shared" si="1"/>
        <v>1.0766129032258065</v>
      </c>
      <c r="P58" s="134">
        <f t="shared" si="9"/>
        <v>7.75</v>
      </c>
      <c r="Q58" s="134">
        <f t="shared" si="10"/>
        <v>177.66914947388872</v>
      </c>
      <c r="R58" s="137">
        <f t="shared" si="11"/>
        <v>194.46841827699674</v>
      </c>
      <c r="S58" s="136">
        <f t="shared" si="2"/>
        <v>8.0624842529604432E-2</v>
      </c>
      <c r="T58" s="135">
        <f t="shared" si="12"/>
        <v>14.858425979439014</v>
      </c>
      <c r="U58" s="135">
        <f t="shared" si="3"/>
        <v>15.762388483824738</v>
      </c>
      <c r="V58" s="134">
        <f t="shared" si="4"/>
        <v>14.858425979439014</v>
      </c>
      <c r="W58" s="114"/>
    </row>
    <row r="59" spans="2:23" x14ac:dyDescent="0.3">
      <c r="B59" s="121"/>
      <c r="C59" s="141">
        <f t="shared" si="5"/>
        <v>22</v>
      </c>
      <c r="D59" s="140">
        <f t="shared" si="6"/>
        <v>-5.625</v>
      </c>
      <c r="E59" s="138">
        <v>5</v>
      </c>
      <c r="F59" s="139">
        <v>20</v>
      </c>
      <c r="G59" s="138">
        <v>2000</v>
      </c>
      <c r="H59" s="138">
        <v>1.95</v>
      </c>
      <c r="I59" s="134">
        <f t="shared" si="7"/>
        <v>1.5147928994082842</v>
      </c>
      <c r="J59" s="134" cm="1">
        <f t="array" ref="J59:L59">IF(C59="","",Bearing_Capacity_Factors(RADIANS(F59)))</f>
        <v>14.834711777931165</v>
      </c>
      <c r="K59" s="134">
        <v>6.3993935210851971</v>
      </c>
      <c r="L59" s="134">
        <v>5.3863179865943982</v>
      </c>
      <c r="M59" s="134">
        <f t="shared" si="8"/>
        <v>10.725000000000001</v>
      </c>
      <c r="N59" s="137">
        <f t="shared" si="0"/>
        <v>1.95</v>
      </c>
      <c r="O59" s="137">
        <f t="shared" si="1"/>
        <v>1.0445312499999999</v>
      </c>
      <c r="P59" s="134">
        <f t="shared" si="9"/>
        <v>8</v>
      </c>
      <c r="Q59" s="134">
        <f t="shared" si="10"/>
        <v>180.81241895660915</v>
      </c>
      <c r="R59" s="137">
        <f t="shared" si="11"/>
        <v>198.50716312498844</v>
      </c>
      <c r="S59" s="136">
        <f t="shared" si="2"/>
        <v>7.5739644970414216E-2</v>
      </c>
      <c r="T59" s="135">
        <f t="shared" si="12"/>
        <v>14.655518955446116</v>
      </c>
      <c r="U59" s="135">
        <f t="shared" si="3"/>
        <v>15.59696666792491</v>
      </c>
      <c r="V59" s="134">
        <f t="shared" si="4"/>
        <v>14.655518955446116</v>
      </c>
      <c r="W59" s="114"/>
    </row>
    <row r="60" spans="2:23" x14ac:dyDescent="0.3">
      <c r="B60" s="121"/>
      <c r="C60" s="141">
        <f t="shared" si="5"/>
        <v>23</v>
      </c>
      <c r="D60" s="140">
        <f t="shared" si="6"/>
        <v>-5.875</v>
      </c>
      <c r="E60" s="138">
        <v>5</v>
      </c>
      <c r="F60" s="139">
        <v>20</v>
      </c>
      <c r="G60" s="138">
        <v>2000</v>
      </c>
      <c r="H60" s="138">
        <v>1.95</v>
      </c>
      <c r="I60" s="134">
        <f t="shared" si="7"/>
        <v>1.4257072844731566</v>
      </c>
      <c r="J60" s="134" cm="1">
        <f t="array" ref="J60:L60">IF(C60="","",Bearing_Capacity_Factors(RADIANS(F60)))</f>
        <v>14.834711777931165</v>
      </c>
      <c r="K60" s="134">
        <v>6.3993935210851971</v>
      </c>
      <c r="L60" s="134">
        <v>5.3863179865943982</v>
      </c>
      <c r="M60" s="134">
        <f t="shared" si="8"/>
        <v>11.212500000000002</v>
      </c>
      <c r="N60" s="137">
        <f t="shared" si="0"/>
        <v>1.95</v>
      </c>
      <c r="O60" s="137">
        <f t="shared" si="1"/>
        <v>1.0143939393939394</v>
      </c>
      <c r="P60" s="134">
        <f t="shared" si="9"/>
        <v>8.25</v>
      </c>
      <c r="Q60" s="134">
        <f t="shared" si="10"/>
        <v>183.95568843932952</v>
      </c>
      <c r="R60" s="137">
        <f t="shared" si="11"/>
        <v>186.52161196286181</v>
      </c>
      <c r="S60" s="136">
        <f t="shared" si="2"/>
        <v>7.1285364223657832E-2</v>
      </c>
      <c r="T60" s="135">
        <f t="shared" si="12"/>
        <v>14.453638326173976</v>
      </c>
      <c r="U60" s="135">
        <f t="shared" si="3"/>
        <v>14.210404660136257</v>
      </c>
      <c r="V60" s="134">
        <f t="shared" si="4"/>
        <v>14.210404660136257</v>
      </c>
      <c r="W60" s="114"/>
    </row>
    <row r="61" spans="2:23" x14ac:dyDescent="0.3">
      <c r="B61" s="121"/>
      <c r="C61" s="141">
        <f t="shared" si="5"/>
        <v>24</v>
      </c>
      <c r="D61" s="140">
        <f t="shared" si="6"/>
        <v>-6.125</v>
      </c>
      <c r="E61" s="138">
        <v>5</v>
      </c>
      <c r="F61" s="139">
        <v>20</v>
      </c>
      <c r="G61" s="138">
        <v>2000</v>
      </c>
      <c r="H61" s="138">
        <v>1.95</v>
      </c>
      <c r="I61" s="134">
        <f t="shared" si="7"/>
        <v>1.3442554085276202</v>
      </c>
      <c r="J61" s="134" cm="1">
        <f t="array" ref="J61:L61">IF(C61="","",Bearing_Capacity_Factors(RADIANS(F61)))</f>
        <v>14.834711777931165</v>
      </c>
      <c r="K61" s="134">
        <v>6.3993935210851971</v>
      </c>
      <c r="L61" s="134">
        <v>5.3863179865943982</v>
      </c>
      <c r="M61" s="134">
        <f t="shared" si="8"/>
        <v>11.700000000000003</v>
      </c>
      <c r="N61" s="137">
        <f t="shared" si="0"/>
        <v>0.95</v>
      </c>
      <c r="O61" s="137">
        <f t="shared" si="1"/>
        <v>0.95</v>
      </c>
      <c r="P61" s="134">
        <f t="shared" si="9"/>
        <v>8.5</v>
      </c>
      <c r="Q61" s="134">
        <f t="shared" si="10"/>
        <v>186.52161196286181</v>
      </c>
      <c r="R61" s="137">
        <f t="shared" si="11"/>
        <v>188.48920560675521</v>
      </c>
      <c r="S61" s="136">
        <f t="shared" si="2"/>
        <v>6.7212770426381005E-2</v>
      </c>
      <c r="T61" s="135">
        <f t="shared" si="12"/>
        <v>14.210404660136257</v>
      </c>
      <c r="U61" s="135">
        <f t="shared" si="3"/>
        <v>14.191588371348466</v>
      </c>
      <c r="V61" s="134">
        <f t="shared" si="4"/>
        <v>14.191588371348466</v>
      </c>
      <c r="W61" s="114"/>
    </row>
    <row r="62" spans="2:23" x14ac:dyDescent="0.3">
      <c r="B62" s="121"/>
      <c r="C62" s="141">
        <f t="shared" si="5"/>
        <v>25</v>
      </c>
      <c r="D62" s="140">
        <f t="shared" si="6"/>
        <v>-6.375</v>
      </c>
      <c r="E62" s="138">
        <v>5</v>
      </c>
      <c r="F62" s="139">
        <v>20</v>
      </c>
      <c r="G62" s="138">
        <v>2000</v>
      </c>
      <c r="H62" s="138">
        <v>1.95</v>
      </c>
      <c r="I62" s="134">
        <f t="shared" si="7"/>
        <v>1.2695893671890497</v>
      </c>
      <c r="J62" s="134" cm="1">
        <f t="array" ref="J62:L62">IF(C62="","",Bearing_Capacity_Factors(RADIANS(F62)))</f>
        <v>14.834711777931165</v>
      </c>
      <c r="K62" s="134">
        <v>6.3993935210851971</v>
      </c>
      <c r="L62" s="134">
        <v>5.3863179865943982</v>
      </c>
      <c r="M62" s="134">
        <f t="shared" si="8"/>
        <v>11.937500000000004</v>
      </c>
      <c r="N62" s="137">
        <f t="shared" si="0"/>
        <v>0.95</v>
      </c>
      <c r="O62" s="137">
        <f t="shared" si="1"/>
        <v>0.95</v>
      </c>
      <c r="P62" s="134">
        <f t="shared" si="9"/>
        <v>8.75</v>
      </c>
      <c r="Q62" s="134">
        <f t="shared" si="10"/>
        <v>188.48920560675521</v>
      </c>
      <c r="R62" s="137">
        <f t="shared" si="11"/>
        <v>190.45679925064863</v>
      </c>
      <c r="S62" s="136">
        <f t="shared" si="2"/>
        <v>6.3479468359452493E-2</v>
      </c>
      <c r="T62" s="135">
        <f t="shared" si="12"/>
        <v>14.191588371348466</v>
      </c>
      <c r="U62" s="135">
        <f t="shared" si="3"/>
        <v>14.166055507463122</v>
      </c>
      <c r="V62" s="134">
        <f t="shared" si="4"/>
        <v>14.166055507463122</v>
      </c>
      <c r="W62" s="114"/>
    </row>
    <row r="63" spans="2:23" x14ac:dyDescent="0.3">
      <c r="B63" s="121"/>
      <c r="C63" s="141">
        <f t="shared" si="5"/>
        <v>26</v>
      </c>
      <c r="D63" s="140">
        <f t="shared" si="6"/>
        <v>-6.625</v>
      </c>
      <c r="E63" s="138">
        <v>5</v>
      </c>
      <c r="F63" s="139">
        <v>20</v>
      </c>
      <c r="G63" s="138">
        <v>2000</v>
      </c>
      <c r="H63" s="138">
        <v>1.95</v>
      </c>
      <c r="I63" s="134">
        <f t="shared" si="7"/>
        <v>1.2009757928316758</v>
      </c>
      <c r="J63" s="134" cm="1">
        <f t="array" ref="J63:L63">IF(C63="","",Bearing_Capacity_Factors(RADIANS(F63)))</f>
        <v>14.834711777931165</v>
      </c>
      <c r="K63" s="134">
        <v>6.3993935210851971</v>
      </c>
      <c r="L63" s="134">
        <v>5.3863179865943982</v>
      </c>
      <c r="M63" s="134">
        <f t="shared" si="8"/>
        <v>12.175000000000004</v>
      </c>
      <c r="N63" s="137">
        <f t="shared" si="0"/>
        <v>0.95</v>
      </c>
      <c r="O63" s="137">
        <f t="shared" si="1"/>
        <v>0.95</v>
      </c>
      <c r="P63" s="134">
        <f t="shared" si="9"/>
        <v>9</v>
      </c>
      <c r="Q63" s="134">
        <f t="shared" si="10"/>
        <v>190.45679925064863</v>
      </c>
      <c r="R63" s="137">
        <f t="shared" si="11"/>
        <v>192.424392894542</v>
      </c>
      <c r="S63" s="136">
        <f t="shared" si="2"/>
        <v>6.0048789641583784E-2</v>
      </c>
      <c r="T63" s="135">
        <f t="shared" si="12"/>
        <v>14.166055507463122</v>
      </c>
      <c r="U63" s="135">
        <f t="shared" si="3"/>
        <v>14.134846663911144</v>
      </c>
      <c r="V63" s="134">
        <f t="shared" si="4"/>
        <v>14.134846663911144</v>
      </c>
      <c r="W63" s="114"/>
    </row>
    <row r="64" spans="2:23" x14ac:dyDescent="0.3">
      <c r="B64" s="121"/>
      <c r="C64" s="141">
        <f t="shared" si="5"/>
        <v>27</v>
      </c>
      <c r="D64" s="140">
        <f t="shared" si="6"/>
        <v>-6.875</v>
      </c>
      <c r="E64" s="138">
        <v>5</v>
      </c>
      <c r="F64" s="139">
        <v>20</v>
      </c>
      <c r="G64" s="138">
        <v>2000</v>
      </c>
      <c r="H64" s="138">
        <v>1.95</v>
      </c>
      <c r="I64" s="134">
        <f t="shared" si="7"/>
        <v>1.1377777777777778</v>
      </c>
      <c r="J64" s="134" cm="1">
        <f t="array" ref="J64:L64">IF(C64="","",Bearing_Capacity_Factors(RADIANS(F64)))</f>
        <v>14.834711777931165</v>
      </c>
      <c r="K64" s="134">
        <v>6.3993935210851971</v>
      </c>
      <c r="L64" s="134">
        <v>5.3863179865943982</v>
      </c>
      <c r="M64" s="134">
        <f t="shared" si="8"/>
        <v>12.412500000000005</v>
      </c>
      <c r="N64" s="137">
        <f t="shared" si="0"/>
        <v>0.95</v>
      </c>
      <c r="O64" s="137">
        <f t="shared" si="1"/>
        <v>0.95</v>
      </c>
      <c r="P64" s="134">
        <f t="shared" si="9"/>
        <v>9.25</v>
      </c>
      <c r="Q64" s="134">
        <f t="shared" si="10"/>
        <v>192.424392894542</v>
      </c>
      <c r="R64" s="137">
        <f t="shared" si="11"/>
        <v>194.39198653843542</v>
      </c>
      <c r="S64" s="136">
        <f t="shared" si="2"/>
        <v>5.6888888888888885E-2</v>
      </c>
      <c r="T64" s="135">
        <f t="shared" si="12"/>
        <v>14.134846663911144</v>
      </c>
      <c r="U64" s="135">
        <f t="shared" si="3"/>
        <v>14.098862751598984</v>
      </c>
      <c r="V64" s="134">
        <f t="shared" si="4"/>
        <v>14.098862751598984</v>
      </c>
      <c r="W64" s="114"/>
    </row>
    <row r="65" spans="2:23" x14ac:dyDescent="0.3">
      <c r="B65" s="121"/>
      <c r="C65" s="141">
        <f t="shared" si="5"/>
        <v>28</v>
      </c>
      <c r="D65" s="140">
        <f t="shared" si="6"/>
        <v>-7.125</v>
      </c>
      <c r="E65" s="138">
        <v>5</v>
      </c>
      <c r="F65" s="139">
        <v>20</v>
      </c>
      <c r="G65" s="138">
        <v>2000</v>
      </c>
      <c r="H65" s="138">
        <v>1.95</v>
      </c>
      <c r="I65" s="134">
        <f t="shared" si="7"/>
        <v>1.0794400404790014</v>
      </c>
      <c r="J65" s="134" cm="1">
        <f t="array" ref="J65:L65">IF(C65="","",Bearing_Capacity_Factors(RADIANS(F65)))</f>
        <v>14.834711777931165</v>
      </c>
      <c r="K65" s="134">
        <v>6.3993935210851971</v>
      </c>
      <c r="L65" s="134">
        <v>5.3863179865943982</v>
      </c>
      <c r="M65" s="134">
        <f t="shared" si="8"/>
        <v>12.650000000000006</v>
      </c>
      <c r="N65" s="137">
        <f t="shared" si="0"/>
        <v>0.95</v>
      </c>
      <c r="O65" s="137">
        <f t="shared" si="1"/>
        <v>0.95</v>
      </c>
      <c r="P65" s="134">
        <f t="shared" si="9"/>
        <v>9.5</v>
      </c>
      <c r="Q65" s="134">
        <f t="shared" si="10"/>
        <v>194.39198653843542</v>
      </c>
      <c r="R65" s="137">
        <f t="shared" si="11"/>
        <v>196.35958018232878</v>
      </c>
      <c r="S65" s="136">
        <f t="shared" si="2"/>
        <v>5.3972002023950076E-2</v>
      </c>
      <c r="T65" s="135">
        <f t="shared" si="12"/>
        <v>14.098862751598984</v>
      </c>
      <c r="U65" s="135">
        <f t="shared" si="3"/>
        <v>14.058883306811595</v>
      </c>
      <c r="V65" s="134">
        <f t="shared" si="4"/>
        <v>14.058883306811595</v>
      </c>
      <c r="W65" s="114"/>
    </row>
    <row r="66" spans="2:23" x14ac:dyDescent="0.3">
      <c r="B66" s="121"/>
      <c r="C66" s="141">
        <f t="shared" si="5"/>
        <v>29</v>
      </c>
      <c r="D66" s="140">
        <f t="shared" si="6"/>
        <v>-7.375</v>
      </c>
      <c r="E66" s="138">
        <v>5</v>
      </c>
      <c r="F66" s="139">
        <v>20</v>
      </c>
      <c r="G66" s="138">
        <v>2000</v>
      </c>
      <c r="H66" s="138">
        <v>1.95</v>
      </c>
      <c r="I66" s="134">
        <f t="shared" si="7"/>
        <v>1.025476686428457</v>
      </c>
      <c r="J66" s="134" cm="1">
        <f t="array" ref="J66:L66">IF(C66="","",Bearing_Capacity_Factors(RADIANS(F66)))</f>
        <v>14.834711777931165</v>
      </c>
      <c r="K66" s="134">
        <v>6.3993935210851971</v>
      </c>
      <c r="L66" s="134">
        <v>5.3863179865943982</v>
      </c>
      <c r="M66" s="134">
        <f t="shared" si="8"/>
        <v>12.887500000000006</v>
      </c>
      <c r="N66" s="137">
        <f t="shared" si="0"/>
        <v>0.95</v>
      </c>
      <c r="O66" s="137">
        <f t="shared" si="1"/>
        <v>0.95</v>
      </c>
      <c r="P66" s="134">
        <f t="shared" si="9"/>
        <v>9.75</v>
      </c>
      <c r="Q66" s="134">
        <f t="shared" si="10"/>
        <v>196.35958018232878</v>
      </c>
      <c r="R66" s="137">
        <f t="shared" si="11"/>
        <v>198.32717382622218</v>
      </c>
      <c r="S66" s="136">
        <f t="shared" si="2"/>
        <v>5.1273834321422851E-2</v>
      </c>
      <c r="T66" s="135">
        <f t="shared" si="12"/>
        <v>14.058883306811595</v>
      </c>
      <c r="U66" s="135">
        <f t="shared" si="3"/>
        <v>14.015582529204487</v>
      </c>
      <c r="V66" s="134">
        <f t="shared" si="4"/>
        <v>14.015582529204487</v>
      </c>
      <c r="W66" s="114"/>
    </row>
    <row r="67" spans="2:23" x14ac:dyDescent="0.3">
      <c r="B67" s="121"/>
      <c r="C67" s="141">
        <f t="shared" si="5"/>
        <v>30</v>
      </c>
      <c r="D67" s="140">
        <f t="shared" si="6"/>
        <v>-7.625</v>
      </c>
      <c r="E67" s="138">
        <v>5</v>
      </c>
      <c r="F67" s="139">
        <v>20</v>
      </c>
      <c r="G67" s="138">
        <v>2000</v>
      </c>
      <c r="H67" s="138">
        <v>1.95</v>
      </c>
      <c r="I67" s="134">
        <f t="shared" si="7"/>
        <v>0.97546105776558445</v>
      </c>
      <c r="J67" s="134" cm="1">
        <f t="array" ref="J67:L67">IF(C67="","",Bearing_Capacity_Factors(RADIANS(F67)))</f>
        <v>14.834711777931165</v>
      </c>
      <c r="K67" s="134">
        <v>6.3993935210851971</v>
      </c>
      <c r="L67" s="134">
        <v>5.3863179865943982</v>
      </c>
      <c r="M67" s="134">
        <f t="shared" si="8"/>
        <v>13.125000000000007</v>
      </c>
      <c r="N67" s="137">
        <f t="shared" si="0"/>
        <v>0.95</v>
      </c>
      <c r="O67" s="137">
        <f t="shared" si="1"/>
        <v>0.95</v>
      </c>
      <c r="P67" s="134">
        <f t="shared" si="9"/>
        <v>10</v>
      </c>
      <c r="Q67" s="134">
        <f t="shared" si="10"/>
        <v>198.32717382622218</v>
      </c>
      <c r="R67" s="137">
        <f t="shared" si="11"/>
        <v>200.2947674701156</v>
      </c>
      <c r="S67" s="136">
        <f t="shared" si="2"/>
        <v>4.8773052888279225E-2</v>
      </c>
      <c r="T67" s="135">
        <f t="shared" si="12"/>
        <v>14.015582529204487</v>
      </c>
      <c r="U67" s="135">
        <f t="shared" si="3"/>
        <v>13.969543274888016</v>
      </c>
      <c r="V67" s="134">
        <f t="shared" si="4"/>
        <v>13.969543274888016</v>
      </c>
      <c r="W67" s="114"/>
    </row>
    <row r="68" spans="2:23" x14ac:dyDescent="0.3">
      <c r="B68" s="121"/>
      <c r="C68" s="141">
        <f t="shared" si="5"/>
        <v>31</v>
      </c>
      <c r="D68" s="140">
        <f t="shared" si="6"/>
        <v>-7.875</v>
      </c>
      <c r="E68" s="138">
        <v>5</v>
      </c>
      <c r="F68" s="139">
        <v>20</v>
      </c>
      <c r="G68" s="138">
        <v>2000</v>
      </c>
      <c r="H68" s="138">
        <v>1.95</v>
      </c>
      <c r="I68" s="134">
        <f t="shared" si="7"/>
        <v>0.92901727391493694</v>
      </c>
      <c r="J68" s="134" cm="1">
        <f t="array" ref="J68:L68">IF(C68="","",Bearing_Capacity_Factors(RADIANS(F68)))</f>
        <v>14.834711777931165</v>
      </c>
      <c r="K68" s="134">
        <v>6.3993935210851971</v>
      </c>
      <c r="L68" s="134">
        <v>5.3863179865943982</v>
      </c>
      <c r="M68" s="134">
        <f t="shared" si="8"/>
        <v>13.362500000000008</v>
      </c>
      <c r="N68" s="137">
        <f t="shared" si="0"/>
        <v>0.95</v>
      </c>
      <c r="O68" s="137">
        <f t="shared" si="1"/>
        <v>0.95</v>
      </c>
      <c r="P68" s="134">
        <f t="shared" si="9"/>
        <v>10.25</v>
      </c>
      <c r="Q68" s="134">
        <f t="shared" si="10"/>
        <v>200.2947674701156</v>
      </c>
      <c r="R68" s="137">
        <f t="shared" si="11"/>
        <v>202.262361114009</v>
      </c>
      <c r="S68" s="136">
        <f t="shared" si="2"/>
        <v>4.6450863695746844E-2</v>
      </c>
      <c r="T68" s="135">
        <f t="shared" si="12"/>
        <v>13.969543274888016</v>
      </c>
      <c r="U68" s="135">
        <f t="shared" si="3"/>
        <v>13.921269229760368</v>
      </c>
      <c r="V68" s="134">
        <f t="shared" si="4"/>
        <v>13.921269229760368</v>
      </c>
      <c r="W68" s="114"/>
    </row>
    <row r="69" spans="2:23" x14ac:dyDescent="0.3">
      <c r="B69" s="121"/>
      <c r="C69" s="141">
        <f t="shared" si="5"/>
        <v>32</v>
      </c>
      <c r="D69" s="140">
        <f t="shared" si="6"/>
        <v>-8.125</v>
      </c>
      <c r="E69" s="138">
        <v>5</v>
      </c>
      <c r="F69" s="139">
        <v>20</v>
      </c>
      <c r="G69" s="138">
        <v>2000</v>
      </c>
      <c r="H69" s="138">
        <v>1.95</v>
      </c>
      <c r="I69" s="134">
        <f t="shared" si="7"/>
        <v>0.88581314878892736</v>
      </c>
      <c r="J69" s="134" cm="1">
        <f t="array" ref="J69:L69">IF(C69="","",Bearing_Capacity_Factors(RADIANS(F69)))</f>
        <v>14.834711777931165</v>
      </c>
      <c r="K69" s="134">
        <v>6.3993935210851971</v>
      </c>
      <c r="L69" s="134">
        <v>5.3863179865943982</v>
      </c>
      <c r="M69" s="134">
        <f t="shared" si="8"/>
        <v>13.600000000000009</v>
      </c>
      <c r="N69" s="137">
        <f t="shared" ref="N69:N87" si="13">IF(-D69&gt;F$18,H69-F$23,H69)</f>
        <v>0.95</v>
      </c>
      <c r="O69" s="137">
        <f t="shared" ref="O69:O100" si="14">IF(F$18&lt;ABS(D69),H69-F$23,IF(F$18&gt;P69+ABS(D69),H69,H69-(H69-F$23)*(P69-D69-F$18)/P69))</f>
        <v>0.95</v>
      </c>
      <c r="P69" s="134">
        <f t="shared" si="9"/>
        <v>10.5</v>
      </c>
      <c r="Q69" s="134">
        <f t="shared" si="10"/>
        <v>202.262361114009</v>
      </c>
      <c r="R69" s="137">
        <f t="shared" si="11"/>
        <v>204.22995475790242</v>
      </c>
      <c r="S69" s="136">
        <f t="shared" ref="S69:S87" si="15">I69/G69*100</f>
        <v>4.4290657439446372E-2</v>
      </c>
      <c r="T69" s="135">
        <f t="shared" si="12"/>
        <v>13.921269229760368</v>
      </c>
      <c r="U69" s="135">
        <f t="shared" ref="U69:U86" si="16">IFERROR(R69/(I69+M70),"")</f>
        <v>13.871195477133577</v>
      </c>
      <c r="V69" s="134">
        <f t="shared" ref="V69:V100" si="17">IF(C69="","",MIN(T69,U69))</f>
        <v>13.871195477133577</v>
      </c>
      <c r="W69" s="114"/>
    </row>
    <row r="70" spans="2:23" x14ac:dyDescent="0.3">
      <c r="B70" s="121"/>
      <c r="C70" s="141">
        <f t="shared" ref="C70:C87" si="18">IF(C69&lt;F$17,C69+1,"")</f>
        <v>33</v>
      </c>
      <c r="D70" s="140">
        <f t="shared" ref="D70:D101" si="19">IF(C70="","",D69-F$15)</f>
        <v>-8.375</v>
      </c>
      <c r="E70" s="138">
        <v>5</v>
      </c>
      <c r="F70" s="139">
        <v>20</v>
      </c>
      <c r="G70" s="138">
        <v>2000</v>
      </c>
      <c r="H70" s="138">
        <v>1.95</v>
      </c>
      <c r="I70" s="134">
        <f t="shared" ref="I70:I87" si="20">IFERROR($F$5/(F$29-D70)/(F$30-D70),"")</f>
        <v>0.84555423437706434</v>
      </c>
      <c r="J70" s="134" cm="1">
        <f t="array" ref="J70:L70">IF(C70="","",Bearing_Capacity_Factors(RADIANS(F70)))</f>
        <v>14.834711777931165</v>
      </c>
      <c r="K70" s="134">
        <v>6.3993935210851971</v>
      </c>
      <c r="L70" s="134">
        <v>5.3863179865943982</v>
      </c>
      <c r="M70" s="134">
        <f t="shared" ref="M70:M87" si="21">IF(C70="","",M69+N69*$F$15)</f>
        <v>13.837500000000009</v>
      </c>
      <c r="N70" s="137">
        <f t="shared" si="13"/>
        <v>0.95</v>
      </c>
      <c r="O70" s="137">
        <f t="shared" si="14"/>
        <v>0.95</v>
      </c>
      <c r="P70" s="134">
        <f t="shared" ref="P70:P87" si="22">IF(C70="","",P69+F$15)</f>
        <v>10.75</v>
      </c>
      <c r="Q70" s="134">
        <f t="shared" ref="Q70:Q101" si="23">IF(C70="","",E70*J70*F$31+M70*K70+0.5*F$32*P70*O70*L70)</f>
        <v>204.22995475790242</v>
      </c>
      <c r="R70" s="137">
        <f t="shared" ref="R70:R86" si="24">IFERROR(E70*J70*F$31+M71*K70+0.5*F$32*P71*N71*L70,"")</f>
        <v>206.19754840179579</v>
      </c>
      <c r="S70" s="136">
        <f t="shared" si="15"/>
        <v>4.2277711718853216E-2</v>
      </c>
      <c r="T70" s="135">
        <f t="shared" ref="T70:T87" si="25">IFERROR(Q70/(I69+M70),"")</f>
        <v>13.871195477133577</v>
      </c>
      <c r="U70" s="135">
        <f t="shared" si="16"/>
        <v>13.819697657525014</v>
      </c>
      <c r="V70" s="134">
        <f t="shared" si="17"/>
        <v>13.819697657525014</v>
      </c>
      <c r="W70" s="114"/>
    </row>
    <row r="71" spans="2:23" x14ac:dyDescent="0.3">
      <c r="B71" s="121"/>
      <c r="C71" s="141">
        <f t="shared" si="18"/>
        <v>34</v>
      </c>
      <c r="D71" s="140">
        <f t="shared" si="19"/>
        <v>-8.625</v>
      </c>
      <c r="E71" s="138">
        <v>5</v>
      </c>
      <c r="F71" s="139">
        <v>20</v>
      </c>
      <c r="G71" s="138">
        <v>2000</v>
      </c>
      <c r="H71" s="138">
        <v>1.95</v>
      </c>
      <c r="I71" s="134">
        <f t="shared" si="20"/>
        <v>0.80797879055674793</v>
      </c>
      <c r="J71" s="134" cm="1">
        <f t="array" ref="J71:L71">IF(C71="","",Bearing_Capacity_Factors(RADIANS(F71)))</f>
        <v>14.834711777931165</v>
      </c>
      <c r="K71" s="134">
        <v>6.3993935210851971</v>
      </c>
      <c r="L71" s="134">
        <v>5.3863179865943982</v>
      </c>
      <c r="M71" s="134">
        <f t="shared" si="21"/>
        <v>14.07500000000001</v>
      </c>
      <c r="N71" s="137">
        <f t="shared" si="13"/>
        <v>0.95</v>
      </c>
      <c r="O71" s="137">
        <f t="shared" si="14"/>
        <v>0.95</v>
      </c>
      <c r="P71" s="134">
        <f t="shared" si="22"/>
        <v>11</v>
      </c>
      <c r="Q71" s="134">
        <f t="shared" si="23"/>
        <v>206.19754840179579</v>
      </c>
      <c r="R71" s="137">
        <f t="shared" si="24"/>
        <v>208.16514204568918</v>
      </c>
      <c r="S71" s="136">
        <f t="shared" si="15"/>
        <v>4.0398939527837394E-2</v>
      </c>
      <c r="T71" s="135">
        <f t="shared" si="25"/>
        <v>13.819697657525014</v>
      </c>
      <c r="U71" s="135">
        <f t="shared" si="16"/>
        <v>13.767099900017401</v>
      </c>
      <c r="V71" s="134">
        <f t="shared" si="17"/>
        <v>13.767099900017401</v>
      </c>
      <c r="W71" s="114"/>
    </row>
    <row r="72" spans="2:23" x14ac:dyDescent="0.3">
      <c r="B72" s="121"/>
      <c r="C72" s="141">
        <f t="shared" si="18"/>
        <v>35</v>
      </c>
      <c r="D72" s="140">
        <f t="shared" si="19"/>
        <v>-8.875</v>
      </c>
      <c r="E72" s="138">
        <v>5</v>
      </c>
      <c r="F72" s="139">
        <v>20</v>
      </c>
      <c r="G72" s="138">
        <v>2000</v>
      </c>
      <c r="H72" s="138">
        <v>1.95</v>
      </c>
      <c r="I72" s="134">
        <f t="shared" si="20"/>
        <v>0.7728535201062674</v>
      </c>
      <c r="J72" s="134" cm="1">
        <f t="array" ref="J72:L72">IF(C72="","",Bearing_Capacity_Factors(RADIANS(F72)))</f>
        <v>14.834711777931165</v>
      </c>
      <c r="K72" s="134">
        <v>6.3993935210851971</v>
      </c>
      <c r="L72" s="134">
        <v>5.3863179865943982</v>
      </c>
      <c r="M72" s="134">
        <f t="shared" si="21"/>
        <v>14.312500000000011</v>
      </c>
      <c r="N72" s="137">
        <f t="shared" si="13"/>
        <v>0.95</v>
      </c>
      <c r="O72" s="137">
        <f t="shared" si="14"/>
        <v>0.95</v>
      </c>
      <c r="P72" s="134">
        <f t="shared" si="22"/>
        <v>11.25</v>
      </c>
      <c r="Q72" s="134">
        <f t="shared" si="23"/>
        <v>208.16514204568918</v>
      </c>
      <c r="R72" s="137">
        <f t="shared" si="24"/>
        <v>210.13273568958257</v>
      </c>
      <c r="S72" s="136">
        <f t="shared" si="15"/>
        <v>3.8642676005313369E-2</v>
      </c>
      <c r="T72" s="135">
        <f t="shared" si="25"/>
        <v>13.767099900017401</v>
      </c>
      <c r="U72" s="135">
        <f t="shared" si="16"/>
        <v>13.713681685584964</v>
      </c>
      <c r="V72" s="134">
        <f t="shared" si="17"/>
        <v>13.713681685584964</v>
      </c>
      <c r="W72" s="114"/>
    </row>
    <row r="73" spans="2:23" x14ac:dyDescent="0.3">
      <c r="B73" s="121"/>
      <c r="C73" s="141">
        <f t="shared" si="18"/>
        <v>36</v>
      </c>
      <c r="D73" s="140">
        <f t="shared" si="19"/>
        <v>-9.125</v>
      </c>
      <c r="E73" s="138">
        <v>5</v>
      </c>
      <c r="F73" s="139">
        <v>20</v>
      </c>
      <c r="G73" s="138">
        <v>2000</v>
      </c>
      <c r="H73" s="138">
        <v>1.95</v>
      </c>
      <c r="I73" s="134">
        <f t="shared" si="20"/>
        <v>0.7399699387212394</v>
      </c>
      <c r="J73" s="134" cm="1">
        <f t="array" ref="J73:L73">IF(C73="","",Bearing_Capacity_Factors(RADIANS(F73)))</f>
        <v>14.834711777931165</v>
      </c>
      <c r="K73" s="134">
        <v>6.3993935210851971</v>
      </c>
      <c r="L73" s="134">
        <v>5.3863179865943982</v>
      </c>
      <c r="M73" s="134">
        <f t="shared" si="21"/>
        <v>14.550000000000011</v>
      </c>
      <c r="N73" s="137">
        <f t="shared" si="13"/>
        <v>0.95</v>
      </c>
      <c r="O73" s="137">
        <f t="shared" si="14"/>
        <v>0.95</v>
      </c>
      <c r="P73" s="134">
        <f t="shared" si="22"/>
        <v>11.5</v>
      </c>
      <c r="Q73" s="134">
        <f t="shared" si="23"/>
        <v>210.13273568958257</v>
      </c>
      <c r="R73" s="137">
        <f t="shared" si="24"/>
        <v>212.10032933347597</v>
      </c>
      <c r="S73" s="136">
        <f t="shared" si="15"/>
        <v>3.699849693606197E-2</v>
      </c>
      <c r="T73" s="135">
        <f t="shared" si="25"/>
        <v>13.713681685584964</v>
      </c>
      <c r="U73" s="135">
        <f t="shared" si="16"/>
        <v>13.659683784320581</v>
      </c>
      <c r="V73" s="134">
        <f t="shared" si="17"/>
        <v>13.659683784320581</v>
      </c>
      <c r="W73" s="114"/>
    </row>
    <row r="74" spans="2:23" x14ac:dyDescent="0.3">
      <c r="B74" s="121"/>
      <c r="C74" s="141">
        <f t="shared" si="18"/>
        <v>37</v>
      </c>
      <c r="D74" s="140">
        <f t="shared" si="19"/>
        <v>-9.375</v>
      </c>
      <c r="E74" s="138">
        <v>5</v>
      </c>
      <c r="F74" s="139">
        <v>20</v>
      </c>
      <c r="G74" s="138">
        <v>2000</v>
      </c>
      <c r="H74" s="138">
        <v>1.95</v>
      </c>
      <c r="I74" s="134">
        <f t="shared" si="20"/>
        <v>0.70914127423822715</v>
      </c>
      <c r="J74" s="134" cm="1">
        <f t="array" ref="J74:L74">IF(C74="","",Bearing_Capacity_Factors(RADIANS(F74)))</f>
        <v>14.834711777931165</v>
      </c>
      <c r="K74" s="134">
        <v>6.3993935210851971</v>
      </c>
      <c r="L74" s="134">
        <v>5.3863179865943982</v>
      </c>
      <c r="M74" s="134">
        <f t="shared" si="21"/>
        <v>14.787500000000012</v>
      </c>
      <c r="N74" s="137">
        <f t="shared" si="13"/>
        <v>0.95</v>
      </c>
      <c r="O74" s="137">
        <f t="shared" si="14"/>
        <v>0.95</v>
      </c>
      <c r="P74" s="134">
        <f t="shared" si="22"/>
        <v>11.75</v>
      </c>
      <c r="Q74" s="134">
        <f t="shared" si="23"/>
        <v>212.10032933347597</v>
      </c>
      <c r="R74" s="137">
        <f t="shared" si="24"/>
        <v>214.06792297736939</v>
      </c>
      <c r="S74" s="136">
        <f t="shared" si="15"/>
        <v>3.5457063711911353E-2</v>
      </c>
      <c r="T74" s="135">
        <f t="shared" si="25"/>
        <v>13.659683784320581</v>
      </c>
      <c r="U74" s="135">
        <f t="shared" si="16"/>
        <v>13.605313391196391</v>
      </c>
      <c r="V74" s="134">
        <f t="shared" si="17"/>
        <v>13.605313391196391</v>
      </c>
      <c r="W74" s="114"/>
    </row>
    <row r="75" spans="2:23" x14ac:dyDescent="0.3">
      <c r="B75" s="121"/>
      <c r="C75" s="141">
        <f t="shared" si="18"/>
        <v>38</v>
      </c>
      <c r="D75" s="140">
        <f t="shared" si="19"/>
        <v>-9.625</v>
      </c>
      <c r="E75" s="138">
        <v>5</v>
      </c>
      <c r="F75" s="139">
        <v>20</v>
      </c>
      <c r="G75" s="138">
        <v>2000</v>
      </c>
      <c r="H75" s="138">
        <v>1.95</v>
      </c>
      <c r="I75" s="134">
        <f t="shared" si="20"/>
        <v>0.6801998086938037</v>
      </c>
      <c r="J75" s="134" cm="1">
        <f t="array" ref="J75:L75">IF(C75="","",Bearing_Capacity_Factors(RADIANS(F75)))</f>
        <v>14.834711777931165</v>
      </c>
      <c r="K75" s="134">
        <v>6.3993935210851971</v>
      </c>
      <c r="L75" s="134">
        <v>5.3863179865943982</v>
      </c>
      <c r="M75" s="134">
        <f t="shared" si="21"/>
        <v>15.025000000000013</v>
      </c>
      <c r="N75" s="137">
        <f t="shared" si="13"/>
        <v>0.95</v>
      </c>
      <c r="O75" s="137">
        <f t="shared" si="14"/>
        <v>0.95</v>
      </c>
      <c r="P75" s="134">
        <f t="shared" si="22"/>
        <v>12</v>
      </c>
      <c r="Q75" s="134">
        <f t="shared" si="23"/>
        <v>214.06792297736939</v>
      </c>
      <c r="R75" s="137">
        <f t="shared" si="24"/>
        <v>216.03551662126279</v>
      </c>
      <c r="S75" s="136">
        <f t="shared" si="15"/>
        <v>3.4009990434690184E-2</v>
      </c>
      <c r="T75" s="135">
        <f t="shared" si="25"/>
        <v>13.605313391196391</v>
      </c>
      <c r="U75" s="135">
        <f t="shared" si="16"/>
        <v>13.550748569163616</v>
      </c>
      <c r="V75" s="134">
        <f t="shared" si="17"/>
        <v>13.550748569163616</v>
      </c>
      <c r="W75" s="114"/>
    </row>
    <row r="76" spans="2:23" x14ac:dyDescent="0.3">
      <c r="B76" s="121"/>
      <c r="C76" s="141">
        <f t="shared" si="18"/>
        <v>39</v>
      </c>
      <c r="D76" s="140">
        <f t="shared" si="19"/>
        <v>-9.875</v>
      </c>
      <c r="E76" s="138">
        <v>5</v>
      </c>
      <c r="F76" s="139">
        <v>20</v>
      </c>
      <c r="G76" s="138">
        <v>2000</v>
      </c>
      <c r="H76" s="138">
        <v>1.95</v>
      </c>
      <c r="I76" s="134">
        <f t="shared" si="20"/>
        <v>0.65299459238853186</v>
      </c>
      <c r="J76" s="134" cm="1">
        <f t="array" ref="J76:L76">IF(C76="","",Bearing_Capacity_Factors(RADIANS(F76)))</f>
        <v>14.834711777931165</v>
      </c>
      <c r="K76" s="134">
        <v>6.3993935210851971</v>
      </c>
      <c r="L76" s="134">
        <v>5.3863179865943982</v>
      </c>
      <c r="M76" s="134">
        <f t="shared" si="21"/>
        <v>15.262500000000014</v>
      </c>
      <c r="N76" s="137">
        <f t="shared" si="13"/>
        <v>0.95</v>
      </c>
      <c r="O76" s="137">
        <f t="shared" si="14"/>
        <v>0.95</v>
      </c>
      <c r="P76" s="134">
        <f t="shared" si="22"/>
        <v>12.25</v>
      </c>
      <c r="Q76" s="134">
        <f t="shared" si="23"/>
        <v>216.03551662126279</v>
      </c>
      <c r="R76" s="137">
        <f t="shared" si="24"/>
        <v>218.00311026515621</v>
      </c>
      <c r="S76" s="136">
        <f t="shared" si="15"/>
        <v>3.2649729619426589E-2</v>
      </c>
      <c r="T76" s="135">
        <f t="shared" si="25"/>
        <v>13.550748569163616</v>
      </c>
      <c r="U76" s="135">
        <f t="shared" si="16"/>
        <v>13.496142094165096</v>
      </c>
      <c r="V76" s="134">
        <f t="shared" si="17"/>
        <v>13.496142094165096</v>
      </c>
      <c r="W76" s="114"/>
    </row>
    <row r="77" spans="2:23" x14ac:dyDescent="0.3">
      <c r="B77" s="121"/>
      <c r="C77" s="141">
        <f t="shared" si="18"/>
        <v>40</v>
      </c>
      <c r="D77" s="140">
        <f t="shared" si="19"/>
        <v>-10.125</v>
      </c>
      <c r="E77" s="138">
        <v>5</v>
      </c>
      <c r="F77" s="139">
        <v>20</v>
      </c>
      <c r="G77" s="138">
        <v>2000</v>
      </c>
      <c r="H77" s="138">
        <v>1.95</v>
      </c>
      <c r="I77" s="134">
        <f t="shared" si="20"/>
        <v>0.62738947162042935</v>
      </c>
      <c r="J77" s="134" cm="1">
        <f t="array" ref="J77:L77">IF(C77="","",Bearing_Capacity_Factors(RADIANS(F77)))</f>
        <v>14.834711777931165</v>
      </c>
      <c r="K77" s="134">
        <v>6.3993935210851971</v>
      </c>
      <c r="L77" s="134">
        <v>5.3863179865943982</v>
      </c>
      <c r="M77" s="134">
        <f t="shared" si="21"/>
        <v>15.500000000000014</v>
      </c>
      <c r="N77" s="137">
        <f t="shared" si="13"/>
        <v>0.95</v>
      </c>
      <c r="O77" s="137">
        <f t="shared" si="14"/>
        <v>0.95</v>
      </c>
      <c r="P77" s="134">
        <f t="shared" si="22"/>
        <v>12.5</v>
      </c>
      <c r="Q77" s="134">
        <f t="shared" si="23"/>
        <v>218.00311026515621</v>
      </c>
      <c r="R77" s="137">
        <f t="shared" si="24"/>
        <v>219.97070390904958</v>
      </c>
      <c r="S77" s="136">
        <f t="shared" si="15"/>
        <v>3.1369473581021469E-2</v>
      </c>
      <c r="T77" s="135">
        <f t="shared" si="25"/>
        <v>13.496142094165096</v>
      </c>
      <c r="U77" s="135">
        <f t="shared" si="16"/>
        <v>13.441624783993618</v>
      </c>
      <c r="V77" s="134">
        <f t="shared" si="17"/>
        <v>13.441624783993618</v>
      </c>
      <c r="W77" s="114"/>
    </row>
    <row r="78" spans="2:23" x14ac:dyDescent="0.3">
      <c r="B78" s="121"/>
      <c r="C78" s="141">
        <f t="shared" si="18"/>
        <v>41</v>
      </c>
      <c r="D78" s="140">
        <f t="shared" si="19"/>
        <v>-10.375</v>
      </c>
      <c r="E78" s="138">
        <v>5</v>
      </c>
      <c r="F78" s="139">
        <v>20</v>
      </c>
      <c r="G78" s="138">
        <v>2000</v>
      </c>
      <c r="H78" s="138">
        <v>1.95</v>
      </c>
      <c r="I78" s="134">
        <f t="shared" si="20"/>
        <v>0.60326138184560285</v>
      </c>
      <c r="J78" s="134" cm="1">
        <f t="array" ref="J78:L78">IF(C78="","",Bearing_Capacity_Factors(RADIANS(F78)))</f>
        <v>14.834711777931165</v>
      </c>
      <c r="K78" s="134">
        <v>6.3993935210851971</v>
      </c>
      <c r="L78" s="134">
        <v>5.3863179865943982</v>
      </c>
      <c r="M78" s="134">
        <f t="shared" si="21"/>
        <v>15.737500000000015</v>
      </c>
      <c r="N78" s="137">
        <f t="shared" si="13"/>
        <v>0.95</v>
      </c>
      <c r="O78" s="137">
        <f t="shared" si="14"/>
        <v>0.95</v>
      </c>
      <c r="P78" s="134">
        <f t="shared" si="22"/>
        <v>12.75</v>
      </c>
      <c r="Q78" s="134">
        <f t="shared" si="23"/>
        <v>219.97070390904958</v>
      </c>
      <c r="R78" s="137">
        <f t="shared" si="24"/>
        <v>221.93829755294297</v>
      </c>
      <c r="S78" s="136">
        <f t="shared" si="15"/>
        <v>3.0163069092280146E-2</v>
      </c>
      <c r="T78" s="135">
        <f t="shared" si="25"/>
        <v>13.441624783993618</v>
      </c>
      <c r="U78" s="135">
        <f t="shared" si="16"/>
        <v>13.387308381805422</v>
      </c>
      <c r="V78" s="134">
        <f t="shared" si="17"/>
        <v>13.387308381805422</v>
      </c>
      <c r="W78" s="114"/>
    </row>
    <row r="79" spans="2:23" x14ac:dyDescent="0.3">
      <c r="B79" s="121"/>
      <c r="C79" s="141">
        <f t="shared" si="18"/>
        <v>42</v>
      </c>
      <c r="D79" s="140">
        <f t="shared" si="19"/>
        <v>-10.625</v>
      </c>
      <c r="E79" s="138">
        <v>5</v>
      </c>
      <c r="F79" s="139">
        <v>20</v>
      </c>
      <c r="G79" s="138">
        <v>2000</v>
      </c>
      <c r="H79" s="138">
        <v>1.95</v>
      </c>
      <c r="I79" s="134">
        <f t="shared" si="20"/>
        <v>0.58049886621315194</v>
      </c>
      <c r="J79" s="134" cm="1">
        <f t="array" ref="J79:L79">IF(C79="","",Bearing_Capacity_Factors(RADIANS(F79)))</f>
        <v>14.834711777931165</v>
      </c>
      <c r="K79" s="134">
        <v>6.3993935210851971</v>
      </c>
      <c r="L79" s="134">
        <v>5.3863179865943982</v>
      </c>
      <c r="M79" s="134">
        <f t="shared" si="21"/>
        <v>15.975000000000016</v>
      </c>
      <c r="N79" s="137">
        <f t="shared" si="13"/>
        <v>0.95</v>
      </c>
      <c r="O79" s="137">
        <f t="shared" si="14"/>
        <v>0.95</v>
      </c>
      <c r="P79" s="134">
        <f t="shared" si="22"/>
        <v>13</v>
      </c>
      <c r="Q79" s="134">
        <f t="shared" si="23"/>
        <v>221.93829755294297</v>
      </c>
      <c r="R79" s="137">
        <f t="shared" si="24"/>
        <v>223.90589119683636</v>
      </c>
      <c r="S79" s="136">
        <f t="shared" si="15"/>
        <v>2.9024943310657594E-2</v>
      </c>
      <c r="T79" s="135">
        <f t="shared" si="25"/>
        <v>13.387308381805422</v>
      </c>
      <c r="U79" s="135">
        <f t="shared" si="16"/>
        <v>13.333288055376812</v>
      </c>
      <c r="V79" s="134">
        <f t="shared" si="17"/>
        <v>13.333288055376812</v>
      </c>
      <c r="W79" s="114"/>
    </row>
    <row r="80" spans="2:23" x14ac:dyDescent="0.3">
      <c r="B80" s="121"/>
      <c r="C80" s="141">
        <f t="shared" si="18"/>
        <v>43</v>
      </c>
      <c r="D80" s="140">
        <f t="shared" si="19"/>
        <v>-10.875</v>
      </c>
      <c r="E80" s="138">
        <v>5</v>
      </c>
      <c r="F80" s="139">
        <v>20</v>
      </c>
      <c r="G80" s="138">
        <v>2000</v>
      </c>
      <c r="H80" s="138">
        <v>1.95</v>
      </c>
      <c r="I80" s="134">
        <f t="shared" si="20"/>
        <v>0.55900078609485548</v>
      </c>
      <c r="J80" s="134" cm="1">
        <f t="array" ref="J80:L80">IF(C80="","",Bearing_Capacity_Factors(RADIANS(F80)))</f>
        <v>14.834711777931165</v>
      </c>
      <c r="K80" s="134">
        <v>6.3993935210851971</v>
      </c>
      <c r="L80" s="134">
        <v>5.3863179865943982</v>
      </c>
      <c r="M80" s="134">
        <f t="shared" si="21"/>
        <v>16.212500000000016</v>
      </c>
      <c r="N80" s="137">
        <f t="shared" si="13"/>
        <v>0.95</v>
      </c>
      <c r="O80" s="137">
        <f t="shared" si="14"/>
        <v>0.95</v>
      </c>
      <c r="P80" s="134">
        <f t="shared" si="22"/>
        <v>13.25</v>
      </c>
      <c r="Q80" s="134">
        <f t="shared" si="23"/>
        <v>223.90589119683636</v>
      </c>
      <c r="R80" s="137">
        <f t="shared" si="24"/>
        <v>225.87348484072976</v>
      </c>
      <c r="S80" s="136">
        <f t="shared" si="15"/>
        <v>2.7950039304742776E-2</v>
      </c>
      <c r="T80" s="135">
        <f t="shared" si="25"/>
        <v>13.333288055376812</v>
      </c>
      <c r="U80" s="135">
        <f t="shared" si="16"/>
        <v>13.279644564740387</v>
      </c>
      <c r="V80" s="134">
        <f t="shared" si="17"/>
        <v>13.279644564740387</v>
      </c>
      <c r="W80" s="114"/>
    </row>
    <row r="81" spans="2:30" x14ac:dyDescent="0.3">
      <c r="B81" s="121"/>
      <c r="C81" s="141">
        <f t="shared" si="18"/>
        <v>44</v>
      </c>
      <c r="D81" s="140">
        <f t="shared" si="19"/>
        <v>-11.125</v>
      </c>
      <c r="E81" s="138">
        <v>5</v>
      </c>
      <c r="F81" s="139">
        <v>20</v>
      </c>
      <c r="G81" s="138">
        <v>2000</v>
      </c>
      <c r="H81" s="138">
        <v>1.95</v>
      </c>
      <c r="I81" s="134">
        <f t="shared" si="20"/>
        <v>0.53867519569059852</v>
      </c>
      <c r="J81" s="134" cm="1">
        <f t="array" ref="J81:L81">IF(C81="","",Bearing_Capacity_Factors(RADIANS(F81)))</f>
        <v>14.834711777931165</v>
      </c>
      <c r="K81" s="134">
        <v>6.3993935210851971</v>
      </c>
      <c r="L81" s="134">
        <v>5.3863179865943982</v>
      </c>
      <c r="M81" s="134">
        <f t="shared" si="21"/>
        <v>16.450000000000017</v>
      </c>
      <c r="N81" s="137">
        <f t="shared" si="13"/>
        <v>0.95</v>
      </c>
      <c r="O81" s="137">
        <f t="shared" si="14"/>
        <v>0.95</v>
      </c>
      <c r="P81" s="134">
        <f t="shared" si="22"/>
        <v>13.5</v>
      </c>
      <c r="Q81" s="134">
        <f t="shared" si="23"/>
        <v>225.87348484072976</v>
      </c>
      <c r="R81" s="137">
        <f t="shared" si="24"/>
        <v>227.84107848462318</v>
      </c>
      <c r="S81" s="136">
        <f t="shared" si="15"/>
        <v>2.6933759784529929E-2</v>
      </c>
      <c r="T81" s="135">
        <f t="shared" si="25"/>
        <v>13.279644564740387</v>
      </c>
      <c r="U81" s="135">
        <f t="shared" si="16"/>
        <v>13.226446143518906</v>
      </c>
      <c r="V81" s="134">
        <f t="shared" si="17"/>
        <v>13.226446143518906</v>
      </c>
      <c r="W81" s="114"/>
    </row>
    <row r="82" spans="2:30" x14ac:dyDescent="0.3">
      <c r="B82" s="121"/>
      <c r="C82" s="141">
        <f t="shared" si="18"/>
        <v>45</v>
      </c>
      <c r="D82" s="140">
        <f t="shared" si="19"/>
        <v>-11.375</v>
      </c>
      <c r="E82" s="138">
        <v>5</v>
      </c>
      <c r="F82" s="139">
        <v>20</v>
      </c>
      <c r="G82" s="138">
        <v>2000</v>
      </c>
      <c r="H82" s="138">
        <v>1.95</v>
      </c>
      <c r="I82" s="134">
        <f t="shared" si="20"/>
        <v>0.51943835727619514</v>
      </c>
      <c r="J82" s="134" cm="1">
        <f t="array" ref="J82:L82">IF(C82="","",Bearing_Capacity_Factors(RADIANS(F82)))</f>
        <v>14.834711777931165</v>
      </c>
      <c r="K82" s="134">
        <v>6.3993935210851971</v>
      </c>
      <c r="L82" s="134">
        <v>5.3863179865943982</v>
      </c>
      <c r="M82" s="134">
        <f t="shared" si="21"/>
        <v>16.687500000000018</v>
      </c>
      <c r="N82" s="137">
        <f t="shared" si="13"/>
        <v>0.95</v>
      </c>
      <c r="O82" s="137">
        <f t="shared" si="14"/>
        <v>0.95</v>
      </c>
      <c r="P82" s="134">
        <f t="shared" si="22"/>
        <v>13.75</v>
      </c>
      <c r="Q82" s="134">
        <f t="shared" si="23"/>
        <v>227.84107848462318</v>
      </c>
      <c r="R82" s="137">
        <f t="shared" si="24"/>
        <v>229.80867212851658</v>
      </c>
      <c r="S82" s="136">
        <f t="shared" si="15"/>
        <v>2.5971917863809757E-2</v>
      </c>
      <c r="T82" s="135">
        <f t="shared" si="25"/>
        <v>13.226446143518906</v>
      </c>
      <c r="U82" s="135">
        <f t="shared" si="16"/>
        <v>13.173750132956362</v>
      </c>
      <c r="V82" s="134">
        <f t="shared" si="17"/>
        <v>13.173750132956362</v>
      </c>
      <c r="W82" s="114"/>
    </row>
    <row r="83" spans="2:30" x14ac:dyDescent="0.3">
      <c r="B83" s="121"/>
      <c r="C83" s="141">
        <f t="shared" si="18"/>
        <v>46</v>
      </c>
      <c r="D83" s="140">
        <f t="shared" si="19"/>
        <v>-11.625</v>
      </c>
      <c r="E83" s="138">
        <v>5</v>
      </c>
      <c r="F83" s="139">
        <v>20</v>
      </c>
      <c r="G83" s="138">
        <v>2000</v>
      </c>
      <c r="H83" s="138">
        <v>1.95</v>
      </c>
      <c r="I83" s="134">
        <f t="shared" si="20"/>
        <v>0.5012138773592294</v>
      </c>
      <c r="J83" s="134" cm="1">
        <f t="array" ref="J83:L83">IF(C83="","",Bearing_Capacity_Factors(RADIANS(F83)))</f>
        <v>14.834711777931165</v>
      </c>
      <c r="K83" s="134">
        <v>6.3993935210851971</v>
      </c>
      <c r="L83" s="134">
        <v>5.3863179865943982</v>
      </c>
      <c r="M83" s="134">
        <f t="shared" si="21"/>
        <v>16.925000000000018</v>
      </c>
      <c r="N83" s="137">
        <f t="shared" si="13"/>
        <v>0.95</v>
      </c>
      <c r="O83" s="137">
        <f t="shared" si="14"/>
        <v>0.95</v>
      </c>
      <c r="P83" s="134">
        <f t="shared" si="22"/>
        <v>14</v>
      </c>
      <c r="Q83" s="134">
        <f t="shared" si="23"/>
        <v>229.80867212851658</v>
      </c>
      <c r="R83" s="137">
        <f t="shared" si="24"/>
        <v>231.77626577240997</v>
      </c>
      <c r="S83" s="136">
        <f t="shared" si="15"/>
        <v>2.5060693867961469E-2</v>
      </c>
      <c r="T83" s="135">
        <f t="shared" si="25"/>
        <v>13.173750132956362</v>
      </c>
      <c r="U83" s="135">
        <f t="shared" si="16"/>
        <v>13.121604402202921</v>
      </c>
      <c r="V83" s="134">
        <f t="shared" si="17"/>
        <v>13.121604402202921</v>
      </c>
      <c r="W83" s="114"/>
    </row>
    <row r="84" spans="2:30" x14ac:dyDescent="0.3">
      <c r="B84" s="121"/>
      <c r="C84" s="141">
        <f t="shared" si="18"/>
        <v>47</v>
      </c>
      <c r="D84" s="140">
        <f t="shared" si="19"/>
        <v>-11.875</v>
      </c>
      <c r="E84" s="138">
        <v>5</v>
      </c>
      <c r="F84" s="139">
        <v>20</v>
      </c>
      <c r="G84" s="138">
        <v>2000</v>
      </c>
      <c r="H84" s="138">
        <v>1.95</v>
      </c>
      <c r="I84" s="134">
        <f t="shared" si="20"/>
        <v>0.4839319470699433</v>
      </c>
      <c r="J84" s="134" cm="1">
        <f t="array" ref="J84:L84">IF(C84="","",Bearing_Capacity_Factors(RADIANS(F84)))</f>
        <v>14.834711777931165</v>
      </c>
      <c r="K84" s="134">
        <v>6.3993935210851971</v>
      </c>
      <c r="L84" s="134">
        <v>5.3863179865943982</v>
      </c>
      <c r="M84" s="134">
        <f t="shared" si="21"/>
        <v>17.162500000000019</v>
      </c>
      <c r="N84" s="137">
        <f t="shared" si="13"/>
        <v>0.95</v>
      </c>
      <c r="O84" s="137">
        <f t="shared" si="14"/>
        <v>0.95</v>
      </c>
      <c r="P84" s="134">
        <f t="shared" si="22"/>
        <v>14.25</v>
      </c>
      <c r="Q84" s="134">
        <f t="shared" si="23"/>
        <v>231.77626577240997</v>
      </c>
      <c r="R84" s="137">
        <f t="shared" si="24"/>
        <v>233.74385941630339</v>
      </c>
      <c r="S84" s="136">
        <f t="shared" si="15"/>
        <v>2.4196597353497166E-2</v>
      </c>
      <c r="T84" s="135">
        <f t="shared" si="25"/>
        <v>13.121604402202921</v>
      </c>
      <c r="U84" s="135">
        <f t="shared" si="16"/>
        <v>13.070048583728765</v>
      </c>
      <c r="V84" s="134">
        <f t="shared" si="17"/>
        <v>13.070048583728765</v>
      </c>
      <c r="W84" s="114"/>
    </row>
    <row r="85" spans="2:30" x14ac:dyDescent="0.3">
      <c r="B85" s="121"/>
      <c r="C85" s="141">
        <f t="shared" si="18"/>
        <v>48</v>
      </c>
      <c r="D85" s="140">
        <f t="shared" si="19"/>
        <v>-12.125</v>
      </c>
      <c r="E85" s="138">
        <v>5</v>
      </c>
      <c r="F85" s="139">
        <v>20</v>
      </c>
      <c r="G85" s="138">
        <v>2000</v>
      </c>
      <c r="H85" s="138">
        <v>1.95</v>
      </c>
      <c r="I85" s="134">
        <f t="shared" si="20"/>
        <v>0.46752867265687775</v>
      </c>
      <c r="J85" s="134" cm="1">
        <f t="array" ref="J85:L85">IF(C85="","",Bearing_Capacity_Factors(RADIANS(F85)))</f>
        <v>14.834711777931165</v>
      </c>
      <c r="K85" s="134">
        <v>6.3993935210851971</v>
      </c>
      <c r="L85" s="134">
        <v>5.3863179865943982</v>
      </c>
      <c r="M85" s="134">
        <f t="shared" si="21"/>
        <v>17.40000000000002</v>
      </c>
      <c r="N85" s="137">
        <f t="shared" si="13"/>
        <v>0.95</v>
      </c>
      <c r="O85" s="137">
        <f t="shared" si="14"/>
        <v>0.95</v>
      </c>
      <c r="P85" s="134">
        <f t="shared" si="22"/>
        <v>14.5</v>
      </c>
      <c r="Q85" s="134">
        <f t="shared" si="23"/>
        <v>233.74385941630339</v>
      </c>
      <c r="R85" s="137">
        <f t="shared" si="24"/>
        <v>235.71145306019676</v>
      </c>
      <c r="S85" s="136">
        <f t="shared" si="15"/>
        <v>2.337643363284389E-2</v>
      </c>
      <c r="T85" s="135">
        <f t="shared" si="25"/>
        <v>13.070048583728765</v>
      </c>
      <c r="U85" s="135">
        <f t="shared" si="16"/>
        <v>13.019115148719965</v>
      </c>
      <c r="V85" s="134">
        <f t="shared" si="17"/>
        <v>13.019115148719965</v>
      </c>
      <c r="W85" s="114"/>
    </row>
    <row r="86" spans="2:30" x14ac:dyDescent="0.3">
      <c r="B86" s="121"/>
      <c r="C86" s="141">
        <f t="shared" si="18"/>
        <v>49</v>
      </c>
      <c r="D86" s="140">
        <f t="shared" si="19"/>
        <v>-12.375</v>
      </c>
      <c r="E86" s="138">
        <v>5</v>
      </c>
      <c r="F86" s="139">
        <v>20</v>
      </c>
      <c r="G86" s="138">
        <v>2000</v>
      </c>
      <c r="H86" s="138">
        <v>1.95</v>
      </c>
      <c r="I86" s="134">
        <f t="shared" si="20"/>
        <v>0.45194548407598334</v>
      </c>
      <c r="J86" s="134" cm="1">
        <f t="array" ref="J86:L86">IF(C86="","",Bearing_Capacity_Factors(RADIANS(F86)))</f>
        <v>14.834711777931165</v>
      </c>
      <c r="K86" s="134">
        <v>6.3993935210851971</v>
      </c>
      <c r="L86" s="134">
        <v>5.3863179865943982</v>
      </c>
      <c r="M86" s="134">
        <f t="shared" si="21"/>
        <v>17.637500000000021</v>
      </c>
      <c r="N86" s="137">
        <f t="shared" si="13"/>
        <v>0.95</v>
      </c>
      <c r="O86" s="137">
        <f t="shared" si="14"/>
        <v>0.95</v>
      </c>
      <c r="P86" s="134">
        <f t="shared" si="22"/>
        <v>14.75</v>
      </c>
      <c r="Q86" s="134">
        <f t="shared" si="23"/>
        <v>235.71145306019676</v>
      </c>
      <c r="R86" s="137">
        <f t="shared" si="24"/>
        <v>237.67904670409015</v>
      </c>
      <c r="S86" s="136">
        <f t="shared" si="15"/>
        <v>2.2597274203799166E-2</v>
      </c>
      <c r="T86" s="135">
        <f t="shared" si="25"/>
        <v>13.019115148719965</v>
      </c>
      <c r="U86" s="135">
        <f t="shared" si="16"/>
        <v>12.968830343856576</v>
      </c>
      <c r="V86" s="134">
        <f t="shared" si="17"/>
        <v>12.968830343856576</v>
      </c>
      <c r="W86" s="114"/>
    </row>
    <row r="87" spans="2:30" x14ac:dyDescent="0.3">
      <c r="B87" s="121"/>
      <c r="C87" s="141">
        <f t="shared" si="18"/>
        <v>50</v>
      </c>
      <c r="D87" s="140">
        <f t="shared" si="19"/>
        <v>-12.625</v>
      </c>
      <c r="E87" s="138">
        <v>5</v>
      </c>
      <c r="F87" s="139">
        <v>20</v>
      </c>
      <c r="G87" s="138">
        <v>2000</v>
      </c>
      <c r="H87" s="138">
        <v>1.95</v>
      </c>
      <c r="I87" s="134">
        <f t="shared" si="20"/>
        <v>0.43712861143364523</v>
      </c>
      <c r="J87" s="134" cm="1">
        <f t="array" ref="J87:L87">IF(C87="","",Bearing_Capacity_Factors(RADIANS(F87)))</f>
        <v>14.834711777931165</v>
      </c>
      <c r="K87" s="134">
        <v>6.3993935210851971</v>
      </c>
      <c r="L87" s="134">
        <v>5.3863179865943982</v>
      </c>
      <c r="M87" s="134">
        <f t="shared" si="21"/>
        <v>17.875000000000021</v>
      </c>
      <c r="N87" s="137">
        <f t="shared" si="13"/>
        <v>0.95</v>
      </c>
      <c r="O87" s="137">
        <f t="shared" si="14"/>
        <v>0.95</v>
      </c>
      <c r="P87" s="134">
        <f t="shared" si="22"/>
        <v>15</v>
      </c>
      <c r="Q87" s="134">
        <f>IF(C87="","",E87*J87*F$31+M87*K87+0.5*F$32*P87*O87)</f>
        <v>215.8022857459506</v>
      </c>
      <c r="R87" s="137"/>
      <c r="S87" s="136">
        <f t="shared" si="15"/>
        <v>2.1856430571682264E-2</v>
      </c>
      <c r="T87" s="135">
        <f t="shared" si="25"/>
        <v>11.775136556905121</v>
      </c>
      <c r="U87" s="135" t="str">
        <f>IF(C87=F17,"",R87/(I87+M88))</f>
        <v/>
      </c>
      <c r="V87" s="134">
        <f t="shared" si="17"/>
        <v>11.775136556905121</v>
      </c>
      <c r="W87" s="114"/>
    </row>
    <row r="88" spans="2:30" x14ac:dyDescent="0.3">
      <c r="B88" s="121"/>
      <c r="C88" s="120"/>
      <c r="D88" s="116"/>
      <c r="E88" s="118"/>
      <c r="F88" s="118"/>
      <c r="G88" s="119"/>
      <c r="H88" s="118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22"/>
      <c r="T88" s="116"/>
      <c r="U88" s="116"/>
      <c r="V88" s="115"/>
      <c r="W88" s="114"/>
      <c r="AB88" s="133"/>
      <c r="AC88" s="133"/>
      <c r="AD88" s="130"/>
    </row>
    <row r="89" spans="2:30" x14ac:dyDescent="0.3">
      <c r="B89" s="121"/>
      <c r="C89" s="120"/>
      <c r="D89" s="116"/>
      <c r="E89" s="118"/>
      <c r="F89" s="118"/>
      <c r="G89" s="119"/>
      <c r="H89" s="118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22"/>
      <c r="T89" s="116"/>
      <c r="U89" s="116"/>
      <c r="V89" s="115"/>
      <c r="W89" s="114"/>
      <c r="AA89" s="131"/>
      <c r="AB89" s="132"/>
      <c r="AC89" s="131"/>
      <c r="AD89" s="130"/>
    </row>
    <row r="90" spans="2:30" x14ac:dyDescent="0.3">
      <c r="B90" s="121" t="s">
        <v>133</v>
      </c>
      <c r="C90" s="120"/>
      <c r="D90" s="116"/>
      <c r="E90" s="125" t="s">
        <v>132</v>
      </c>
      <c r="F90" s="118">
        <f>F26</f>
        <v>16</v>
      </c>
      <c r="G90" s="119" t="s">
        <v>125</v>
      </c>
      <c r="H90" s="118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22"/>
      <c r="T90" s="116"/>
      <c r="U90" s="116"/>
      <c r="V90" s="115"/>
      <c r="W90" s="114"/>
      <c r="AD90" s="129"/>
    </row>
    <row r="91" spans="2:30" x14ac:dyDescent="0.3">
      <c r="B91" s="121" t="s">
        <v>131</v>
      </c>
      <c r="C91" s="120"/>
      <c r="D91" s="116"/>
      <c r="E91" s="125" t="s">
        <v>130</v>
      </c>
      <c r="F91" s="128">
        <f>MIN(V37:V87)</f>
        <v>1.9573957951405048</v>
      </c>
      <c r="G91" s="119"/>
      <c r="H91" s="118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22"/>
      <c r="T91" s="116"/>
      <c r="U91" s="116"/>
      <c r="V91" s="115"/>
      <c r="W91" s="114"/>
    </row>
    <row r="92" spans="2:30" ht="15" thickBot="1" x14ac:dyDescent="0.35">
      <c r="B92" s="121" t="s">
        <v>129</v>
      </c>
      <c r="C92" s="120"/>
      <c r="D92" s="116"/>
      <c r="E92" s="125" t="s">
        <v>128</v>
      </c>
      <c r="F92" s="77">
        <v>2</v>
      </c>
      <c r="G92" s="119"/>
      <c r="H92" s="118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22"/>
      <c r="T92" s="116"/>
      <c r="U92" s="116"/>
      <c r="V92" s="115"/>
      <c r="W92" s="114"/>
    </row>
    <row r="93" spans="2:30" ht="15" thickBot="1" x14ac:dyDescent="0.35">
      <c r="B93" s="121" t="s">
        <v>127</v>
      </c>
      <c r="C93" s="120"/>
      <c r="D93" s="116"/>
      <c r="E93" s="125" t="s">
        <v>126</v>
      </c>
      <c r="F93" s="127">
        <f>F90*F91/F92</f>
        <v>15.659166361124038</v>
      </c>
      <c r="G93" s="119" t="s">
        <v>125</v>
      </c>
      <c r="H93" s="118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22"/>
      <c r="T93" s="116"/>
      <c r="U93" s="116"/>
      <c r="V93" s="115"/>
      <c r="W93" s="114"/>
    </row>
    <row r="94" spans="2:30" x14ac:dyDescent="0.3">
      <c r="B94" s="121"/>
      <c r="C94" s="120"/>
      <c r="D94" s="116"/>
      <c r="E94" s="125"/>
      <c r="F94" s="118"/>
      <c r="G94" s="119"/>
      <c r="H94" s="118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22"/>
      <c r="T94" s="116"/>
      <c r="U94" s="116"/>
      <c r="V94" s="115"/>
      <c r="W94" s="114"/>
    </row>
    <row r="95" spans="2:30" x14ac:dyDescent="0.3">
      <c r="B95" s="121" t="s">
        <v>124</v>
      </c>
      <c r="C95" s="120"/>
      <c r="D95" s="116"/>
      <c r="E95" s="125" t="s">
        <v>123</v>
      </c>
      <c r="F95" s="126">
        <f>SUM(S37:S87)</f>
        <v>6.6819104431659904</v>
      </c>
      <c r="G95" s="119" t="s">
        <v>122</v>
      </c>
      <c r="H95" s="118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22"/>
      <c r="T95" s="116"/>
      <c r="U95" s="116"/>
      <c r="V95" s="115"/>
      <c r="W95" s="114"/>
    </row>
    <row r="96" spans="2:30" x14ac:dyDescent="0.3">
      <c r="B96" s="121" t="s">
        <v>121</v>
      </c>
      <c r="C96" s="120"/>
      <c r="D96" s="116"/>
      <c r="E96" s="125" t="s">
        <v>120</v>
      </c>
      <c r="F96" s="124">
        <f>F5/F95/F10/F11/F11</f>
        <v>0.95780990398422394</v>
      </c>
      <c r="G96" s="119" t="s">
        <v>119</v>
      </c>
      <c r="H96" s="123" t="s">
        <v>118</v>
      </c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22"/>
      <c r="T96" s="116"/>
      <c r="U96" s="116"/>
      <c r="V96" s="115"/>
      <c r="W96" s="114"/>
    </row>
    <row r="97" spans="2:23" x14ac:dyDescent="0.3">
      <c r="B97" s="121"/>
      <c r="C97" s="120"/>
      <c r="D97" s="116"/>
      <c r="E97" s="118"/>
      <c r="F97" s="118"/>
      <c r="G97" s="119"/>
      <c r="H97" s="118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22"/>
      <c r="T97" s="116"/>
      <c r="U97" s="116"/>
      <c r="V97" s="115"/>
      <c r="W97" s="114"/>
    </row>
    <row r="98" spans="2:23" x14ac:dyDescent="0.3">
      <c r="B98" s="121"/>
      <c r="C98" s="120"/>
      <c r="D98" s="116"/>
      <c r="E98" s="118"/>
      <c r="F98" s="118"/>
      <c r="G98" s="119"/>
      <c r="H98" s="118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22"/>
      <c r="T98" s="116"/>
      <c r="U98" s="116"/>
      <c r="V98" s="115"/>
      <c r="W98" s="114"/>
    </row>
    <row r="99" spans="2:23" x14ac:dyDescent="0.3">
      <c r="B99" s="121"/>
      <c r="C99" s="120"/>
      <c r="D99" s="116"/>
      <c r="E99" s="118"/>
      <c r="F99" s="118"/>
      <c r="G99" s="119"/>
      <c r="H99" s="118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22"/>
      <c r="T99" s="116"/>
      <c r="U99" s="116"/>
      <c r="V99" s="115"/>
      <c r="W99" s="114"/>
    </row>
    <row r="100" spans="2:23" x14ac:dyDescent="0.3">
      <c r="B100" s="121"/>
      <c r="C100" s="120"/>
      <c r="D100" s="116"/>
      <c r="E100" s="118"/>
      <c r="F100" s="118"/>
      <c r="G100" s="119"/>
      <c r="H100" s="118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22"/>
      <c r="T100" s="116"/>
      <c r="U100" s="116"/>
      <c r="V100" s="115"/>
      <c r="W100" s="114"/>
    </row>
    <row r="101" spans="2:23" x14ac:dyDescent="0.3">
      <c r="B101" s="121"/>
      <c r="C101" s="120"/>
      <c r="D101" s="116"/>
      <c r="E101" s="118"/>
      <c r="F101" s="118"/>
      <c r="G101" s="119"/>
      <c r="H101" s="118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22"/>
      <c r="T101" s="116"/>
      <c r="U101" s="116"/>
      <c r="V101" s="115"/>
      <c r="W101" s="114"/>
    </row>
    <row r="102" spans="2:23" x14ac:dyDescent="0.3">
      <c r="B102" s="121"/>
      <c r="C102" s="120"/>
      <c r="D102" s="116"/>
      <c r="E102" s="118"/>
      <c r="F102" s="118"/>
      <c r="G102" s="119"/>
      <c r="H102" s="118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7"/>
      <c r="T102" s="116"/>
      <c r="U102" s="116"/>
      <c r="V102" s="115"/>
      <c r="W102" s="114"/>
    </row>
    <row r="103" spans="2:23" ht="15" thickBot="1" x14ac:dyDescent="0.35">
      <c r="B103" s="113"/>
      <c r="C103" s="112"/>
      <c r="D103" s="108"/>
      <c r="E103" s="110"/>
      <c r="F103" s="110"/>
      <c r="G103" s="111"/>
      <c r="H103" s="110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9"/>
      <c r="T103" s="108"/>
      <c r="U103" s="108"/>
      <c r="V103" s="107"/>
      <c r="W103" s="106"/>
    </row>
    <row r="104" spans="2:23" x14ac:dyDescent="0.3">
      <c r="G104" s="105"/>
    </row>
    <row r="106" spans="2:23" x14ac:dyDescent="0.3">
      <c r="E106" s="104"/>
    </row>
  </sheetData>
  <mergeCells count="10">
    <mergeCell ref="B2:W2"/>
    <mergeCell ref="E35:H35"/>
    <mergeCell ref="B25:G25"/>
    <mergeCell ref="Z22:AD22"/>
    <mergeCell ref="B14:G14"/>
    <mergeCell ref="B9:G9"/>
    <mergeCell ref="B4:G4"/>
    <mergeCell ref="C34:V34"/>
    <mergeCell ref="C35:D35"/>
    <mergeCell ref="T35:V35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B0E3A-F2BF-43BD-8CEF-33EEFD86A0F2}">
  <sheetPr codeName="Sheet13"/>
  <dimension ref="B2:BN62"/>
  <sheetViews>
    <sheetView tabSelected="1" workbookViewId="0">
      <pane xSplit="3" ySplit="8" topLeftCell="D81" activePane="bottomRight" state="frozen"/>
      <selection pane="topRight" activeCell="D1" sqref="D1"/>
      <selection pane="bottomLeft" activeCell="A9" sqref="A9"/>
      <selection pane="bottomRight" activeCell="AM3" sqref="AM3"/>
    </sheetView>
  </sheetViews>
  <sheetFormatPr defaultRowHeight="14.4" x14ac:dyDescent="0.3"/>
  <cols>
    <col min="2" max="2" width="8.88671875" style="56"/>
    <col min="3" max="3" width="10.6640625" style="56" customWidth="1"/>
    <col min="4" max="4" width="8.88671875" style="48"/>
    <col min="5" max="5" width="7" customWidth="1"/>
    <col min="6" max="6" width="6.21875" customWidth="1"/>
    <col min="9" max="9" width="10.33203125" customWidth="1"/>
    <col min="11" max="11" width="7.33203125" customWidth="1"/>
    <col min="12" max="13" width="8.88671875" customWidth="1"/>
    <col min="14" max="14" width="9" customWidth="1"/>
    <col min="15" max="15" width="7.33203125" customWidth="1"/>
    <col min="16" max="16" width="6.88671875" hidden="1" customWidth="1"/>
    <col min="17" max="17" width="6" hidden="1" customWidth="1"/>
    <col min="18" max="19" width="12" hidden="1" customWidth="1"/>
    <col min="20" max="20" width="7.5546875" style="54" customWidth="1"/>
    <col min="21" max="21" width="7.5546875" style="55" customWidth="1"/>
    <col min="22" max="22" width="7.5546875" style="54" hidden="1" customWidth="1"/>
    <col min="24" max="27" width="8.88671875" hidden="1" customWidth="1"/>
    <col min="28" max="28" width="12" hidden="1" customWidth="1"/>
    <col min="29" max="29" width="8.88671875" hidden="1" customWidth="1"/>
    <col min="31" max="31" width="0" hidden="1" customWidth="1"/>
    <col min="33" max="37" width="8.88671875" hidden="1" customWidth="1"/>
    <col min="38" max="38" width="0" hidden="1" customWidth="1"/>
    <col min="40" max="40" width="0" hidden="1" customWidth="1"/>
    <col min="42" max="46" width="8.88671875" hidden="1" customWidth="1"/>
    <col min="47" max="47" width="0" hidden="1" customWidth="1"/>
    <col min="49" max="49" width="0" hidden="1" customWidth="1"/>
    <col min="51" max="55" width="8.88671875" hidden="1" customWidth="1"/>
    <col min="56" max="56" width="0" hidden="1" customWidth="1"/>
    <col min="58" max="58" width="0" hidden="1" customWidth="1"/>
    <col min="60" max="64" width="8.88671875" hidden="1" customWidth="1"/>
    <col min="65" max="65" width="0" hidden="1" customWidth="1"/>
  </cols>
  <sheetData>
    <row r="2" spans="2:66" x14ac:dyDescent="0.3">
      <c r="B2" s="56" t="s">
        <v>117</v>
      </c>
      <c r="D2" s="94" t="s">
        <v>116</v>
      </c>
      <c r="E2" s="88">
        <v>0</v>
      </c>
      <c r="G2" s="56" t="s">
        <v>115</v>
      </c>
      <c r="H2" s="56"/>
      <c r="I2" s="94" t="s">
        <v>114</v>
      </c>
      <c r="J2" s="96">
        <f>COUNT(D9:D58)</f>
        <v>50</v>
      </c>
      <c r="L2" s="91" t="s">
        <v>113</v>
      </c>
      <c r="M2" s="90"/>
      <c r="N2" s="89" t="s">
        <v>112</v>
      </c>
      <c r="O2" s="88">
        <v>0.5</v>
      </c>
    </row>
    <row r="3" spans="2:66" x14ac:dyDescent="0.3">
      <c r="B3" s="56" t="s">
        <v>111</v>
      </c>
      <c r="D3" s="94" t="s">
        <v>110</v>
      </c>
      <c r="E3" s="88">
        <v>2</v>
      </c>
      <c r="G3" s="56" t="s">
        <v>6</v>
      </c>
      <c r="H3" s="56"/>
      <c r="I3" s="94" t="s">
        <v>93</v>
      </c>
      <c r="J3" s="95">
        <f>J2*O2</f>
        <v>25</v>
      </c>
      <c r="L3" s="91" t="s">
        <v>109</v>
      </c>
      <c r="M3" s="90"/>
      <c r="N3" s="89" t="s">
        <v>108</v>
      </c>
      <c r="O3" s="88">
        <v>10</v>
      </c>
    </row>
    <row r="4" spans="2:66" x14ac:dyDescent="0.3">
      <c r="B4" s="56" t="s">
        <v>9</v>
      </c>
      <c r="D4" s="94" t="s">
        <v>107</v>
      </c>
      <c r="E4" s="88">
        <v>10</v>
      </c>
      <c r="G4" t="s">
        <v>106</v>
      </c>
      <c r="I4" s="93" t="s">
        <v>105</v>
      </c>
      <c r="J4" s="92">
        <v>0</v>
      </c>
      <c r="L4" s="91" t="s">
        <v>104</v>
      </c>
      <c r="M4" s="90"/>
      <c r="N4" s="89" t="s">
        <v>103</v>
      </c>
      <c r="O4" s="88">
        <v>0</v>
      </c>
    </row>
    <row r="5" spans="2:66" ht="15" thickBot="1" x14ac:dyDescent="0.35"/>
    <row r="6" spans="2:66" s="87" customFormat="1" x14ac:dyDescent="0.3">
      <c r="B6" s="162" t="s">
        <v>102</v>
      </c>
      <c r="C6" s="163"/>
      <c r="D6" s="163" t="s">
        <v>101</v>
      </c>
      <c r="E6" s="163"/>
      <c r="F6" s="163"/>
      <c r="G6" s="163"/>
      <c r="H6" s="163"/>
      <c r="I6" s="163"/>
      <c r="J6" s="163"/>
      <c r="K6" s="163"/>
      <c r="L6" s="163"/>
      <c r="M6" s="163"/>
      <c r="N6" s="163" t="s">
        <v>100</v>
      </c>
      <c r="O6" s="163"/>
      <c r="P6" s="163"/>
      <c r="Q6" s="163"/>
      <c r="R6" s="163"/>
      <c r="S6" s="163"/>
      <c r="T6" s="163"/>
      <c r="U6" s="163"/>
      <c r="V6" s="163" t="s">
        <v>99</v>
      </c>
      <c r="W6" s="163"/>
      <c r="X6" s="163"/>
      <c r="Y6" s="163"/>
      <c r="Z6" s="163"/>
      <c r="AA6" s="163"/>
      <c r="AB6" s="163"/>
      <c r="AC6" s="163"/>
      <c r="AD6" s="163"/>
      <c r="AE6" s="163" t="s">
        <v>98</v>
      </c>
      <c r="AF6" s="163"/>
      <c r="AG6" s="163"/>
      <c r="AH6" s="163"/>
      <c r="AI6" s="163"/>
      <c r="AJ6" s="163"/>
      <c r="AK6" s="163"/>
      <c r="AL6" s="163"/>
      <c r="AM6" s="163"/>
      <c r="AN6" s="163" t="s">
        <v>97</v>
      </c>
      <c r="AO6" s="163"/>
      <c r="AP6" s="163"/>
      <c r="AQ6" s="163"/>
      <c r="AR6" s="163"/>
      <c r="AS6" s="163"/>
      <c r="AT6" s="163"/>
      <c r="AU6" s="163"/>
      <c r="AV6" s="163"/>
      <c r="AW6" s="163" t="s">
        <v>96</v>
      </c>
      <c r="AX6" s="163"/>
      <c r="AY6" s="163"/>
      <c r="AZ6" s="163"/>
      <c r="BA6" s="163"/>
      <c r="BB6" s="163"/>
      <c r="BC6" s="163"/>
      <c r="BD6" s="163"/>
      <c r="BE6" s="170"/>
      <c r="BF6" s="163" t="s">
        <v>95</v>
      </c>
      <c r="BG6" s="163"/>
      <c r="BH6" s="163"/>
      <c r="BI6" s="163"/>
      <c r="BJ6" s="163"/>
      <c r="BK6" s="163"/>
      <c r="BL6" s="163"/>
      <c r="BM6" s="163"/>
      <c r="BN6" s="170"/>
    </row>
    <row r="7" spans="2:66" s="87" customFormat="1" x14ac:dyDescent="0.3">
      <c r="B7" s="164"/>
      <c r="C7" s="165"/>
      <c r="D7" s="165"/>
      <c r="E7" s="165"/>
      <c r="F7" s="165"/>
      <c r="G7" s="165"/>
      <c r="H7" s="165"/>
      <c r="I7" s="165"/>
      <c r="J7" s="165"/>
      <c r="K7" s="165"/>
      <c r="L7" s="165"/>
      <c r="M7" s="165"/>
      <c r="N7" s="165" t="s">
        <v>94</v>
      </c>
      <c r="O7" s="165"/>
      <c r="P7" s="165"/>
      <c r="Q7" s="165"/>
      <c r="R7" s="165"/>
      <c r="S7" s="165"/>
      <c r="T7" s="166">
        <v>1000</v>
      </c>
      <c r="U7" s="166"/>
      <c r="V7" s="165" t="s">
        <v>94</v>
      </c>
      <c r="W7" s="165"/>
      <c r="X7" s="165"/>
      <c r="Y7" s="165"/>
      <c r="Z7" s="165"/>
      <c r="AA7" s="165"/>
      <c r="AB7" s="165"/>
      <c r="AC7" s="167">
        <v>5000</v>
      </c>
      <c r="AD7" s="167"/>
      <c r="AE7" s="165" t="s">
        <v>94</v>
      </c>
      <c r="AF7" s="165"/>
      <c r="AG7" s="165"/>
      <c r="AH7" s="165"/>
      <c r="AI7" s="165"/>
      <c r="AJ7" s="165"/>
      <c r="AK7" s="165"/>
      <c r="AL7" s="167">
        <v>100</v>
      </c>
      <c r="AM7" s="167"/>
      <c r="AN7" s="165" t="s">
        <v>94</v>
      </c>
      <c r="AO7" s="165"/>
      <c r="AP7" s="165"/>
      <c r="AQ7" s="165"/>
      <c r="AR7" s="165"/>
      <c r="AS7" s="165"/>
      <c r="AT7" s="165"/>
      <c r="AU7" s="167">
        <v>100</v>
      </c>
      <c r="AV7" s="167"/>
      <c r="AW7" s="165" t="s">
        <v>94</v>
      </c>
      <c r="AX7" s="165"/>
      <c r="AY7" s="165"/>
      <c r="AZ7" s="165"/>
      <c r="BA7" s="165"/>
      <c r="BB7" s="165"/>
      <c r="BC7" s="165"/>
      <c r="BD7" s="167">
        <v>100</v>
      </c>
      <c r="BE7" s="167"/>
      <c r="BF7" s="165" t="s">
        <v>94</v>
      </c>
      <c r="BG7" s="165"/>
      <c r="BH7" s="165"/>
      <c r="BI7" s="165"/>
      <c r="BJ7" s="165"/>
      <c r="BK7" s="165"/>
      <c r="BL7" s="165"/>
      <c r="BM7" s="167">
        <v>100</v>
      </c>
      <c r="BN7" s="167"/>
    </row>
    <row r="8" spans="2:66" ht="15" thickBot="1" x14ac:dyDescent="0.35">
      <c r="B8" s="71" t="s">
        <v>23</v>
      </c>
      <c r="C8" s="70" t="s">
        <v>93</v>
      </c>
      <c r="D8" s="86" t="s">
        <v>92</v>
      </c>
      <c r="E8" s="4" t="s">
        <v>91</v>
      </c>
      <c r="F8" s="4" t="s">
        <v>90</v>
      </c>
      <c r="G8" s="4" t="s">
        <v>89</v>
      </c>
      <c r="H8" s="4" t="s">
        <v>88</v>
      </c>
      <c r="I8" s="4" t="s">
        <v>87</v>
      </c>
      <c r="J8" s="4" t="s">
        <v>86</v>
      </c>
      <c r="K8" s="4" t="s">
        <v>5</v>
      </c>
      <c r="L8" s="4" t="s">
        <v>4</v>
      </c>
      <c r="M8" s="4" t="s">
        <v>85</v>
      </c>
      <c r="N8" s="4" t="s">
        <v>84</v>
      </c>
      <c r="O8" s="4" t="s">
        <v>64</v>
      </c>
      <c r="P8" s="4" t="s">
        <v>83</v>
      </c>
      <c r="Q8" s="4" t="s">
        <v>82</v>
      </c>
      <c r="R8" s="4" t="s">
        <v>81</v>
      </c>
      <c r="S8" s="4" t="s">
        <v>61</v>
      </c>
      <c r="T8" s="66" t="s">
        <v>60</v>
      </c>
      <c r="U8" s="67" t="s">
        <v>59</v>
      </c>
      <c r="V8" s="66" t="s">
        <v>80</v>
      </c>
      <c r="W8" s="4" t="s">
        <v>66</v>
      </c>
      <c r="X8" s="4" t="s">
        <v>65</v>
      </c>
      <c r="Y8" s="4" t="s">
        <v>64</v>
      </c>
      <c r="Z8" s="4" t="s">
        <v>79</v>
      </c>
      <c r="AA8" s="4" t="s">
        <v>78</v>
      </c>
      <c r="AB8" s="4" t="s">
        <v>61</v>
      </c>
      <c r="AC8" s="4" t="s">
        <v>77</v>
      </c>
      <c r="AD8" s="4" t="s">
        <v>59</v>
      </c>
      <c r="AE8" s="4" t="s">
        <v>76</v>
      </c>
      <c r="AF8" s="4" t="s">
        <v>66</v>
      </c>
      <c r="AG8" s="4" t="s">
        <v>65</v>
      </c>
      <c r="AH8" s="4" t="s">
        <v>64</v>
      </c>
      <c r="AI8" s="4" t="s">
        <v>75</v>
      </c>
      <c r="AJ8" s="4" t="s">
        <v>74</v>
      </c>
      <c r="AK8" s="4" t="s">
        <v>61</v>
      </c>
      <c r="AL8" s="4" t="s">
        <v>60</v>
      </c>
      <c r="AM8" s="4" t="s">
        <v>59</v>
      </c>
      <c r="AN8" s="4" t="s">
        <v>73</v>
      </c>
      <c r="AO8" s="4" t="s">
        <v>66</v>
      </c>
      <c r="AP8" s="4" t="s">
        <v>65</v>
      </c>
      <c r="AQ8" s="4" t="s">
        <v>64</v>
      </c>
      <c r="AR8" s="4" t="s">
        <v>72</v>
      </c>
      <c r="AS8" s="4" t="s">
        <v>71</v>
      </c>
      <c r="AT8" s="4" t="s">
        <v>61</v>
      </c>
      <c r="AU8" s="4" t="s">
        <v>60</v>
      </c>
      <c r="AV8" s="4" t="s">
        <v>59</v>
      </c>
      <c r="AW8" s="4" t="s">
        <v>70</v>
      </c>
      <c r="AX8" s="4" t="s">
        <v>66</v>
      </c>
      <c r="AY8" s="4" t="s">
        <v>65</v>
      </c>
      <c r="AZ8" s="4" t="s">
        <v>64</v>
      </c>
      <c r="BA8" s="4" t="s">
        <v>69</v>
      </c>
      <c r="BB8" s="4" t="s">
        <v>68</v>
      </c>
      <c r="BC8" s="4" t="s">
        <v>61</v>
      </c>
      <c r="BD8" s="4" t="s">
        <v>60</v>
      </c>
      <c r="BE8" s="3" t="s">
        <v>59</v>
      </c>
      <c r="BF8" s="4" t="s">
        <v>67</v>
      </c>
      <c r="BG8" s="4" t="s">
        <v>66</v>
      </c>
      <c r="BH8" s="4" t="s">
        <v>65</v>
      </c>
      <c r="BI8" s="4" t="s">
        <v>64</v>
      </c>
      <c r="BJ8" s="4" t="s">
        <v>63</v>
      </c>
      <c r="BK8" s="4" t="s">
        <v>62</v>
      </c>
      <c r="BL8" s="4" t="s">
        <v>61</v>
      </c>
      <c r="BM8" s="4" t="s">
        <v>60</v>
      </c>
      <c r="BN8" s="3" t="s">
        <v>59</v>
      </c>
    </row>
    <row r="9" spans="2:66" x14ac:dyDescent="0.3">
      <c r="B9" s="85">
        <v>0</v>
      </c>
      <c r="C9" s="84">
        <f>E2+O$2/2</f>
        <v>0.25</v>
      </c>
      <c r="D9" s="81">
        <v>1.1000000000000001</v>
      </c>
      <c r="E9" s="75">
        <v>0</v>
      </c>
      <c r="F9" s="75">
        <v>0</v>
      </c>
      <c r="G9" s="75">
        <v>100</v>
      </c>
      <c r="H9" s="75">
        <v>19</v>
      </c>
      <c r="I9" s="75" t="b">
        <v>1</v>
      </c>
      <c r="J9" s="80">
        <v>2</v>
      </c>
      <c r="K9" s="12">
        <f>0.5*H9*O2+J4</f>
        <v>4.75</v>
      </c>
      <c r="L9" s="12">
        <f t="shared" ref="L9:L40" si="0">IFERROR(IF(C9&lt;E$3,0,C9*E$4),"")</f>
        <v>0</v>
      </c>
      <c r="M9" s="12">
        <v>22</v>
      </c>
      <c r="N9">
        <f t="shared" ref="N9:N40" si="1">IFERROR(K9-L9,"")</f>
        <v>4.75</v>
      </c>
      <c r="O9" s="75">
        <f t="shared" ref="O9:O40" si="2">50*9/(3+C9)/(3+C9)</f>
        <v>42.603550295857985</v>
      </c>
      <c r="P9" s="12">
        <f t="shared" ref="P9:P40" si="3">IF($B9&lt;J$2+1,N9+O9,"")</f>
        <v>47.353550295857985</v>
      </c>
      <c r="Q9" s="12">
        <f t="shared" ref="Q9:Q40" si="4">IF($B9&lt;J$2+1,IFERROR($E9*LOG(MIN($M9,P9)/MIN(N9,$M9),10),0),"")</f>
        <v>0</v>
      </c>
      <c r="R9" s="12">
        <f t="shared" ref="R9:R40" si="5">IF($B9&lt;$J$2+1,$F9*LOG(MAX($M9,P9)/MAX(N9,$M9),10),"")</f>
        <v>0</v>
      </c>
      <c r="S9" s="12">
        <f t="shared" ref="S9:S40" si="6">IF($B9&lt;$J$2+1,(Q9+R9)*$C9/(1+$D9),"")</f>
        <v>0</v>
      </c>
      <c r="T9" s="82" cm="1">
        <f t="array" ref="T9:T58">TRANSPOSE(Consolidation_Rate(O9:INDEX(O9:O59,J2),G9:INDEX($G9:$G59,J2),$I9:$I59,T7-$O$4,$O$2,$O$3))</f>
        <v>0</v>
      </c>
      <c r="U9" s="83">
        <f t="shared" ref="U9:U40" si="7">IFERROR(1-T9/O9,"")</f>
        <v>1</v>
      </c>
      <c r="V9" s="82">
        <f t="shared" ref="V9:V40" si="8">P9-T9</f>
        <v>47.353550295857985</v>
      </c>
      <c r="W9" s="75">
        <v>0</v>
      </c>
      <c r="X9" s="12">
        <f t="shared" ref="X9:X40" si="9">IF($B9&lt;$J$2+1,V9+W9+T9,"")</f>
        <v>47.353550295857985</v>
      </c>
      <c r="Y9" s="12">
        <f t="shared" ref="Y9:Y40" si="10">IFERROR(X9-V9,"")</f>
        <v>0</v>
      </c>
      <c r="Z9" s="12">
        <f t="shared" ref="Z9:Z40" si="11">IF($B9&lt;$J$2+1,IFERROR($E9*LOG(MIN($M9,X9)/MIN(V9,$M9),10),0),"")</f>
        <v>0</v>
      </c>
      <c r="AA9" s="12">
        <f t="shared" ref="AA9:AA40" si="12">IF($B9&lt;$J$2+1,$F9*LOG(MAX($M9,X9)/MAX(V9,$M9),10),"")</f>
        <v>0</v>
      </c>
      <c r="AB9" s="12">
        <f t="shared" ref="AB9:AB40" si="13">IF($B9&lt;$J$2+1,(Z9+AA9)*$C9/(1+$D9),"")</f>
        <v>0</v>
      </c>
      <c r="AC9" s="12" cm="1">
        <f t="array" ref="AC9:AC58">TRANSPOSE(Consolidation_Rate(Y9:INDEX(Y9:Y59,$J$2),$G$9:INDEX($G9:$G59,$J$2),$I9:$I59,AC7-$O$4,$O$2,$O$3))</f>
        <v>0</v>
      </c>
      <c r="AD9" s="64">
        <f t="shared" ref="AD9:AD40" si="14">IF(B9="","",IFERROR(1-AC9/Y9,1))</f>
        <v>1</v>
      </c>
      <c r="AE9" s="12">
        <f t="shared" ref="AE9:AE40" si="15">X9-AC9</f>
        <v>47.353550295857985</v>
      </c>
      <c r="AF9" s="75">
        <v>0</v>
      </c>
      <c r="AG9" s="12">
        <f t="shared" ref="AG9:AG40" si="16">IF($B9&lt;$J$2+1,AE9+AF9+AC9,"")</f>
        <v>47.353550295857985</v>
      </c>
      <c r="AH9" s="12">
        <f t="shared" ref="AH9:AH40" si="17">IFERROR(AG9-AE9,"")</f>
        <v>0</v>
      </c>
      <c r="AI9" s="12">
        <f t="shared" ref="AI9:AI40" si="18">IF($B9&lt;$J$2+1,IFERROR($E9*LOG(MIN($M9,AG9)/MIN(AE9,$M9),10),0),"")</f>
        <v>0</v>
      </c>
      <c r="AJ9" s="12">
        <f t="shared" ref="AJ9:AJ40" si="19">IF($B9&lt;$J$2+1,$F9*LOG(MAX($M9,AG9)/MAX(AE9,$M9),10),"")</f>
        <v>0</v>
      </c>
      <c r="AK9" s="12">
        <f t="shared" ref="AK9:AK40" si="20">IF($B9&lt;$J$2+1,(AI9+AJ9)*$C9/(1+$D9),"")</f>
        <v>0</v>
      </c>
      <c r="AL9" s="12" cm="1">
        <f t="array" ref="AL9:AL58">TRANSPOSE(Consolidation_Rate(AH9:INDEX(AH9:AH59,$J$2),$G$9:INDEX($G9:$G59,$J$2),$I9:$I59,AL7-$O$4,$O$2,$O$3))</f>
        <v>0</v>
      </c>
      <c r="AM9" s="64">
        <f t="shared" ref="AM9:AM40" si="21">IF(K9="","",IFERROR(1-AL9/AH9,1))</f>
        <v>1</v>
      </c>
      <c r="AN9" s="12">
        <f t="shared" ref="AN9:AN40" si="22">AG9-AL9</f>
        <v>47.353550295857985</v>
      </c>
      <c r="AO9" s="75">
        <v>0</v>
      </c>
      <c r="AP9" s="12">
        <f t="shared" ref="AP9:AP40" si="23">IF($B9&lt;$J$2+1,AN9+AO9+AL9,"")</f>
        <v>47.353550295857985</v>
      </c>
      <c r="AQ9" s="12">
        <f t="shared" ref="AQ9:AQ40" si="24">IFERROR(AP9-AN9,"")</f>
        <v>0</v>
      </c>
      <c r="AR9" s="12">
        <f t="shared" ref="AR9:AR40" si="25">IF($B9&lt;$J$2+1,IFERROR($E9*LOG(MIN($M9,AP9)/MIN(AN9,$M9),10),0),"")</f>
        <v>0</v>
      </c>
      <c r="AS9" s="12">
        <f t="shared" ref="AS9:AS40" si="26">IF($B9&lt;$J$2+1,$F9*LOG(MAX($M9,AP9)/MAX(AN9,$M9),10),"")</f>
        <v>0</v>
      </c>
      <c r="AT9" s="12">
        <f t="shared" ref="AT9:AT40" si="27">IF($B9&lt;$J$2+1,(AR9+AS9)*$C9/(1+$D9),"")</f>
        <v>0</v>
      </c>
      <c r="AU9" s="12" cm="1">
        <f t="array" ref="AU9:AU58">TRANSPOSE(Consolidation_Rate(AQ9:INDEX(AQ9:AQ59,$J$2),$G$9:INDEX($G9:$G59,$J$2),$I9:$I59,AU7-$O$4,$O$2,$O$3))</f>
        <v>0</v>
      </c>
      <c r="AV9" s="64">
        <f t="shared" ref="AV9:AV40" si="28">IF(T9="","",IFERROR(1-AU9/AQ9,1))</f>
        <v>1</v>
      </c>
      <c r="AW9" s="12">
        <f t="shared" ref="AW9:AW40" si="29">AP9-AU9</f>
        <v>47.353550295857985</v>
      </c>
      <c r="AX9" s="75">
        <v>0</v>
      </c>
      <c r="AY9" s="12">
        <f t="shared" ref="AY9:AY40" si="30">IF($B9&lt;$J$2+1,AW9+AX9+AU9,"")</f>
        <v>47.353550295857985</v>
      </c>
      <c r="AZ9" s="12">
        <f t="shared" ref="AZ9:AZ40" si="31">IFERROR(AY9-AW9,"")</f>
        <v>0</v>
      </c>
      <c r="BA9" s="12">
        <f t="shared" ref="BA9:BA40" si="32">IF($B9&lt;$J$2+1,IFERROR($E9*LOG(MIN($M9,AY9)/MIN(AW9,$M9),10),0),"")</f>
        <v>0</v>
      </c>
      <c r="BB9" s="12">
        <f t="shared" ref="BB9:BB40" si="33">IF($B9&lt;$J$2+1,$F9*LOG(MAX($M9,AY9)/MAX(AW9,$M9),10),"")</f>
        <v>0</v>
      </c>
      <c r="BC9" s="12">
        <f t="shared" ref="BC9:BC40" si="34">IF($B9&lt;$J$2+1,(BA9+BB9)*$C9/(1+$D9),"")</f>
        <v>0</v>
      </c>
      <c r="BD9" s="12" cm="1">
        <f t="array" ref="BD9:BD58">TRANSPOSE(Consolidation_Rate(AZ9:INDEX(AZ9:AZ59,$J$2),$G$9:INDEX($G9:$G59,$J$2),$I9:$I59,BD7-$O$4,$O$2,$O$3))</f>
        <v>0</v>
      </c>
      <c r="BE9" s="64">
        <f t="shared" ref="BE9:BE40" si="35">IF(AC9="","",IFERROR(1-BD9/AZ9,1))</f>
        <v>1</v>
      </c>
      <c r="BF9" s="12">
        <f t="shared" ref="BF9:BF40" si="36">AY9-BD9</f>
        <v>47.353550295857985</v>
      </c>
      <c r="BG9" s="75">
        <v>0</v>
      </c>
      <c r="BH9" s="12">
        <f t="shared" ref="BH9:BH40" si="37">IF($B9&lt;$J$2+1,BF9+BG9+BD9,"")</f>
        <v>47.353550295857985</v>
      </c>
      <c r="BI9" s="12">
        <f t="shared" ref="BI9:BI40" si="38">IFERROR(BH9-BF9,"")</f>
        <v>0</v>
      </c>
      <c r="BJ9" s="12">
        <f t="shared" ref="BJ9:BJ40" si="39">IF($B9&lt;$J$2+1,IFERROR($E9*LOG(MIN($M9,BH9)/MIN(BF9,$M9),10),0),"")</f>
        <v>0</v>
      </c>
      <c r="BK9" s="12">
        <f t="shared" ref="BK9:BK40" si="40">IF($B9&lt;$J$2+1,$F9*LOG(MAX($M9,BH9)/MAX(BF9,$M9),10),"")</f>
        <v>0</v>
      </c>
      <c r="BL9" s="12">
        <f t="shared" ref="BL9:BL40" si="41">IF($B9&lt;$J$2+1,(BJ9+BK9)*$C9/(1+$D9),"")</f>
        <v>0</v>
      </c>
      <c r="BM9" s="12" cm="1">
        <f t="array" ref="BM9:BM58">TRANSPOSE(Consolidation_Rate(BI9:INDEX(BI9:BI59,$J$2),$G$9:INDEX($G9:$G59,$J$2),$I9:$I59,BM7-$O$4,$O$2,$O$3))</f>
        <v>0</v>
      </c>
      <c r="BN9" s="64">
        <f t="shared" ref="BN9:BN40" si="42">IF(AL9="","",IFERROR(1-BM9/BI9,1))</f>
        <v>1</v>
      </c>
    </row>
    <row r="10" spans="2:66" x14ac:dyDescent="0.3">
      <c r="B10" s="79">
        <f t="shared" ref="B10:B41" si="43">IF(B9&lt;J$2-1,B9+1,"")</f>
        <v>1</v>
      </c>
      <c r="C10" s="78">
        <f t="shared" ref="C10:C41" si="44">IF(B10&lt;J$2+1, C9+O$2,"")</f>
        <v>0.75</v>
      </c>
      <c r="D10" s="81">
        <v>1.1000000000000001</v>
      </c>
      <c r="E10" s="75">
        <v>0</v>
      </c>
      <c r="F10" s="75">
        <v>0</v>
      </c>
      <c r="G10" s="75">
        <v>100</v>
      </c>
      <c r="H10" s="75">
        <v>19</v>
      </c>
      <c r="I10" s="75" t="b">
        <v>1</v>
      </c>
      <c r="J10" s="80">
        <v>3</v>
      </c>
      <c r="K10" s="1">
        <f t="shared" ref="K10:K41" si="45">IF(B10&lt;J$2,0.5*(H9+H10)*O$2+K9,"")</f>
        <v>14.25</v>
      </c>
      <c r="L10" s="1">
        <f t="shared" si="0"/>
        <v>0</v>
      </c>
      <c r="M10" s="1">
        <f t="shared" ref="M10:M41" si="46">IF(B9&lt;J$2+1,J9+N9,"")</f>
        <v>6.75</v>
      </c>
      <c r="N10">
        <f t="shared" si="1"/>
        <v>14.25</v>
      </c>
      <c r="O10" s="75">
        <f t="shared" si="2"/>
        <v>32</v>
      </c>
      <c r="P10" s="1">
        <f t="shared" si="3"/>
        <v>46.25</v>
      </c>
      <c r="Q10" s="1">
        <f t="shared" si="4"/>
        <v>0</v>
      </c>
      <c r="R10" s="1">
        <f t="shared" si="5"/>
        <v>0</v>
      </c>
      <c r="S10" s="1">
        <f t="shared" si="6"/>
        <v>0</v>
      </c>
      <c r="T10" s="73">
        <v>0</v>
      </c>
      <c r="U10" s="74">
        <f t="shared" si="7"/>
        <v>1</v>
      </c>
      <c r="V10" s="73">
        <f t="shared" si="8"/>
        <v>46.25</v>
      </c>
      <c r="W10" s="72">
        <v>0</v>
      </c>
      <c r="X10" s="1">
        <f t="shared" si="9"/>
        <v>46.25</v>
      </c>
      <c r="Y10" s="1">
        <f t="shared" si="10"/>
        <v>0</v>
      </c>
      <c r="Z10" s="1">
        <f t="shared" si="11"/>
        <v>0</v>
      </c>
      <c r="AA10" s="1">
        <f t="shared" si="12"/>
        <v>0</v>
      </c>
      <c r="AB10" s="1">
        <f t="shared" si="13"/>
        <v>0</v>
      </c>
      <c r="AC10" s="1">
        <v>0</v>
      </c>
      <c r="AD10" s="64">
        <f t="shared" si="14"/>
        <v>1</v>
      </c>
      <c r="AE10" s="12">
        <f t="shared" si="15"/>
        <v>46.25</v>
      </c>
      <c r="AF10" s="72">
        <v>0</v>
      </c>
      <c r="AG10" s="1">
        <f t="shared" si="16"/>
        <v>46.25</v>
      </c>
      <c r="AH10" s="1">
        <f t="shared" si="17"/>
        <v>0</v>
      </c>
      <c r="AI10" s="1">
        <f t="shared" si="18"/>
        <v>0</v>
      </c>
      <c r="AJ10" s="1">
        <f t="shared" si="19"/>
        <v>0</v>
      </c>
      <c r="AK10" s="1">
        <f t="shared" si="20"/>
        <v>0</v>
      </c>
      <c r="AL10" s="1">
        <v>0</v>
      </c>
      <c r="AM10" s="64">
        <f t="shared" si="21"/>
        <v>1</v>
      </c>
      <c r="AN10" s="12">
        <f t="shared" si="22"/>
        <v>46.25</v>
      </c>
      <c r="AO10" s="72">
        <v>0</v>
      </c>
      <c r="AP10" s="1">
        <f t="shared" si="23"/>
        <v>46.25</v>
      </c>
      <c r="AQ10" s="1">
        <f t="shared" si="24"/>
        <v>0</v>
      </c>
      <c r="AR10" s="1">
        <f t="shared" si="25"/>
        <v>0</v>
      </c>
      <c r="AS10" s="1">
        <f t="shared" si="26"/>
        <v>0</v>
      </c>
      <c r="AT10" s="1">
        <f t="shared" si="27"/>
        <v>0</v>
      </c>
      <c r="AU10" s="1">
        <v>0</v>
      </c>
      <c r="AV10" s="64">
        <f t="shared" si="28"/>
        <v>1</v>
      </c>
      <c r="AW10" s="12">
        <f t="shared" si="29"/>
        <v>46.25</v>
      </c>
      <c r="AX10" s="72">
        <v>0</v>
      </c>
      <c r="AY10" s="1">
        <f t="shared" si="30"/>
        <v>46.25</v>
      </c>
      <c r="AZ10" s="1">
        <f t="shared" si="31"/>
        <v>0</v>
      </c>
      <c r="BA10" s="1">
        <f t="shared" si="32"/>
        <v>0</v>
      </c>
      <c r="BB10" s="1">
        <f t="shared" si="33"/>
        <v>0</v>
      </c>
      <c r="BC10" s="1">
        <f t="shared" si="34"/>
        <v>0</v>
      </c>
      <c r="BD10" s="1">
        <v>0</v>
      </c>
      <c r="BE10" s="64">
        <f t="shared" si="35"/>
        <v>1</v>
      </c>
      <c r="BF10" s="12">
        <f t="shared" si="36"/>
        <v>46.25</v>
      </c>
      <c r="BG10" s="72">
        <v>5</v>
      </c>
      <c r="BH10" s="1">
        <f t="shared" si="37"/>
        <v>51.25</v>
      </c>
      <c r="BI10" s="1">
        <f t="shared" si="38"/>
        <v>5</v>
      </c>
      <c r="BJ10" s="1">
        <f t="shared" si="39"/>
        <v>0</v>
      </c>
      <c r="BK10" s="1">
        <f t="shared" si="40"/>
        <v>0</v>
      </c>
      <c r="BL10" s="1">
        <f t="shared" si="41"/>
        <v>0</v>
      </c>
      <c r="BM10" s="1">
        <v>0</v>
      </c>
      <c r="BN10" s="64">
        <f t="shared" si="42"/>
        <v>1</v>
      </c>
    </row>
    <row r="11" spans="2:66" x14ac:dyDescent="0.3">
      <c r="B11" s="79">
        <f t="shared" si="43"/>
        <v>2</v>
      </c>
      <c r="C11" s="78">
        <f t="shared" si="44"/>
        <v>1.25</v>
      </c>
      <c r="D11" s="81">
        <v>1.1000000000000001</v>
      </c>
      <c r="E11" s="75">
        <v>0</v>
      </c>
      <c r="F11" s="75">
        <v>0</v>
      </c>
      <c r="G11" s="75">
        <v>100</v>
      </c>
      <c r="H11" s="75">
        <v>19</v>
      </c>
      <c r="I11" s="75" t="b">
        <v>1</v>
      </c>
      <c r="J11" s="80">
        <v>4</v>
      </c>
      <c r="K11" s="1">
        <f t="shared" si="45"/>
        <v>23.75</v>
      </c>
      <c r="L11" s="1">
        <f t="shared" si="0"/>
        <v>0</v>
      </c>
      <c r="M11" s="1">
        <f t="shared" si="46"/>
        <v>17.25</v>
      </c>
      <c r="N11">
        <f t="shared" si="1"/>
        <v>23.75</v>
      </c>
      <c r="O11" s="75">
        <f t="shared" si="2"/>
        <v>24.913494809688579</v>
      </c>
      <c r="P11" s="1">
        <f t="shared" si="3"/>
        <v>48.663494809688579</v>
      </c>
      <c r="Q11" s="1">
        <f t="shared" si="4"/>
        <v>0</v>
      </c>
      <c r="R11" s="1">
        <f t="shared" si="5"/>
        <v>0</v>
      </c>
      <c r="S11" s="1">
        <f t="shared" si="6"/>
        <v>0</v>
      </c>
      <c r="T11" s="73">
        <v>0</v>
      </c>
      <c r="U11" s="74">
        <f t="shared" si="7"/>
        <v>1</v>
      </c>
      <c r="V11" s="73">
        <f t="shared" si="8"/>
        <v>48.663494809688579</v>
      </c>
      <c r="W11" s="72">
        <v>0</v>
      </c>
      <c r="X11" s="1">
        <f t="shared" si="9"/>
        <v>48.663494809688579</v>
      </c>
      <c r="Y11" s="1">
        <f t="shared" si="10"/>
        <v>0</v>
      </c>
      <c r="Z11" s="1">
        <f t="shared" si="11"/>
        <v>0</v>
      </c>
      <c r="AA11" s="1">
        <f t="shared" si="12"/>
        <v>0</v>
      </c>
      <c r="AB11" s="1">
        <f t="shared" si="13"/>
        <v>0</v>
      </c>
      <c r="AC11" s="1">
        <v>0</v>
      </c>
      <c r="AD11" s="64">
        <f t="shared" si="14"/>
        <v>1</v>
      </c>
      <c r="AE11" s="12">
        <f t="shared" si="15"/>
        <v>48.663494809688579</v>
      </c>
      <c r="AF11" s="72">
        <v>0</v>
      </c>
      <c r="AG11" s="1">
        <f t="shared" si="16"/>
        <v>48.663494809688579</v>
      </c>
      <c r="AH11" s="1">
        <f t="shared" si="17"/>
        <v>0</v>
      </c>
      <c r="AI11" s="1">
        <f t="shared" si="18"/>
        <v>0</v>
      </c>
      <c r="AJ11" s="1">
        <f t="shared" si="19"/>
        <v>0</v>
      </c>
      <c r="AK11" s="1">
        <f t="shared" si="20"/>
        <v>0</v>
      </c>
      <c r="AL11" s="1">
        <v>0</v>
      </c>
      <c r="AM11" s="64">
        <f t="shared" si="21"/>
        <v>1</v>
      </c>
      <c r="AN11" s="12">
        <f t="shared" si="22"/>
        <v>48.663494809688579</v>
      </c>
      <c r="AO11" s="72">
        <v>0</v>
      </c>
      <c r="AP11" s="1">
        <f t="shared" si="23"/>
        <v>48.663494809688579</v>
      </c>
      <c r="AQ11" s="1">
        <f t="shared" si="24"/>
        <v>0</v>
      </c>
      <c r="AR11" s="1">
        <f t="shared" si="25"/>
        <v>0</v>
      </c>
      <c r="AS11" s="1">
        <f t="shared" si="26"/>
        <v>0</v>
      </c>
      <c r="AT11" s="1">
        <f t="shared" si="27"/>
        <v>0</v>
      </c>
      <c r="AU11" s="1">
        <v>0</v>
      </c>
      <c r="AV11" s="64">
        <f t="shared" si="28"/>
        <v>1</v>
      </c>
      <c r="AW11" s="12">
        <f t="shared" si="29"/>
        <v>48.663494809688579</v>
      </c>
      <c r="AX11" s="72">
        <v>0</v>
      </c>
      <c r="AY11" s="1">
        <f t="shared" si="30"/>
        <v>48.663494809688579</v>
      </c>
      <c r="AZ11" s="1">
        <f t="shared" si="31"/>
        <v>0</v>
      </c>
      <c r="BA11" s="1">
        <f t="shared" si="32"/>
        <v>0</v>
      </c>
      <c r="BB11" s="1">
        <f t="shared" si="33"/>
        <v>0</v>
      </c>
      <c r="BC11" s="1">
        <f t="shared" si="34"/>
        <v>0</v>
      </c>
      <c r="BD11" s="1">
        <v>0</v>
      </c>
      <c r="BE11" s="64">
        <f t="shared" si="35"/>
        <v>1</v>
      </c>
      <c r="BF11" s="12">
        <f t="shared" si="36"/>
        <v>48.663494809688579</v>
      </c>
      <c r="BG11" s="72">
        <v>0</v>
      </c>
      <c r="BH11" s="1">
        <f t="shared" si="37"/>
        <v>48.663494809688579</v>
      </c>
      <c r="BI11" s="1">
        <f t="shared" si="38"/>
        <v>0</v>
      </c>
      <c r="BJ11" s="1">
        <f t="shared" si="39"/>
        <v>0</v>
      </c>
      <c r="BK11" s="1">
        <f t="shared" si="40"/>
        <v>0</v>
      </c>
      <c r="BL11" s="1">
        <f t="shared" si="41"/>
        <v>0</v>
      </c>
      <c r="BM11" s="1">
        <v>0</v>
      </c>
      <c r="BN11" s="64">
        <f t="shared" si="42"/>
        <v>1</v>
      </c>
    </row>
    <row r="12" spans="2:66" x14ac:dyDescent="0.3">
      <c r="B12" s="79">
        <f t="shared" si="43"/>
        <v>3</v>
      </c>
      <c r="C12" s="78">
        <f t="shared" si="44"/>
        <v>1.75</v>
      </c>
      <c r="D12" s="81">
        <v>1.1000000000000001</v>
      </c>
      <c r="E12" s="75">
        <v>0</v>
      </c>
      <c r="F12" s="75">
        <v>0</v>
      </c>
      <c r="G12" s="75">
        <v>100</v>
      </c>
      <c r="H12" s="75">
        <v>19</v>
      </c>
      <c r="I12" s="75" t="b">
        <v>1</v>
      </c>
      <c r="J12" s="80">
        <v>5</v>
      </c>
      <c r="K12" s="1">
        <f t="shared" si="45"/>
        <v>33.25</v>
      </c>
      <c r="L12" s="1">
        <f t="shared" si="0"/>
        <v>0</v>
      </c>
      <c r="M12" s="1">
        <f t="shared" si="46"/>
        <v>27.75</v>
      </c>
      <c r="N12">
        <f t="shared" si="1"/>
        <v>33.25</v>
      </c>
      <c r="O12" s="75">
        <f t="shared" si="2"/>
        <v>19.94459833795014</v>
      </c>
      <c r="P12" s="1">
        <f t="shared" si="3"/>
        <v>53.19459833795014</v>
      </c>
      <c r="Q12" s="1">
        <f t="shared" si="4"/>
        <v>0</v>
      </c>
      <c r="R12" s="1">
        <f t="shared" si="5"/>
        <v>0</v>
      </c>
      <c r="S12" s="1">
        <f t="shared" si="6"/>
        <v>0</v>
      </c>
      <c r="T12" s="73">
        <v>0</v>
      </c>
      <c r="U12" s="74">
        <f t="shared" si="7"/>
        <v>1</v>
      </c>
      <c r="V12" s="73">
        <f t="shared" si="8"/>
        <v>53.19459833795014</v>
      </c>
      <c r="W12" s="72">
        <v>0</v>
      </c>
      <c r="X12" s="1">
        <f t="shared" si="9"/>
        <v>53.19459833795014</v>
      </c>
      <c r="Y12" s="1">
        <f t="shared" si="10"/>
        <v>0</v>
      </c>
      <c r="Z12" s="1">
        <f t="shared" si="11"/>
        <v>0</v>
      </c>
      <c r="AA12" s="1">
        <f t="shared" si="12"/>
        <v>0</v>
      </c>
      <c r="AB12" s="1">
        <f t="shared" si="13"/>
        <v>0</v>
      </c>
      <c r="AC12" s="1">
        <v>0</v>
      </c>
      <c r="AD12" s="64">
        <f t="shared" si="14"/>
        <v>1</v>
      </c>
      <c r="AE12" s="12">
        <f t="shared" si="15"/>
        <v>53.19459833795014</v>
      </c>
      <c r="AF12" s="72">
        <v>0</v>
      </c>
      <c r="AG12" s="1">
        <f t="shared" si="16"/>
        <v>53.19459833795014</v>
      </c>
      <c r="AH12" s="1">
        <f t="shared" si="17"/>
        <v>0</v>
      </c>
      <c r="AI12" s="1">
        <f t="shared" si="18"/>
        <v>0</v>
      </c>
      <c r="AJ12" s="1">
        <f t="shared" si="19"/>
        <v>0</v>
      </c>
      <c r="AK12" s="1">
        <f t="shared" si="20"/>
        <v>0</v>
      </c>
      <c r="AL12" s="1">
        <v>0</v>
      </c>
      <c r="AM12" s="64">
        <f t="shared" si="21"/>
        <v>1</v>
      </c>
      <c r="AN12" s="12">
        <f t="shared" si="22"/>
        <v>53.19459833795014</v>
      </c>
      <c r="AO12" s="72">
        <v>0</v>
      </c>
      <c r="AP12" s="1">
        <f t="shared" si="23"/>
        <v>53.19459833795014</v>
      </c>
      <c r="AQ12" s="1">
        <f t="shared" si="24"/>
        <v>0</v>
      </c>
      <c r="AR12" s="1">
        <f t="shared" si="25"/>
        <v>0</v>
      </c>
      <c r="AS12" s="1">
        <f t="shared" si="26"/>
        <v>0</v>
      </c>
      <c r="AT12" s="1">
        <f t="shared" si="27"/>
        <v>0</v>
      </c>
      <c r="AU12" s="1">
        <v>0</v>
      </c>
      <c r="AV12" s="64">
        <f t="shared" si="28"/>
        <v>1</v>
      </c>
      <c r="AW12" s="12">
        <f t="shared" si="29"/>
        <v>53.19459833795014</v>
      </c>
      <c r="AX12" s="72">
        <v>0</v>
      </c>
      <c r="AY12" s="1">
        <f t="shared" si="30"/>
        <v>53.19459833795014</v>
      </c>
      <c r="AZ12" s="1">
        <f t="shared" si="31"/>
        <v>0</v>
      </c>
      <c r="BA12" s="1">
        <f t="shared" si="32"/>
        <v>0</v>
      </c>
      <c r="BB12" s="1">
        <f t="shared" si="33"/>
        <v>0</v>
      </c>
      <c r="BC12" s="1">
        <f t="shared" si="34"/>
        <v>0</v>
      </c>
      <c r="BD12" s="1">
        <v>0</v>
      </c>
      <c r="BE12" s="64">
        <f t="shared" si="35"/>
        <v>1</v>
      </c>
      <c r="BF12" s="12">
        <f t="shared" si="36"/>
        <v>53.19459833795014</v>
      </c>
      <c r="BG12" s="72">
        <v>0</v>
      </c>
      <c r="BH12" s="1">
        <f t="shared" si="37"/>
        <v>53.19459833795014</v>
      </c>
      <c r="BI12" s="1">
        <f t="shared" si="38"/>
        <v>0</v>
      </c>
      <c r="BJ12" s="1">
        <f t="shared" si="39"/>
        <v>0</v>
      </c>
      <c r="BK12" s="1">
        <f t="shared" si="40"/>
        <v>0</v>
      </c>
      <c r="BL12" s="1">
        <f t="shared" si="41"/>
        <v>0</v>
      </c>
      <c r="BM12" s="1">
        <v>0</v>
      </c>
      <c r="BN12" s="64">
        <f t="shared" si="42"/>
        <v>1</v>
      </c>
    </row>
    <row r="13" spans="2:66" x14ac:dyDescent="0.3">
      <c r="B13" s="79">
        <f t="shared" si="43"/>
        <v>4</v>
      </c>
      <c r="C13" s="78">
        <f t="shared" si="44"/>
        <v>2.25</v>
      </c>
      <c r="D13" s="77">
        <v>1.1000000000000001</v>
      </c>
      <c r="E13" s="72">
        <v>0.13</v>
      </c>
      <c r="F13" s="72">
        <v>0.4</v>
      </c>
      <c r="G13" s="72">
        <v>2.0999999999999999E-3</v>
      </c>
      <c r="H13" s="72">
        <v>19</v>
      </c>
      <c r="I13" s="72" t="b">
        <v>0</v>
      </c>
      <c r="J13" s="76">
        <v>2</v>
      </c>
      <c r="K13" s="1">
        <f t="shared" si="45"/>
        <v>42.75</v>
      </c>
      <c r="L13" s="1">
        <f t="shared" si="0"/>
        <v>22.5</v>
      </c>
      <c r="M13" s="1">
        <f t="shared" si="46"/>
        <v>38.25</v>
      </c>
      <c r="N13">
        <f t="shared" si="1"/>
        <v>20.25</v>
      </c>
      <c r="O13" s="75">
        <f t="shared" si="2"/>
        <v>16.326530612244898</v>
      </c>
      <c r="P13" s="1">
        <f t="shared" si="3"/>
        <v>36.576530612244895</v>
      </c>
      <c r="Q13" s="1">
        <f t="shared" si="4"/>
        <v>3.3381072592253445E-2</v>
      </c>
      <c r="R13" s="1">
        <f t="shared" si="5"/>
        <v>0</v>
      </c>
      <c r="S13" s="1">
        <f t="shared" si="6"/>
        <v>3.5765434920271545E-2</v>
      </c>
      <c r="T13" s="73">
        <v>1.7673195710184331</v>
      </c>
      <c r="U13" s="74">
        <f t="shared" si="7"/>
        <v>0.89175167627512097</v>
      </c>
      <c r="V13" s="73">
        <f t="shared" si="8"/>
        <v>34.809211041226462</v>
      </c>
      <c r="W13" s="72">
        <v>0</v>
      </c>
      <c r="X13" s="1">
        <f t="shared" si="9"/>
        <v>36.576530612244895</v>
      </c>
      <c r="Y13" s="1">
        <f t="shared" si="10"/>
        <v>1.7673195710184331</v>
      </c>
      <c r="Z13" s="1">
        <f t="shared" si="11"/>
        <v>2.7960827723441271E-3</v>
      </c>
      <c r="AA13" s="1">
        <f t="shared" si="12"/>
        <v>0</v>
      </c>
      <c r="AB13" s="1">
        <f t="shared" si="13"/>
        <v>2.9958029703687078E-3</v>
      </c>
      <c r="AC13" s="1">
        <v>0.16561714085861573</v>
      </c>
      <c r="AD13" s="64">
        <f t="shared" si="14"/>
        <v>0.90628908117439255</v>
      </c>
      <c r="AE13" s="12">
        <f t="shared" si="15"/>
        <v>36.41091347138628</v>
      </c>
      <c r="AF13" s="72">
        <v>0</v>
      </c>
      <c r="AG13" s="1">
        <f t="shared" si="16"/>
        <v>36.576530612244895</v>
      </c>
      <c r="AH13" s="1">
        <f t="shared" si="17"/>
        <v>0.16561714085861468</v>
      </c>
      <c r="AI13" s="1">
        <f t="shared" si="18"/>
        <v>2.5622147796750536E-4</v>
      </c>
      <c r="AJ13" s="1">
        <f t="shared" si="19"/>
        <v>0</v>
      </c>
      <c r="AK13" s="1">
        <f t="shared" si="20"/>
        <v>2.7452301210804144E-4</v>
      </c>
      <c r="AL13" s="1">
        <v>0.15812365532594283</v>
      </c>
      <c r="AM13" s="64">
        <f t="shared" si="21"/>
        <v>4.5245833214020648E-2</v>
      </c>
      <c r="AN13" s="12">
        <f t="shared" si="22"/>
        <v>36.41840695691895</v>
      </c>
      <c r="AO13" s="72">
        <v>0</v>
      </c>
      <c r="AP13" s="1">
        <f t="shared" si="23"/>
        <v>36.576530612244895</v>
      </c>
      <c r="AQ13" s="1">
        <f t="shared" si="24"/>
        <v>0.15812365532594441</v>
      </c>
      <c r="AR13" s="1">
        <f t="shared" si="25"/>
        <v>2.4460337352213209E-4</v>
      </c>
      <c r="AS13" s="1">
        <f t="shared" si="26"/>
        <v>0</v>
      </c>
      <c r="AT13" s="1">
        <f t="shared" si="27"/>
        <v>2.6207504305942724E-4</v>
      </c>
      <c r="AU13" s="1">
        <v>0.15097046895513125</v>
      </c>
      <c r="AV13" s="64">
        <f t="shared" si="28"/>
        <v>4.5237926963351049E-2</v>
      </c>
      <c r="AW13" s="12">
        <f t="shared" si="29"/>
        <v>36.425560143289765</v>
      </c>
      <c r="AX13" s="72">
        <v>0</v>
      </c>
      <c r="AY13" s="1">
        <f t="shared" si="30"/>
        <v>36.576530612244895</v>
      </c>
      <c r="AZ13" s="1">
        <f t="shared" si="31"/>
        <v>0.15097046895512989</v>
      </c>
      <c r="BA13" s="1">
        <f t="shared" si="32"/>
        <v>2.3351510814263035E-4</v>
      </c>
      <c r="BB13" s="1">
        <f t="shared" si="33"/>
        <v>0</v>
      </c>
      <c r="BC13" s="1">
        <f t="shared" si="34"/>
        <v>2.5019475872424676E-4</v>
      </c>
      <c r="BD13" s="1">
        <v>0.14414192061863115</v>
      </c>
      <c r="BE13" s="64">
        <f t="shared" si="35"/>
        <v>4.5231020236999209E-2</v>
      </c>
      <c r="BF13" s="12">
        <f t="shared" si="36"/>
        <v>36.432388691626265</v>
      </c>
      <c r="BG13" s="72">
        <v>0</v>
      </c>
      <c r="BH13" s="1">
        <f t="shared" si="37"/>
        <v>36.576530612244895</v>
      </c>
      <c r="BI13" s="1">
        <f t="shared" si="38"/>
        <v>0.14414192061862963</v>
      </c>
      <c r="BJ13" s="1">
        <f t="shared" si="39"/>
        <v>2.229321005409151E-4</v>
      </c>
      <c r="BK13" s="1">
        <f t="shared" si="40"/>
        <v>0</v>
      </c>
      <c r="BL13" s="1">
        <f t="shared" si="41"/>
        <v>2.388558220081233E-4</v>
      </c>
      <c r="BM13" s="1">
        <v>0.13762310416825105</v>
      </c>
      <c r="BN13" s="64">
        <f t="shared" si="42"/>
        <v>4.5224986751952967E-2</v>
      </c>
    </row>
    <row r="14" spans="2:66" x14ac:dyDescent="0.3">
      <c r="B14" s="79">
        <f t="shared" si="43"/>
        <v>5</v>
      </c>
      <c r="C14" s="78">
        <f t="shared" si="44"/>
        <v>2.75</v>
      </c>
      <c r="D14" s="77">
        <v>1.1000000000000001</v>
      </c>
      <c r="E14" s="72">
        <v>0.13</v>
      </c>
      <c r="F14" s="72">
        <v>0.4</v>
      </c>
      <c r="G14" s="72">
        <v>2.0999999999999999E-3</v>
      </c>
      <c r="H14" s="72">
        <v>19</v>
      </c>
      <c r="I14" s="72" t="b">
        <v>0</v>
      </c>
      <c r="J14" s="76">
        <v>2</v>
      </c>
      <c r="K14" s="1">
        <f t="shared" si="45"/>
        <v>52.25</v>
      </c>
      <c r="L14" s="1">
        <f t="shared" si="0"/>
        <v>27.5</v>
      </c>
      <c r="M14" s="1">
        <f t="shared" si="46"/>
        <v>22.25</v>
      </c>
      <c r="N14">
        <f t="shared" si="1"/>
        <v>24.75</v>
      </c>
      <c r="O14" s="75">
        <f t="shared" si="2"/>
        <v>13.610586011342155</v>
      </c>
      <c r="P14" s="1">
        <f t="shared" si="3"/>
        <v>38.360586011342157</v>
      </c>
      <c r="Q14" s="1">
        <f t="shared" si="4"/>
        <v>0</v>
      </c>
      <c r="R14" s="1">
        <f t="shared" si="5"/>
        <v>7.6124011892953106E-2</v>
      </c>
      <c r="S14" s="1">
        <f t="shared" si="6"/>
        <v>9.9686206050295725E-2</v>
      </c>
      <c r="T14" s="73">
        <v>3.3667518416273765</v>
      </c>
      <c r="U14" s="74">
        <f t="shared" si="7"/>
        <v>0.75263726052487745</v>
      </c>
      <c r="V14" s="73">
        <f t="shared" si="8"/>
        <v>34.993834169714781</v>
      </c>
      <c r="W14" s="72">
        <v>0</v>
      </c>
      <c r="X14" s="1">
        <f t="shared" si="9"/>
        <v>38.360586011342157</v>
      </c>
      <c r="Y14" s="1">
        <f t="shared" si="10"/>
        <v>3.3667518416273765</v>
      </c>
      <c r="Z14" s="1">
        <f t="shared" si="11"/>
        <v>0</v>
      </c>
      <c r="AA14" s="1">
        <f t="shared" si="12"/>
        <v>1.5957481425993719E-2</v>
      </c>
      <c r="AB14" s="1">
        <f t="shared" si="13"/>
        <v>2.0896701867372726E-2</v>
      </c>
      <c r="AC14" s="1">
        <v>0.32291686864819763</v>
      </c>
      <c r="AD14" s="64">
        <f t="shared" si="14"/>
        <v>0.90408652498364406</v>
      </c>
      <c r="AE14" s="12">
        <f t="shared" si="15"/>
        <v>38.037669142693957</v>
      </c>
      <c r="AF14" s="72">
        <v>0</v>
      </c>
      <c r="AG14" s="1">
        <f t="shared" si="16"/>
        <v>38.360586011342157</v>
      </c>
      <c r="AH14" s="1">
        <f t="shared" si="17"/>
        <v>0.3229168686481998</v>
      </c>
      <c r="AI14" s="1">
        <f t="shared" si="18"/>
        <v>0</v>
      </c>
      <c r="AJ14" s="1">
        <f t="shared" si="19"/>
        <v>1.4685345789750015E-3</v>
      </c>
      <c r="AK14" s="1">
        <f t="shared" si="20"/>
        <v>1.9230809962767874E-3</v>
      </c>
      <c r="AL14" s="1">
        <v>0.30830775667041838</v>
      </c>
      <c r="AM14" s="64">
        <f t="shared" si="21"/>
        <v>4.5241092665546878E-2</v>
      </c>
      <c r="AN14" s="12">
        <f t="shared" si="22"/>
        <v>38.052278254671741</v>
      </c>
      <c r="AO14" s="72">
        <v>0</v>
      </c>
      <c r="AP14" s="1">
        <f t="shared" si="23"/>
        <v>38.360586011342157</v>
      </c>
      <c r="AQ14" s="1">
        <f t="shared" si="24"/>
        <v>0.30830775667041621</v>
      </c>
      <c r="AR14" s="1">
        <f t="shared" si="25"/>
        <v>0</v>
      </c>
      <c r="AS14" s="1">
        <f t="shared" si="26"/>
        <v>1.4018276668275903E-3</v>
      </c>
      <c r="AT14" s="1">
        <f t="shared" si="27"/>
        <v>1.8357267065599397E-3</v>
      </c>
      <c r="AU14" s="1">
        <v>0.29436182967023905</v>
      </c>
      <c r="AV14" s="64">
        <f t="shared" si="28"/>
        <v>4.5233785717189945E-2</v>
      </c>
      <c r="AW14" s="12">
        <f t="shared" si="29"/>
        <v>38.06622418167192</v>
      </c>
      <c r="AX14" s="72">
        <v>0</v>
      </c>
      <c r="AY14" s="1">
        <f t="shared" si="30"/>
        <v>38.360586011342157</v>
      </c>
      <c r="AZ14" s="1">
        <f t="shared" si="31"/>
        <v>0.29436182967023683</v>
      </c>
      <c r="BA14" s="1">
        <f t="shared" si="32"/>
        <v>0</v>
      </c>
      <c r="BB14" s="1">
        <f t="shared" si="33"/>
        <v>1.3381728232338169E-3</v>
      </c>
      <c r="BC14" s="1">
        <f t="shared" si="34"/>
        <v>1.7523691732823793E-3</v>
      </c>
      <c r="BD14" s="1">
        <v>0.28104860869648152</v>
      </c>
      <c r="BE14" s="64">
        <f t="shared" si="35"/>
        <v>4.5227402576854647E-2</v>
      </c>
      <c r="BF14" s="12">
        <f t="shared" si="36"/>
        <v>38.079537402645677</v>
      </c>
      <c r="BG14" s="72">
        <v>0</v>
      </c>
      <c r="BH14" s="1">
        <f t="shared" si="37"/>
        <v>38.360586011342157</v>
      </c>
      <c r="BI14" s="1">
        <f t="shared" si="38"/>
        <v>0.28104860869648007</v>
      </c>
      <c r="BJ14" s="1">
        <f t="shared" si="39"/>
        <v>0</v>
      </c>
      <c r="BK14" s="1">
        <f t="shared" si="40"/>
        <v>1.2774276592864321E-3</v>
      </c>
      <c r="BL14" s="1">
        <f t="shared" si="41"/>
        <v>1.6728219347798515E-3</v>
      </c>
      <c r="BM14" s="1">
        <v>0.26833907727121764</v>
      </c>
      <c r="BN14" s="64">
        <f t="shared" si="42"/>
        <v>4.5221826516807839E-2</v>
      </c>
    </row>
    <row r="15" spans="2:66" x14ac:dyDescent="0.3">
      <c r="B15" s="79">
        <f t="shared" si="43"/>
        <v>6</v>
      </c>
      <c r="C15" s="78">
        <f t="shared" si="44"/>
        <v>3.25</v>
      </c>
      <c r="D15" s="77">
        <v>1.1000000000000001</v>
      </c>
      <c r="E15" s="72">
        <v>0.13</v>
      </c>
      <c r="F15" s="72">
        <v>0.4</v>
      </c>
      <c r="G15" s="72">
        <v>2.0999999999999999E-3</v>
      </c>
      <c r="H15" s="72">
        <v>19</v>
      </c>
      <c r="I15" s="72" t="b">
        <v>0</v>
      </c>
      <c r="J15" s="76">
        <v>2</v>
      </c>
      <c r="K15" s="1">
        <f t="shared" si="45"/>
        <v>61.75</v>
      </c>
      <c r="L15" s="1">
        <f t="shared" si="0"/>
        <v>32.5</v>
      </c>
      <c r="M15" s="1">
        <f t="shared" si="46"/>
        <v>26.75</v>
      </c>
      <c r="N15">
        <f t="shared" si="1"/>
        <v>29.25</v>
      </c>
      <c r="O15" s="75">
        <f t="shared" si="2"/>
        <v>11.52</v>
      </c>
      <c r="P15" s="1">
        <f t="shared" si="3"/>
        <v>40.769999999999996</v>
      </c>
      <c r="Q15" s="1">
        <f t="shared" si="4"/>
        <v>0</v>
      </c>
      <c r="R15" s="1">
        <f t="shared" si="5"/>
        <v>5.7685936413582974E-2</v>
      </c>
      <c r="S15" s="1">
        <f t="shared" si="6"/>
        <v>8.9275853973402222E-2</v>
      </c>
      <c r="T15" s="73">
        <v>4.6626512230868311</v>
      </c>
      <c r="U15" s="74">
        <f t="shared" si="7"/>
        <v>0.59525597021815702</v>
      </c>
      <c r="V15" s="73">
        <f t="shared" si="8"/>
        <v>36.107348776913163</v>
      </c>
      <c r="W15" s="72">
        <v>0</v>
      </c>
      <c r="X15" s="1">
        <f t="shared" si="9"/>
        <v>40.769999999999996</v>
      </c>
      <c r="Y15" s="1">
        <f t="shared" si="10"/>
        <v>4.6626512230868329</v>
      </c>
      <c r="Z15" s="1">
        <f t="shared" si="11"/>
        <v>0</v>
      </c>
      <c r="AA15" s="1">
        <f t="shared" si="12"/>
        <v>2.1098044168068594E-2</v>
      </c>
      <c r="AB15" s="1">
        <f t="shared" si="13"/>
        <v>3.2651735022010915E-2</v>
      </c>
      <c r="AC15" s="1">
        <v>0.46400135126371317</v>
      </c>
      <c r="AD15" s="64">
        <f t="shared" si="14"/>
        <v>0.90048551155483414</v>
      </c>
      <c r="AE15" s="12">
        <f t="shared" si="15"/>
        <v>40.305998648736285</v>
      </c>
      <c r="AF15" s="72">
        <v>0</v>
      </c>
      <c r="AG15" s="1">
        <f t="shared" si="16"/>
        <v>40.769999999999996</v>
      </c>
      <c r="AH15" s="1">
        <f t="shared" si="17"/>
        <v>0.46400135126371111</v>
      </c>
      <c r="AI15" s="1">
        <f t="shared" si="18"/>
        <v>0</v>
      </c>
      <c r="AJ15" s="1">
        <f t="shared" si="19"/>
        <v>1.9884101822455909E-3</v>
      </c>
      <c r="AK15" s="1">
        <f t="shared" si="20"/>
        <v>3.0773014725229385E-3</v>
      </c>
      <c r="AL15" s="1">
        <v>0.44301296674367302</v>
      </c>
      <c r="AM15" s="64">
        <f t="shared" si="21"/>
        <v>4.5233455598515104E-2</v>
      </c>
      <c r="AN15" s="12">
        <f t="shared" si="22"/>
        <v>40.326987033256323</v>
      </c>
      <c r="AO15" s="72">
        <v>0</v>
      </c>
      <c r="AP15" s="1">
        <f t="shared" si="23"/>
        <v>40.769999999999996</v>
      </c>
      <c r="AQ15" s="1">
        <f t="shared" si="24"/>
        <v>0.44301296674367308</v>
      </c>
      <c r="AR15" s="1">
        <f t="shared" si="25"/>
        <v>0</v>
      </c>
      <c r="AS15" s="1">
        <f t="shared" si="26"/>
        <v>1.8979743417777554E-3</v>
      </c>
      <c r="AT15" s="1">
        <f t="shared" si="27"/>
        <v>2.9373412432274785E-3</v>
      </c>
      <c r="AU15" s="1">
        <v>0.42297676870091722</v>
      </c>
      <c r="AV15" s="64">
        <f t="shared" si="28"/>
        <v>4.522711420848502E-2</v>
      </c>
      <c r="AW15" s="12">
        <f t="shared" si="29"/>
        <v>40.347023231299076</v>
      </c>
      <c r="AX15" s="72">
        <v>0</v>
      </c>
      <c r="AY15" s="1">
        <f t="shared" si="30"/>
        <v>40.769999999999996</v>
      </c>
      <c r="AZ15" s="1">
        <f t="shared" si="31"/>
        <v>0.42297676870092005</v>
      </c>
      <c r="BA15" s="1">
        <f t="shared" si="32"/>
        <v>0</v>
      </c>
      <c r="BB15" s="1">
        <f t="shared" si="33"/>
        <v>1.8116852343076865E-3</v>
      </c>
      <c r="BC15" s="1">
        <f t="shared" si="34"/>
        <v>2.8037985769047524E-3</v>
      </c>
      <c r="BD15" s="1">
        <v>0.40384909319282269</v>
      </c>
      <c r="BE15" s="64">
        <f t="shared" si="35"/>
        <v>4.5221574619437876E-2</v>
      </c>
      <c r="BF15" s="12">
        <f t="shared" si="36"/>
        <v>40.366150906807171</v>
      </c>
      <c r="BG15" s="72">
        <v>0</v>
      </c>
      <c r="BH15" s="1">
        <f t="shared" si="37"/>
        <v>40.769999999999996</v>
      </c>
      <c r="BI15" s="1">
        <f t="shared" si="38"/>
        <v>0.40384909319282514</v>
      </c>
      <c r="BJ15" s="1">
        <f t="shared" si="39"/>
        <v>0</v>
      </c>
      <c r="BK15" s="1">
        <f t="shared" si="40"/>
        <v>1.7293487962328055E-3</v>
      </c>
      <c r="BL15" s="1">
        <f t="shared" si="41"/>
        <v>2.6763731370269611E-3</v>
      </c>
      <c r="BM15" s="1">
        <v>0.38558835556206617</v>
      </c>
      <c r="BN15" s="64">
        <f t="shared" si="42"/>
        <v>4.5216735504814087E-2</v>
      </c>
    </row>
    <row r="16" spans="2:66" x14ac:dyDescent="0.3">
      <c r="B16" s="79">
        <f t="shared" si="43"/>
        <v>7</v>
      </c>
      <c r="C16" s="78">
        <f t="shared" si="44"/>
        <v>3.75</v>
      </c>
      <c r="D16" s="77">
        <v>1.1000000000000001</v>
      </c>
      <c r="E16" s="72">
        <v>0.13</v>
      </c>
      <c r="F16" s="72">
        <v>0.4</v>
      </c>
      <c r="G16" s="72">
        <v>2.0999999999999999E-3</v>
      </c>
      <c r="H16" s="72">
        <v>19</v>
      </c>
      <c r="I16" s="72" t="b">
        <v>0</v>
      </c>
      <c r="J16" s="76">
        <v>2</v>
      </c>
      <c r="K16" s="1">
        <f t="shared" si="45"/>
        <v>71.25</v>
      </c>
      <c r="L16" s="1">
        <f t="shared" si="0"/>
        <v>37.5</v>
      </c>
      <c r="M16" s="1">
        <f t="shared" si="46"/>
        <v>31.25</v>
      </c>
      <c r="N16">
        <f t="shared" si="1"/>
        <v>33.75</v>
      </c>
      <c r="O16" s="75">
        <f t="shared" si="2"/>
        <v>9.8765432098765444</v>
      </c>
      <c r="P16" s="1">
        <f t="shared" si="3"/>
        <v>43.626543209876544</v>
      </c>
      <c r="Q16" s="1">
        <f t="shared" si="4"/>
        <v>0</v>
      </c>
      <c r="R16" s="1">
        <f t="shared" si="5"/>
        <v>4.4590810180753004E-2</v>
      </c>
      <c r="S16" s="1">
        <f t="shared" si="6"/>
        <v>7.9626446751344643E-2</v>
      </c>
      <c r="T16" s="73">
        <v>5.573348906107551</v>
      </c>
      <c r="U16" s="74">
        <f t="shared" si="7"/>
        <v>0.43569842325661057</v>
      </c>
      <c r="V16" s="73">
        <f t="shared" si="8"/>
        <v>38.05319430376899</v>
      </c>
      <c r="W16" s="72">
        <v>0</v>
      </c>
      <c r="X16" s="1">
        <f t="shared" si="9"/>
        <v>43.626543209876544</v>
      </c>
      <c r="Y16" s="1">
        <f t="shared" si="10"/>
        <v>5.5733489061075545</v>
      </c>
      <c r="Z16" s="1">
        <f t="shared" si="11"/>
        <v>0</v>
      </c>
      <c r="AA16" s="1">
        <f t="shared" si="12"/>
        <v>2.3743873579725492E-2</v>
      </c>
      <c r="AB16" s="1">
        <f t="shared" si="13"/>
        <v>4.2399774249509803E-2</v>
      </c>
      <c r="AC16" s="1">
        <v>0.58179038158257312</v>
      </c>
      <c r="AD16" s="64">
        <f t="shared" si="14"/>
        <v>0.89561206531587889</v>
      </c>
      <c r="AE16" s="12">
        <f t="shared" si="15"/>
        <v>43.044752828293973</v>
      </c>
      <c r="AF16" s="72">
        <v>0</v>
      </c>
      <c r="AG16" s="1">
        <f t="shared" si="16"/>
        <v>43.626543209876544</v>
      </c>
      <c r="AH16" s="1">
        <f t="shared" si="17"/>
        <v>0.58179038158257157</v>
      </c>
      <c r="AI16" s="1">
        <f t="shared" si="18"/>
        <v>0</v>
      </c>
      <c r="AJ16" s="1">
        <f t="shared" si="19"/>
        <v>2.3322337059752218E-3</v>
      </c>
      <c r="AK16" s="1">
        <f t="shared" si="20"/>
        <v>4.1647030463843248E-3</v>
      </c>
      <c r="AL16" s="1">
        <v>0.5554798982731024</v>
      </c>
      <c r="AM16" s="64">
        <f t="shared" si="21"/>
        <v>4.5223304032459333E-2</v>
      </c>
      <c r="AN16" s="12">
        <f t="shared" si="22"/>
        <v>43.071063311603439</v>
      </c>
      <c r="AO16" s="72">
        <v>0</v>
      </c>
      <c r="AP16" s="1">
        <f t="shared" si="23"/>
        <v>43.626543209876544</v>
      </c>
      <c r="AQ16" s="1">
        <f t="shared" si="24"/>
        <v>0.55547989827310573</v>
      </c>
      <c r="AR16" s="1">
        <f t="shared" si="25"/>
        <v>0</v>
      </c>
      <c r="AS16" s="1">
        <f t="shared" si="26"/>
        <v>2.2260836528469482E-3</v>
      </c>
      <c r="AT16" s="1">
        <f t="shared" si="27"/>
        <v>3.9751493800838358E-3</v>
      </c>
      <c r="AU16" s="1">
        <v>0.53036207144230207</v>
      </c>
      <c r="AV16" s="64">
        <f t="shared" si="28"/>
        <v>4.5218246256778616E-2</v>
      </c>
      <c r="AW16" s="12">
        <f t="shared" si="29"/>
        <v>43.09618113843424</v>
      </c>
      <c r="AX16" s="72">
        <v>0</v>
      </c>
      <c r="AY16" s="1">
        <f t="shared" si="30"/>
        <v>43.626543209876544</v>
      </c>
      <c r="AZ16" s="1">
        <f t="shared" si="31"/>
        <v>0.53036207144230474</v>
      </c>
      <c r="BA16" s="1">
        <f t="shared" si="32"/>
        <v>0</v>
      </c>
      <c r="BB16" s="1">
        <f t="shared" si="33"/>
        <v>2.1248058740936122E-3</v>
      </c>
      <c r="BC16" s="1">
        <f t="shared" si="34"/>
        <v>3.7942962037385932E-3</v>
      </c>
      <c r="BD16" s="1">
        <v>0.50638237193874902</v>
      </c>
      <c r="BE16" s="64">
        <f t="shared" si="35"/>
        <v>4.5213828052114713E-2</v>
      </c>
      <c r="BF16" s="12">
        <f t="shared" si="36"/>
        <v>43.120160837937796</v>
      </c>
      <c r="BG16" s="72">
        <v>0</v>
      </c>
      <c r="BH16" s="1">
        <f t="shared" si="37"/>
        <v>43.626543209876544</v>
      </c>
      <c r="BI16" s="1">
        <f t="shared" si="38"/>
        <v>0.50638237193874858</v>
      </c>
      <c r="BJ16" s="1">
        <f t="shared" si="39"/>
        <v>0</v>
      </c>
      <c r="BK16" s="1">
        <f t="shared" si="40"/>
        <v>2.0281722085781725E-3</v>
      </c>
      <c r="BL16" s="1">
        <f t="shared" si="41"/>
        <v>3.6217360867467365E-3</v>
      </c>
      <c r="BM16" s="1">
        <v>0.4834888408148601</v>
      </c>
      <c r="BN16" s="64">
        <f t="shared" si="42"/>
        <v>4.5209968578166948E-2</v>
      </c>
    </row>
    <row r="17" spans="2:66" x14ac:dyDescent="0.3">
      <c r="B17" s="79">
        <f t="shared" si="43"/>
        <v>8</v>
      </c>
      <c r="C17" s="78">
        <f t="shared" si="44"/>
        <v>4.25</v>
      </c>
      <c r="D17" s="77">
        <v>1.1000000000000001</v>
      </c>
      <c r="E17" s="72">
        <v>0.13</v>
      </c>
      <c r="F17" s="72">
        <v>0.4</v>
      </c>
      <c r="G17" s="72">
        <v>2.0999999999999999E-3</v>
      </c>
      <c r="H17" s="72">
        <v>19</v>
      </c>
      <c r="I17" s="72" t="b">
        <v>0</v>
      </c>
      <c r="J17" s="76">
        <v>2</v>
      </c>
      <c r="K17" s="1">
        <f t="shared" si="45"/>
        <v>80.75</v>
      </c>
      <c r="L17" s="1">
        <f t="shared" si="0"/>
        <v>42.5</v>
      </c>
      <c r="M17" s="1">
        <f t="shared" si="46"/>
        <v>35.75</v>
      </c>
      <c r="N17">
        <f t="shared" si="1"/>
        <v>38.25</v>
      </c>
      <c r="O17" s="75">
        <f t="shared" si="2"/>
        <v>8.5612366230677761</v>
      </c>
      <c r="P17" s="1">
        <f t="shared" si="3"/>
        <v>46.811236623067778</v>
      </c>
      <c r="Q17" s="1">
        <f t="shared" si="4"/>
        <v>0</v>
      </c>
      <c r="R17" s="1">
        <f t="shared" si="5"/>
        <v>3.5087469858118822E-2</v>
      </c>
      <c r="S17" s="1">
        <f t="shared" si="6"/>
        <v>7.1010355665240471E-2</v>
      </c>
      <c r="T17" s="73">
        <v>6.0765294456041206</v>
      </c>
      <c r="U17" s="74">
        <f t="shared" si="7"/>
        <v>0.29022760225651867</v>
      </c>
      <c r="V17" s="73">
        <f t="shared" si="8"/>
        <v>40.734707177463655</v>
      </c>
      <c r="W17" s="72">
        <v>0</v>
      </c>
      <c r="X17" s="1">
        <f t="shared" si="9"/>
        <v>46.811236623067778</v>
      </c>
      <c r="Y17" s="1">
        <f t="shared" si="10"/>
        <v>6.0765294456041232</v>
      </c>
      <c r="Z17" s="1">
        <f t="shared" si="11"/>
        <v>0</v>
      </c>
      <c r="AA17" s="1">
        <f t="shared" si="12"/>
        <v>2.4154206165838216E-2</v>
      </c>
      <c r="AB17" s="1">
        <f t="shared" si="13"/>
        <v>4.8883512478482098E-2</v>
      </c>
      <c r="AC17" s="1">
        <v>0.67037752607940304</v>
      </c>
      <c r="AD17" s="64">
        <f t="shared" si="14"/>
        <v>0.88967756478751747</v>
      </c>
      <c r="AE17" s="12">
        <f t="shared" si="15"/>
        <v>46.140859096988372</v>
      </c>
      <c r="AF17" s="72">
        <v>0</v>
      </c>
      <c r="AG17" s="1">
        <f t="shared" si="16"/>
        <v>46.811236623067778</v>
      </c>
      <c r="AH17" s="1">
        <f t="shared" si="17"/>
        <v>0.67037752607940604</v>
      </c>
      <c r="AI17" s="1">
        <f t="shared" si="18"/>
        <v>0</v>
      </c>
      <c r="AJ17" s="1">
        <f t="shared" si="19"/>
        <v>2.5057750969954247E-3</v>
      </c>
      <c r="AK17" s="1">
        <f t="shared" si="20"/>
        <v>5.0712115058240735E-3</v>
      </c>
      <c r="AL17" s="1">
        <v>0.64006898989202943</v>
      </c>
      <c r="AM17" s="64">
        <f t="shared" si="21"/>
        <v>4.5211145971183031E-2</v>
      </c>
      <c r="AN17" s="12">
        <f t="shared" si="22"/>
        <v>46.171167633175749</v>
      </c>
      <c r="AO17" s="72">
        <v>0</v>
      </c>
      <c r="AP17" s="1">
        <f t="shared" si="23"/>
        <v>46.811236623067778</v>
      </c>
      <c r="AQ17" s="1">
        <f t="shared" si="24"/>
        <v>0.64006898989202909</v>
      </c>
      <c r="AR17" s="1">
        <f t="shared" si="25"/>
        <v>0</v>
      </c>
      <c r="AS17" s="1">
        <f t="shared" si="26"/>
        <v>2.3917025891329372E-3</v>
      </c>
      <c r="AT17" s="1">
        <f t="shared" si="27"/>
        <v>4.840350478007135E-3</v>
      </c>
      <c r="AU17" s="1">
        <v>0.61113299054839043</v>
      </c>
      <c r="AV17" s="64">
        <f t="shared" si="28"/>
        <v>4.520762574128101E-2</v>
      </c>
      <c r="AW17" s="12">
        <f t="shared" si="29"/>
        <v>46.200103632519387</v>
      </c>
      <c r="AX17" s="72">
        <v>0</v>
      </c>
      <c r="AY17" s="1">
        <f t="shared" si="30"/>
        <v>46.811236623067778</v>
      </c>
      <c r="AZ17" s="1">
        <f t="shared" si="31"/>
        <v>0.61113299054839132</v>
      </c>
      <c r="BA17" s="1">
        <f t="shared" si="32"/>
        <v>0</v>
      </c>
      <c r="BB17" s="1">
        <f t="shared" si="33"/>
        <v>2.2828657606934074E-3</v>
      </c>
      <c r="BC17" s="1">
        <f t="shared" si="34"/>
        <v>4.6200854680699911E-3</v>
      </c>
      <c r="BD17" s="1">
        <v>0.58350699828739871</v>
      </c>
      <c r="BE17" s="64">
        <f t="shared" si="35"/>
        <v>4.5204550708681013E-2</v>
      </c>
      <c r="BF17" s="12">
        <f t="shared" si="36"/>
        <v>46.22772962478038</v>
      </c>
      <c r="BG17" s="72">
        <v>0</v>
      </c>
      <c r="BH17" s="1">
        <f t="shared" si="37"/>
        <v>46.811236623067778</v>
      </c>
      <c r="BI17" s="1">
        <f t="shared" si="38"/>
        <v>0.58350699828739749</v>
      </c>
      <c r="BJ17" s="1">
        <f t="shared" si="39"/>
        <v>0</v>
      </c>
      <c r="BK17" s="1">
        <f t="shared" si="40"/>
        <v>2.1790198438909731E-3</v>
      </c>
      <c r="BL17" s="1">
        <f t="shared" si="41"/>
        <v>4.4099211126364928E-3</v>
      </c>
      <c r="BM17" s="1">
        <v>0.5571313939635435</v>
      </c>
      <c r="BN17" s="64">
        <f t="shared" si="42"/>
        <v>4.5201864589913821E-2</v>
      </c>
    </row>
    <row r="18" spans="2:66" x14ac:dyDescent="0.3">
      <c r="B18" s="79">
        <f t="shared" si="43"/>
        <v>9</v>
      </c>
      <c r="C18" s="78">
        <f t="shared" si="44"/>
        <v>4.75</v>
      </c>
      <c r="D18" s="77">
        <v>1.1000000000000001</v>
      </c>
      <c r="E18" s="72">
        <v>0.13</v>
      </c>
      <c r="F18" s="72">
        <v>0.4</v>
      </c>
      <c r="G18" s="72">
        <v>2.0999999999999999E-3</v>
      </c>
      <c r="H18" s="72">
        <v>19</v>
      </c>
      <c r="I18" s="72" t="b">
        <v>0</v>
      </c>
      <c r="J18" s="76">
        <v>2</v>
      </c>
      <c r="K18" s="1">
        <f t="shared" si="45"/>
        <v>90.25</v>
      </c>
      <c r="L18" s="1">
        <f t="shared" si="0"/>
        <v>47.5</v>
      </c>
      <c r="M18" s="1">
        <f t="shared" si="46"/>
        <v>40.25</v>
      </c>
      <c r="N18">
        <f t="shared" si="1"/>
        <v>42.75</v>
      </c>
      <c r="O18" s="75">
        <f t="shared" si="2"/>
        <v>7.4921956295525494</v>
      </c>
      <c r="P18" s="1">
        <f t="shared" si="3"/>
        <v>50.242195629552548</v>
      </c>
      <c r="Q18" s="1">
        <f t="shared" si="4"/>
        <v>0</v>
      </c>
      <c r="R18" s="1">
        <f t="shared" si="5"/>
        <v>2.8052996457087392E-2</v>
      </c>
      <c r="S18" s="1">
        <f t="shared" si="6"/>
        <v>6.3453206271983392E-2</v>
      </c>
      <c r="T18" s="73">
        <v>6.1991198083056789</v>
      </c>
      <c r="U18" s="74">
        <f t="shared" si="7"/>
        <v>0.17258970336364476</v>
      </c>
      <c r="V18" s="73">
        <f t="shared" si="8"/>
        <v>44.043075821246866</v>
      </c>
      <c r="W18" s="72">
        <v>0</v>
      </c>
      <c r="X18" s="1">
        <f t="shared" si="9"/>
        <v>50.242195629552548</v>
      </c>
      <c r="Y18" s="1">
        <f t="shared" si="10"/>
        <v>6.1991198083056815</v>
      </c>
      <c r="Z18" s="1">
        <f t="shared" si="11"/>
        <v>0</v>
      </c>
      <c r="AA18" s="1">
        <f t="shared" si="12"/>
        <v>2.2876387669059778E-2</v>
      </c>
      <c r="AB18" s="1">
        <f t="shared" si="13"/>
        <v>5.1744210203825691E-2</v>
      </c>
      <c r="AC18" s="1">
        <v>0.72532629793567227</v>
      </c>
      <c r="AD18" s="64">
        <f t="shared" si="14"/>
        <v>0.8829952766901088</v>
      </c>
      <c r="AE18" s="12">
        <f t="shared" si="15"/>
        <v>49.516869331616874</v>
      </c>
      <c r="AF18" s="72">
        <v>0</v>
      </c>
      <c r="AG18" s="1">
        <f t="shared" si="16"/>
        <v>50.242195629552548</v>
      </c>
      <c r="AH18" s="1">
        <f t="shared" si="17"/>
        <v>0.72532629793567338</v>
      </c>
      <c r="AI18" s="1">
        <f t="shared" si="18"/>
        <v>0</v>
      </c>
      <c r="AJ18" s="1">
        <f t="shared" si="19"/>
        <v>2.5261725130235942E-3</v>
      </c>
      <c r="AK18" s="1">
        <f t="shared" si="20"/>
        <v>5.7139616366009864E-3</v>
      </c>
      <c r="AL18" s="1">
        <v>0.69254329720758867</v>
      </c>
      <c r="AM18" s="64">
        <f t="shared" si="21"/>
        <v>4.5197590134794963E-2</v>
      </c>
      <c r="AN18" s="12">
        <f t="shared" si="22"/>
        <v>49.549652332344962</v>
      </c>
      <c r="AO18" s="72">
        <v>0</v>
      </c>
      <c r="AP18" s="1">
        <f t="shared" si="23"/>
        <v>50.242195629552548</v>
      </c>
      <c r="AQ18" s="1">
        <f t="shared" si="24"/>
        <v>0.69254329720758534</v>
      </c>
      <c r="AR18" s="1">
        <f t="shared" si="25"/>
        <v>0</v>
      </c>
      <c r="AS18" s="1">
        <f t="shared" si="26"/>
        <v>2.4111994496960349E-3</v>
      </c>
      <c r="AT18" s="1">
        <f t="shared" si="27"/>
        <v>5.4539035171696027E-3</v>
      </c>
      <c r="AU18" s="1">
        <v>0.66124325958962682</v>
      </c>
      <c r="AV18" s="64">
        <f t="shared" si="28"/>
        <v>4.5195784500642655E-2</v>
      </c>
      <c r="AW18" s="12">
        <f t="shared" si="29"/>
        <v>49.580952369962922</v>
      </c>
      <c r="AX18" s="72">
        <v>0</v>
      </c>
      <c r="AY18" s="1">
        <f t="shared" si="30"/>
        <v>50.242195629552548</v>
      </c>
      <c r="AZ18" s="1">
        <f t="shared" si="31"/>
        <v>0.66124325958962515</v>
      </c>
      <c r="BA18" s="1">
        <f t="shared" si="32"/>
        <v>0</v>
      </c>
      <c r="BB18" s="1">
        <f t="shared" si="33"/>
        <v>2.3014982399564361E-3</v>
      </c>
      <c r="BC18" s="1">
        <f t="shared" si="34"/>
        <v>5.2057698284728908E-3</v>
      </c>
      <c r="BD18" s="1">
        <v>0.63135889467786899</v>
      </c>
      <c r="BE18" s="64">
        <f t="shared" si="35"/>
        <v>4.5194207242736595E-2</v>
      </c>
      <c r="BF18" s="12">
        <f t="shared" si="36"/>
        <v>49.610836734874681</v>
      </c>
      <c r="BG18" s="72">
        <v>0</v>
      </c>
      <c r="BH18" s="1">
        <f t="shared" si="37"/>
        <v>50.242195629552548</v>
      </c>
      <c r="BI18" s="1">
        <f t="shared" si="38"/>
        <v>0.63135889467786654</v>
      </c>
      <c r="BJ18" s="1">
        <f t="shared" si="39"/>
        <v>0</v>
      </c>
      <c r="BK18" s="1">
        <f t="shared" si="40"/>
        <v>2.1968233245330949E-3</v>
      </c>
      <c r="BL18" s="1">
        <f t="shared" si="41"/>
        <v>4.9690051388248573E-3</v>
      </c>
      <c r="BM18" s="1">
        <v>0.60282599980672413</v>
      </c>
      <c r="BN18" s="64">
        <f t="shared" si="42"/>
        <v>4.519282948520198E-2</v>
      </c>
    </row>
    <row r="19" spans="2:66" x14ac:dyDescent="0.3">
      <c r="B19" s="79">
        <f t="shared" si="43"/>
        <v>10</v>
      </c>
      <c r="C19" s="78">
        <f t="shared" si="44"/>
        <v>5.25</v>
      </c>
      <c r="D19" s="77">
        <v>1.1000000000000001</v>
      </c>
      <c r="E19" s="72">
        <v>0.13</v>
      </c>
      <c r="F19" s="72">
        <v>0.4</v>
      </c>
      <c r="G19" s="72">
        <v>2.0999999999999999E-3</v>
      </c>
      <c r="H19" s="72">
        <v>19</v>
      </c>
      <c r="I19" s="72" t="b">
        <v>0</v>
      </c>
      <c r="J19" s="76">
        <v>2</v>
      </c>
      <c r="K19" s="1">
        <f t="shared" si="45"/>
        <v>99.75</v>
      </c>
      <c r="L19" s="1">
        <f t="shared" si="0"/>
        <v>52.5</v>
      </c>
      <c r="M19" s="1">
        <f t="shared" si="46"/>
        <v>44.75</v>
      </c>
      <c r="N19">
        <f t="shared" si="1"/>
        <v>47.25</v>
      </c>
      <c r="O19" s="75">
        <f t="shared" si="2"/>
        <v>6.6115702479338845</v>
      </c>
      <c r="P19" s="1">
        <f t="shared" si="3"/>
        <v>53.861570247933884</v>
      </c>
      <c r="Q19" s="1">
        <f t="shared" si="4"/>
        <v>0</v>
      </c>
      <c r="R19" s="1">
        <f t="shared" si="5"/>
        <v>2.2750879030310683E-2</v>
      </c>
      <c r="S19" s="1">
        <f t="shared" si="6"/>
        <v>5.6877197575776701E-2</v>
      </c>
      <c r="T19" s="73">
        <v>5.997936916920672</v>
      </c>
      <c r="U19" s="74">
        <f t="shared" si="7"/>
        <v>9.2812041315748384E-2</v>
      </c>
      <c r="V19" s="73">
        <f t="shared" si="8"/>
        <v>47.863633331013212</v>
      </c>
      <c r="W19" s="72">
        <v>0</v>
      </c>
      <c r="X19" s="1">
        <f t="shared" si="9"/>
        <v>53.861570247933884</v>
      </c>
      <c r="Y19" s="1">
        <f t="shared" si="10"/>
        <v>5.997936916920672</v>
      </c>
      <c r="Z19" s="1">
        <f t="shared" si="11"/>
        <v>0</v>
      </c>
      <c r="AA19" s="1">
        <f t="shared" si="12"/>
        <v>2.0509339029809812E-2</v>
      </c>
      <c r="AB19" s="1">
        <f t="shared" si="13"/>
        <v>5.1273347574524529E-2</v>
      </c>
      <c r="AC19" s="1">
        <v>0.74389150334467335</v>
      </c>
      <c r="AD19" s="64">
        <f t="shared" si="14"/>
        <v>0.87597543727975957</v>
      </c>
      <c r="AE19" s="12">
        <f t="shared" si="15"/>
        <v>53.117678744589213</v>
      </c>
      <c r="AF19" s="72">
        <v>0</v>
      </c>
      <c r="AG19" s="1">
        <f t="shared" si="16"/>
        <v>53.861570247933884</v>
      </c>
      <c r="AH19" s="1">
        <f t="shared" si="17"/>
        <v>0.74389150334467047</v>
      </c>
      <c r="AI19" s="1">
        <f t="shared" si="18"/>
        <v>0</v>
      </c>
      <c r="AJ19" s="1">
        <f t="shared" si="19"/>
        <v>2.4159689681359339E-3</v>
      </c>
      <c r="AK19" s="1">
        <f t="shared" si="20"/>
        <v>6.0399224203398346E-3</v>
      </c>
      <c r="AL19" s="1">
        <v>0.71028001876105018</v>
      </c>
      <c r="AM19" s="64">
        <f t="shared" si="21"/>
        <v>4.5183315621292852E-2</v>
      </c>
      <c r="AN19" s="12">
        <f t="shared" si="22"/>
        <v>53.151290229172837</v>
      </c>
      <c r="AO19" s="72">
        <v>0</v>
      </c>
      <c r="AP19" s="1">
        <f t="shared" si="23"/>
        <v>53.861570247933884</v>
      </c>
      <c r="AQ19" s="1">
        <f t="shared" si="24"/>
        <v>0.71028001876104696</v>
      </c>
      <c r="AR19" s="1">
        <f t="shared" si="25"/>
        <v>0</v>
      </c>
      <c r="AS19" s="1">
        <f t="shared" si="26"/>
        <v>2.3060796342243284E-3</v>
      </c>
      <c r="AT19" s="1">
        <f t="shared" si="27"/>
        <v>5.7651990855608209E-3</v>
      </c>
      <c r="AU19" s="1">
        <v>0.67818721236226642</v>
      </c>
      <c r="AV19" s="64">
        <f t="shared" si="28"/>
        <v>4.5183315806575197E-2</v>
      </c>
      <c r="AW19" s="12">
        <f t="shared" si="29"/>
        <v>53.183383035571616</v>
      </c>
      <c r="AX19" s="72">
        <v>0</v>
      </c>
      <c r="AY19" s="1">
        <f t="shared" si="30"/>
        <v>53.861570247933884</v>
      </c>
      <c r="AZ19" s="1">
        <f t="shared" si="31"/>
        <v>0.67818721236226764</v>
      </c>
      <c r="BA19" s="1">
        <f t="shared" si="32"/>
        <v>0</v>
      </c>
      <c r="BB19" s="1">
        <f t="shared" si="33"/>
        <v>2.201220297392456E-3</v>
      </c>
      <c r="BC19" s="1">
        <f t="shared" si="34"/>
        <v>5.5030507434811402E-3</v>
      </c>
      <c r="BD19" s="1">
        <v>0.6475444652815493</v>
      </c>
      <c r="BE19" s="64">
        <f t="shared" si="35"/>
        <v>4.5183315937177948E-2</v>
      </c>
      <c r="BF19" s="12">
        <f t="shared" si="36"/>
        <v>53.214025782652335</v>
      </c>
      <c r="BG19" s="72">
        <v>0</v>
      </c>
      <c r="BH19" s="1">
        <f t="shared" si="37"/>
        <v>53.861570247933884</v>
      </c>
      <c r="BI19" s="1">
        <f t="shared" si="38"/>
        <v>0.6475444652815483</v>
      </c>
      <c r="BJ19" s="1">
        <f t="shared" si="39"/>
        <v>0</v>
      </c>
      <c r="BK19" s="1">
        <f t="shared" si="40"/>
        <v>2.1011578881042856E-3</v>
      </c>
      <c r="BL19" s="1">
        <f t="shared" si="41"/>
        <v>5.2528947202607141E-3</v>
      </c>
      <c r="BM19" s="1">
        <v>0.61828625906375057</v>
      </c>
      <c r="BN19" s="64">
        <f t="shared" si="42"/>
        <v>4.5183316029234311E-2</v>
      </c>
    </row>
    <row r="20" spans="2:66" x14ac:dyDescent="0.3">
      <c r="B20" s="79">
        <f t="shared" si="43"/>
        <v>11</v>
      </c>
      <c r="C20" s="78">
        <f t="shared" si="44"/>
        <v>5.75</v>
      </c>
      <c r="D20" s="77">
        <v>1.1000000000000001</v>
      </c>
      <c r="E20" s="72">
        <v>0.13</v>
      </c>
      <c r="F20" s="72">
        <v>0.4</v>
      </c>
      <c r="G20" s="72">
        <v>2.0999999999999999E-3</v>
      </c>
      <c r="H20" s="72">
        <v>19</v>
      </c>
      <c r="I20" s="72" t="b">
        <v>0</v>
      </c>
      <c r="J20" s="76">
        <v>2</v>
      </c>
      <c r="K20" s="1">
        <f t="shared" si="45"/>
        <v>109.25</v>
      </c>
      <c r="L20" s="1">
        <f t="shared" si="0"/>
        <v>57.5</v>
      </c>
      <c r="M20" s="1">
        <f t="shared" si="46"/>
        <v>49.25</v>
      </c>
      <c r="N20">
        <f t="shared" si="1"/>
        <v>51.75</v>
      </c>
      <c r="O20" s="75">
        <f t="shared" si="2"/>
        <v>5.8775510204081636</v>
      </c>
      <c r="P20" s="1">
        <f t="shared" si="3"/>
        <v>57.627551020408163</v>
      </c>
      <c r="Q20" s="1">
        <f t="shared" si="4"/>
        <v>0</v>
      </c>
      <c r="R20" s="1">
        <f t="shared" si="5"/>
        <v>1.8687923908380175E-2</v>
      </c>
      <c r="S20" s="1">
        <f t="shared" si="6"/>
        <v>5.1169315463421905E-2</v>
      </c>
      <c r="T20" s="73">
        <v>5.5392043612911444</v>
      </c>
      <c r="U20" s="74">
        <f t="shared" si="7"/>
        <v>5.7565924641437283E-2</v>
      </c>
      <c r="V20" s="73">
        <f t="shared" si="8"/>
        <v>52.088346659117022</v>
      </c>
      <c r="W20" s="72">
        <v>0</v>
      </c>
      <c r="X20" s="1">
        <f t="shared" si="9"/>
        <v>57.627551020408163</v>
      </c>
      <c r="Y20" s="1">
        <f t="shared" si="10"/>
        <v>5.5392043612911408</v>
      </c>
      <c r="Z20" s="1">
        <f t="shared" si="11"/>
        <v>0</v>
      </c>
      <c r="AA20" s="1">
        <f t="shared" si="12"/>
        <v>1.755583649141558E-2</v>
      </c>
      <c r="AB20" s="1">
        <f t="shared" si="13"/>
        <v>4.8069552297923611E-2</v>
      </c>
      <c r="AC20" s="1">
        <v>0.72515488319564436</v>
      </c>
      <c r="AD20" s="64">
        <f t="shared" si="14"/>
        <v>0.86908681538035604</v>
      </c>
      <c r="AE20" s="12">
        <f t="shared" si="15"/>
        <v>56.90239613721252</v>
      </c>
      <c r="AF20" s="72">
        <v>0</v>
      </c>
      <c r="AG20" s="1">
        <f t="shared" si="16"/>
        <v>57.627551020408163</v>
      </c>
      <c r="AH20" s="1">
        <f t="shared" si="17"/>
        <v>0.7251548831956427</v>
      </c>
      <c r="AI20" s="1">
        <f t="shared" si="18"/>
        <v>0</v>
      </c>
      <c r="AJ20" s="1">
        <f t="shared" si="19"/>
        <v>2.1998436609233984E-3</v>
      </c>
      <c r="AK20" s="1">
        <f t="shared" si="20"/>
        <v>6.0233814525283529E-3</v>
      </c>
      <c r="AL20" s="1">
        <v>0.69240033473355733</v>
      </c>
      <c r="AM20" s="64">
        <f t="shared" si="21"/>
        <v>4.516903798226013E-2</v>
      </c>
      <c r="AN20" s="12">
        <f t="shared" si="22"/>
        <v>56.935150685674607</v>
      </c>
      <c r="AO20" s="72">
        <v>0</v>
      </c>
      <c r="AP20" s="1">
        <f t="shared" si="23"/>
        <v>57.627551020408163</v>
      </c>
      <c r="AQ20" s="1">
        <f t="shared" si="24"/>
        <v>0.69240033473355567</v>
      </c>
      <c r="AR20" s="1">
        <f t="shared" si="25"/>
        <v>0</v>
      </c>
      <c r="AS20" s="1">
        <f t="shared" si="26"/>
        <v>2.0998758000979612E-3</v>
      </c>
      <c r="AT20" s="1">
        <f t="shared" si="27"/>
        <v>5.7496599288396552E-3</v>
      </c>
      <c r="AU20" s="1">
        <v>0.6611240267338212</v>
      </c>
      <c r="AV20" s="64">
        <f t="shared" si="28"/>
        <v>4.5170844713369407E-2</v>
      </c>
      <c r="AW20" s="12">
        <f t="shared" si="29"/>
        <v>56.966426993674339</v>
      </c>
      <c r="AX20" s="72">
        <v>0</v>
      </c>
      <c r="AY20" s="1">
        <f t="shared" si="30"/>
        <v>57.627551020408163</v>
      </c>
      <c r="AZ20" s="1">
        <f t="shared" si="31"/>
        <v>0.6611240267338232</v>
      </c>
      <c r="BA20" s="1">
        <f t="shared" si="32"/>
        <v>0</v>
      </c>
      <c r="BB20" s="1">
        <f t="shared" si="33"/>
        <v>2.0044732352048388E-3</v>
      </c>
      <c r="BC20" s="1">
        <f t="shared" si="34"/>
        <v>5.4884386202037243E-3</v>
      </c>
      <c r="BD20" s="1">
        <v>0.63125945268094019</v>
      </c>
      <c r="BE20" s="64">
        <f t="shared" si="35"/>
        <v>4.5172422790961231E-2</v>
      </c>
      <c r="BF20" s="12">
        <f t="shared" si="36"/>
        <v>56.996291567727219</v>
      </c>
      <c r="BG20" s="72">
        <v>0</v>
      </c>
      <c r="BH20" s="1">
        <f t="shared" si="37"/>
        <v>57.627551020408163</v>
      </c>
      <c r="BI20" s="1">
        <f t="shared" si="38"/>
        <v>0.63125945268094341</v>
      </c>
      <c r="BJ20" s="1">
        <f t="shared" si="39"/>
        <v>0</v>
      </c>
      <c r="BK20" s="1">
        <f t="shared" si="40"/>
        <v>1.913425775641331E-3</v>
      </c>
      <c r="BL20" s="1">
        <f t="shared" si="41"/>
        <v>5.2391420047322159E-3</v>
      </c>
      <c r="BM20" s="1">
        <v>0.60274306368407493</v>
      </c>
      <c r="BN20" s="64">
        <f t="shared" si="42"/>
        <v>4.5173801161725313E-2</v>
      </c>
    </row>
    <row r="21" spans="2:66" x14ac:dyDescent="0.3">
      <c r="B21" s="79">
        <f t="shared" si="43"/>
        <v>12</v>
      </c>
      <c r="C21" s="78">
        <f t="shared" si="44"/>
        <v>6.25</v>
      </c>
      <c r="D21" s="77">
        <v>1.1000000000000001</v>
      </c>
      <c r="E21" s="72">
        <v>0.13</v>
      </c>
      <c r="F21" s="72">
        <v>0.4</v>
      </c>
      <c r="G21" s="72">
        <v>2.0999999999999999E-3</v>
      </c>
      <c r="H21" s="72">
        <v>19</v>
      </c>
      <c r="I21" s="72" t="b">
        <v>0</v>
      </c>
      <c r="J21" s="76">
        <v>2</v>
      </c>
      <c r="K21" s="1">
        <f t="shared" si="45"/>
        <v>118.75</v>
      </c>
      <c r="L21" s="1">
        <f t="shared" si="0"/>
        <v>62.5</v>
      </c>
      <c r="M21" s="1">
        <f t="shared" si="46"/>
        <v>53.75</v>
      </c>
      <c r="N21">
        <f t="shared" si="1"/>
        <v>56.25</v>
      </c>
      <c r="O21" s="75">
        <f t="shared" si="2"/>
        <v>5.2593133674214751</v>
      </c>
      <c r="P21" s="1">
        <f t="shared" si="3"/>
        <v>61.509313367421477</v>
      </c>
      <c r="Q21" s="1">
        <f t="shared" si="4"/>
        <v>0</v>
      </c>
      <c r="R21" s="1">
        <f t="shared" si="5"/>
        <v>1.5527340883624955E-2</v>
      </c>
      <c r="S21" s="1">
        <f t="shared" si="6"/>
        <v>4.6212324058407604E-2</v>
      </c>
      <c r="T21" s="73">
        <v>4.8834009222152144</v>
      </c>
      <c r="U21" s="74">
        <f t="shared" si="7"/>
        <v>7.1475574651023721E-2</v>
      </c>
      <c r="V21" s="73">
        <f t="shared" si="8"/>
        <v>56.625912445206261</v>
      </c>
      <c r="W21" s="72">
        <v>0</v>
      </c>
      <c r="X21" s="1">
        <f t="shared" si="9"/>
        <v>61.509313367421477</v>
      </c>
      <c r="Y21" s="1">
        <f t="shared" si="10"/>
        <v>4.8834009222152162</v>
      </c>
      <c r="Z21" s="1">
        <f t="shared" si="11"/>
        <v>0</v>
      </c>
      <c r="AA21" s="1">
        <f t="shared" si="12"/>
        <v>1.4370266353483077E-2</v>
      </c>
      <c r="AB21" s="1">
        <f t="shared" si="13"/>
        <v>4.2768649861556776E-2</v>
      </c>
      <c r="AC21" s="1">
        <v>0.67006864739087357</v>
      </c>
      <c r="AD21" s="64">
        <f t="shared" si="14"/>
        <v>0.86278647646097506</v>
      </c>
      <c r="AE21" s="12">
        <f t="shared" si="15"/>
        <v>60.839244720030607</v>
      </c>
      <c r="AF21" s="72">
        <v>0</v>
      </c>
      <c r="AG21" s="1">
        <f t="shared" si="16"/>
        <v>61.509313367421477</v>
      </c>
      <c r="AH21" s="1">
        <f t="shared" si="17"/>
        <v>0.67006864739087035</v>
      </c>
      <c r="AI21" s="1">
        <f t="shared" si="18"/>
        <v>0</v>
      </c>
      <c r="AJ21" s="1">
        <f t="shared" si="19"/>
        <v>1.9028260255278939E-3</v>
      </c>
      <c r="AK21" s="1">
        <f t="shared" si="20"/>
        <v>5.6631726950234938E-3</v>
      </c>
      <c r="AL21" s="1">
        <v>0.63981138041526864</v>
      </c>
      <c r="AM21" s="64">
        <f t="shared" si="21"/>
        <v>4.5155473388313605E-2</v>
      </c>
      <c r="AN21" s="12">
        <f t="shared" si="22"/>
        <v>60.86950198700621</v>
      </c>
      <c r="AO21" s="72">
        <v>0</v>
      </c>
      <c r="AP21" s="1">
        <f t="shared" si="23"/>
        <v>61.509313367421477</v>
      </c>
      <c r="AQ21" s="1">
        <f t="shared" si="24"/>
        <v>0.63981138041526719</v>
      </c>
      <c r="AR21" s="1">
        <f t="shared" si="25"/>
        <v>0</v>
      </c>
      <c r="AS21" s="1">
        <f t="shared" si="26"/>
        <v>1.8164521882402835E-3</v>
      </c>
      <c r="AT21" s="1">
        <f t="shared" si="27"/>
        <v>5.4061077030960816E-3</v>
      </c>
      <c r="AU21" s="1">
        <v>0.61091814036616643</v>
      </c>
      <c r="AV21" s="64">
        <f t="shared" si="28"/>
        <v>4.5158996750491842E-2</v>
      </c>
      <c r="AW21" s="12">
        <f t="shared" si="29"/>
        <v>60.89839522705531</v>
      </c>
      <c r="AX21" s="72">
        <v>0</v>
      </c>
      <c r="AY21" s="1">
        <f t="shared" si="30"/>
        <v>61.509313367421477</v>
      </c>
      <c r="AZ21" s="1">
        <f t="shared" si="31"/>
        <v>0.61091814036616654</v>
      </c>
      <c r="BA21" s="1">
        <f t="shared" si="32"/>
        <v>0</v>
      </c>
      <c r="BB21" s="1">
        <f t="shared" si="33"/>
        <v>1.7340122332753585E-3</v>
      </c>
      <c r="BC21" s="1">
        <f t="shared" si="34"/>
        <v>5.1607506942718999E-3</v>
      </c>
      <c r="BD21" s="1">
        <v>0.58332781000060807</v>
      </c>
      <c r="BE21" s="64">
        <f t="shared" si="35"/>
        <v>4.5162074167615418E-2</v>
      </c>
      <c r="BF21" s="12">
        <f t="shared" si="36"/>
        <v>60.925985557420866</v>
      </c>
      <c r="BG21" s="72">
        <v>0</v>
      </c>
      <c r="BH21" s="1">
        <f t="shared" si="37"/>
        <v>61.509313367421477</v>
      </c>
      <c r="BI21" s="1">
        <f t="shared" si="38"/>
        <v>0.58332781000061118</v>
      </c>
      <c r="BJ21" s="1">
        <f t="shared" si="39"/>
        <v>0</v>
      </c>
      <c r="BK21" s="1">
        <f t="shared" si="40"/>
        <v>1.6553263192777971E-3</v>
      </c>
      <c r="BL21" s="1">
        <f t="shared" si="41"/>
        <v>4.9265664264220143E-3</v>
      </c>
      <c r="BM21" s="1">
        <v>0.55698194823447955</v>
      </c>
      <c r="BN21" s="64">
        <f t="shared" si="42"/>
        <v>4.5164762101954303E-2</v>
      </c>
    </row>
    <row r="22" spans="2:66" x14ac:dyDescent="0.3">
      <c r="B22" s="79">
        <f t="shared" si="43"/>
        <v>13</v>
      </c>
      <c r="C22" s="78">
        <f t="shared" si="44"/>
        <v>6.75</v>
      </c>
      <c r="D22" s="77">
        <v>1.1000000000000001</v>
      </c>
      <c r="E22" s="72">
        <v>0.13</v>
      </c>
      <c r="F22" s="72">
        <v>0.4</v>
      </c>
      <c r="G22" s="72">
        <v>2.0999999999999999E-3</v>
      </c>
      <c r="H22" s="72">
        <v>19</v>
      </c>
      <c r="I22" s="72" t="b">
        <v>0</v>
      </c>
      <c r="J22" s="76">
        <v>2</v>
      </c>
      <c r="K22" s="1">
        <f t="shared" si="45"/>
        <v>128.25</v>
      </c>
      <c r="L22" s="1">
        <f t="shared" si="0"/>
        <v>67.5</v>
      </c>
      <c r="M22" s="1">
        <f t="shared" si="46"/>
        <v>58.25</v>
      </c>
      <c r="N22">
        <f t="shared" si="1"/>
        <v>60.75</v>
      </c>
      <c r="O22" s="75">
        <f t="shared" si="2"/>
        <v>4.7337278106508878</v>
      </c>
      <c r="P22" s="1">
        <f t="shared" si="3"/>
        <v>65.48372781065089</v>
      </c>
      <c r="Q22" s="1">
        <f t="shared" si="4"/>
        <v>0</v>
      </c>
      <c r="R22" s="1">
        <f t="shared" si="5"/>
        <v>1.3034844951124447E-2</v>
      </c>
      <c r="S22" s="1">
        <f t="shared" si="6"/>
        <v>4.189771591432858E-2</v>
      </c>
      <c r="T22" s="73">
        <v>4.0783182145214711</v>
      </c>
      <c r="U22" s="74">
        <f t="shared" si="7"/>
        <v>0.1384552771823393</v>
      </c>
      <c r="V22" s="73">
        <f t="shared" si="8"/>
        <v>61.405409596129417</v>
      </c>
      <c r="W22" s="72">
        <v>0</v>
      </c>
      <c r="X22" s="1">
        <f t="shared" si="9"/>
        <v>65.48372781065089</v>
      </c>
      <c r="Y22" s="1">
        <f t="shared" si="10"/>
        <v>4.0783182145214738</v>
      </c>
      <c r="Z22" s="1">
        <f t="shared" si="11"/>
        <v>0</v>
      </c>
      <c r="AA22" s="1">
        <f t="shared" si="12"/>
        <v>1.1170704814782327E-2</v>
      </c>
      <c r="AB22" s="1">
        <f t="shared" si="13"/>
        <v>3.5905836904657477E-2</v>
      </c>
      <c r="AC22" s="1">
        <v>0.5814052161579536</v>
      </c>
      <c r="AD22" s="64">
        <f t="shared" si="14"/>
        <v>0.8574399579493891</v>
      </c>
      <c r="AE22" s="12">
        <f t="shared" si="15"/>
        <v>64.902322594492944</v>
      </c>
      <c r="AF22" s="72">
        <v>0</v>
      </c>
      <c r="AG22" s="1">
        <f t="shared" si="16"/>
        <v>65.48372781065089</v>
      </c>
      <c r="AH22" s="1">
        <f t="shared" si="17"/>
        <v>0.58140521615794682</v>
      </c>
      <c r="AI22" s="1">
        <f t="shared" si="18"/>
        <v>0</v>
      </c>
      <c r="AJ22" s="1">
        <f t="shared" si="19"/>
        <v>1.5492623630101662E-3</v>
      </c>
      <c r="AK22" s="1">
        <f t="shared" si="20"/>
        <v>4.9797718811041055E-3</v>
      </c>
      <c r="AL22" s="1">
        <v>0.55515866450985774</v>
      </c>
      <c r="AM22" s="64">
        <f t="shared" si="21"/>
        <v>4.5143302671985075E-2</v>
      </c>
      <c r="AN22" s="12">
        <f t="shared" si="22"/>
        <v>64.928569146141029</v>
      </c>
      <c r="AO22" s="72">
        <v>0</v>
      </c>
      <c r="AP22" s="1">
        <f t="shared" si="23"/>
        <v>65.48372781065089</v>
      </c>
      <c r="AQ22" s="1">
        <f t="shared" si="24"/>
        <v>0.55515866450986096</v>
      </c>
      <c r="AR22" s="1">
        <f t="shared" si="25"/>
        <v>0</v>
      </c>
      <c r="AS22" s="1">
        <f t="shared" si="26"/>
        <v>1.4790249484644556E-3</v>
      </c>
      <c r="AT22" s="1">
        <f t="shared" si="27"/>
        <v>4.7540087629214644E-3</v>
      </c>
      <c r="AU22" s="1">
        <v>0.53009415764721424</v>
      </c>
      <c r="AV22" s="64">
        <f t="shared" si="28"/>
        <v>4.5148366521084005E-2</v>
      </c>
      <c r="AW22" s="12">
        <f t="shared" si="29"/>
        <v>64.953633653003678</v>
      </c>
      <c r="AX22" s="72">
        <v>0</v>
      </c>
      <c r="AY22" s="1">
        <f t="shared" si="30"/>
        <v>65.48372781065089</v>
      </c>
      <c r="AZ22" s="1">
        <f t="shared" si="31"/>
        <v>0.53009415764721268</v>
      </c>
      <c r="BA22" s="1">
        <f t="shared" si="32"/>
        <v>0</v>
      </c>
      <c r="BB22" s="1">
        <f t="shared" si="33"/>
        <v>1.411977258033552E-3</v>
      </c>
      <c r="BC22" s="1">
        <f t="shared" si="34"/>
        <v>4.5384983293935604E-3</v>
      </c>
      <c r="BD22" s="1">
        <v>0.50615892779989602</v>
      </c>
      <c r="BE22" s="64">
        <f t="shared" si="35"/>
        <v>4.5152789371517676E-2</v>
      </c>
      <c r="BF22" s="12">
        <f t="shared" si="36"/>
        <v>64.977568882850989</v>
      </c>
      <c r="BG22" s="72">
        <v>0</v>
      </c>
      <c r="BH22" s="1">
        <f t="shared" si="37"/>
        <v>65.48372781065089</v>
      </c>
      <c r="BI22" s="1">
        <f t="shared" si="38"/>
        <v>0.5061589277999019</v>
      </c>
      <c r="BJ22" s="1">
        <f t="shared" si="39"/>
        <v>0</v>
      </c>
      <c r="BK22" s="1">
        <f t="shared" si="40"/>
        <v>1.3479745356051881E-3</v>
      </c>
      <c r="BL22" s="1">
        <f t="shared" si="41"/>
        <v>4.3327752930166757E-3</v>
      </c>
      <c r="BM22" s="1">
        <v>0.4833024850388547</v>
      </c>
      <c r="BN22" s="64">
        <f t="shared" si="42"/>
        <v>4.5156652398479435E-2</v>
      </c>
    </row>
    <row r="23" spans="2:66" x14ac:dyDescent="0.3">
      <c r="B23" s="79">
        <f t="shared" si="43"/>
        <v>14</v>
      </c>
      <c r="C23" s="78">
        <f t="shared" si="44"/>
        <v>7.25</v>
      </c>
      <c r="D23" s="77">
        <v>1.1000000000000001</v>
      </c>
      <c r="E23" s="72">
        <v>0.13</v>
      </c>
      <c r="F23" s="72">
        <v>0.4</v>
      </c>
      <c r="G23" s="72">
        <v>2.0999999999999999E-3</v>
      </c>
      <c r="H23" s="72">
        <v>19</v>
      </c>
      <c r="I23" s="72" t="b">
        <v>0</v>
      </c>
      <c r="J23" s="76">
        <v>2</v>
      </c>
      <c r="K23" s="1">
        <f t="shared" si="45"/>
        <v>137.75</v>
      </c>
      <c r="L23" s="1">
        <f t="shared" si="0"/>
        <v>72.5</v>
      </c>
      <c r="M23" s="1">
        <f t="shared" si="46"/>
        <v>62.75</v>
      </c>
      <c r="N23">
        <f t="shared" si="1"/>
        <v>65.25</v>
      </c>
      <c r="O23" s="75">
        <f t="shared" si="2"/>
        <v>4.2831647828673409</v>
      </c>
      <c r="P23" s="1">
        <f t="shared" si="3"/>
        <v>69.533164782867345</v>
      </c>
      <c r="Q23" s="1">
        <f t="shared" si="4"/>
        <v>0</v>
      </c>
      <c r="R23" s="1">
        <f t="shared" si="5"/>
        <v>1.1044592247610178E-2</v>
      </c>
      <c r="S23" s="1">
        <f t="shared" si="6"/>
        <v>3.8130139902463708E-2</v>
      </c>
      <c r="T23" s="73">
        <v>3.1595855016083481</v>
      </c>
      <c r="U23" s="74">
        <f t="shared" si="7"/>
        <v>0.26232455163838431</v>
      </c>
      <c r="V23" s="73">
        <f t="shared" si="8"/>
        <v>66.373579281258998</v>
      </c>
      <c r="W23" s="72">
        <v>0</v>
      </c>
      <c r="X23" s="1">
        <f t="shared" si="9"/>
        <v>69.533164782867345</v>
      </c>
      <c r="Y23" s="1">
        <f t="shared" si="10"/>
        <v>3.1595855016083476</v>
      </c>
      <c r="Z23" s="1">
        <f t="shared" si="11"/>
        <v>0</v>
      </c>
      <c r="AA23" s="1">
        <f t="shared" si="12"/>
        <v>8.0787033852714341E-3</v>
      </c>
      <c r="AB23" s="1">
        <f t="shared" si="13"/>
        <v>2.7890761687246617E-2</v>
      </c>
      <c r="AC23" s="1">
        <v>0.46361618583909314</v>
      </c>
      <c r="AD23" s="64">
        <f t="shared" si="14"/>
        <v>0.85326677008642582</v>
      </c>
      <c r="AE23" s="12">
        <f t="shared" si="15"/>
        <v>69.069548597028259</v>
      </c>
      <c r="AF23" s="72">
        <v>0</v>
      </c>
      <c r="AG23" s="1">
        <f t="shared" si="16"/>
        <v>69.533164782867345</v>
      </c>
      <c r="AH23" s="1">
        <f t="shared" si="17"/>
        <v>0.46361618583908637</v>
      </c>
      <c r="AI23" s="1">
        <f t="shared" si="18"/>
        <v>0</v>
      </c>
      <c r="AJ23" s="1">
        <f t="shared" si="19"/>
        <v>1.1621515755296525E-3</v>
      </c>
      <c r="AK23" s="1">
        <f t="shared" si="20"/>
        <v>4.012189963138086E-3</v>
      </c>
      <c r="AL23" s="1">
        <v>0.44269173298042869</v>
      </c>
      <c r="AM23" s="64">
        <f t="shared" si="21"/>
        <v>4.5133137059887307E-2</v>
      </c>
      <c r="AN23" s="12">
        <f t="shared" si="22"/>
        <v>69.09047304988691</v>
      </c>
      <c r="AO23" s="72">
        <v>0</v>
      </c>
      <c r="AP23" s="1">
        <f t="shared" si="23"/>
        <v>69.533164782867345</v>
      </c>
      <c r="AQ23" s="1">
        <f t="shared" si="24"/>
        <v>0.4426917329804354</v>
      </c>
      <c r="AR23" s="1">
        <f t="shared" si="25"/>
        <v>0</v>
      </c>
      <c r="AS23" s="1">
        <f t="shared" si="26"/>
        <v>1.1095321600170156E-3</v>
      </c>
      <c r="AT23" s="1">
        <f t="shared" si="27"/>
        <v>3.8305276952968399E-3</v>
      </c>
      <c r="AU23" s="1">
        <v>0.42270885490582982</v>
      </c>
      <c r="AV23" s="64">
        <f t="shared" si="28"/>
        <v>4.5139487787744015E-2</v>
      </c>
      <c r="AW23" s="12">
        <f t="shared" si="29"/>
        <v>69.11045592796151</v>
      </c>
      <c r="AX23" s="72">
        <v>0</v>
      </c>
      <c r="AY23" s="1">
        <f t="shared" si="30"/>
        <v>69.533164782867345</v>
      </c>
      <c r="AZ23" s="1">
        <f t="shared" si="31"/>
        <v>0.4227088549058351</v>
      </c>
      <c r="BA23" s="1">
        <f t="shared" si="32"/>
        <v>0</v>
      </c>
      <c r="BB23" s="1">
        <f t="shared" si="33"/>
        <v>1.0592954282959896E-3</v>
      </c>
      <c r="BC23" s="1">
        <f t="shared" si="34"/>
        <v>3.6570913595932973E-3</v>
      </c>
      <c r="BD23" s="1">
        <v>0.40362564905397147</v>
      </c>
      <c r="BE23" s="64">
        <f t="shared" si="35"/>
        <v>4.5145034532372619E-2</v>
      </c>
      <c r="BF23" s="12">
        <f t="shared" si="36"/>
        <v>69.129539133813367</v>
      </c>
      <c r="BG23" s="72">
        <v>0</v>
      </c>
      <c r="BH23" s="1">
        <f t="shared" si="37"/>
        <v>69.533164782867345</v>
      </c>
      <c r="BI23" s="1">
        <f t="shared" si="38"/>
        <v>0.40362564905397846</v>
      </c>
      <c r="BJ23" s="1">
        <f t="shared" si="39"/>
        <v>0</v>
      </c>
      <c r="BK23" s="1">
        <f t="shared" si="40"/>
        <v>1.0113340200368194E-3</v>
      </c>
      <c r="BL23" s="1">
        <f t="shared" si="41"/>
        <v>3.4915103072699718E-3</v>
      </c>
      <c r="BM23" s="1">
        <v>0.38540199978606127</v>
      </c>
      <c r="BN23" s="64">
        <f t="shared" si="42"/>
        <v>4.5149879128419945E-2</v>
      </c>
    </row>
    <row r="24" spans="2:66" x14ac:dyDescent="0.3">
      <c r="B24" s="79">
        <f t="shared" si="43"/>
        <v>15</v>
      </c>
      <c r="C24" s="78">
        <f t="shared" si="44"/>
        <v>7.75</v>
      </c>
      <c r="D24" s="77">
        <v>1.1000000000000001</v>
      </c>
      <c r="E24" s="72">
        <v>0.13</v>
      </c>
      <c r="F24" s="72">
        <v>0.4</v>
      </c>
      <c r="G24" s="72">
        <v>2.0999999999999999E-3</v>
      </c>
      <c r="H24" s="72">
        <v>19</v>
      </c>
      <c r="I24" s="72" t="b">
        <v>0</v>
      </c>
      <c r="J24" s="76">
        <v>2</v>
      </c>
      <c r="K24" s="1">
        <f t="shared" si="45"/>
        <v>147.25</v>
      </c>
      <c r="L24" s="1">
        <f t="shared" si="0"/>
        <v>77.5</v>
      </c>
      <c r="M24" s="1">
        <f t="shared" si="46"/>
        <v>67.25</v>
      </c>
      <c r="N24">
        <f t="shared" si="1"/>
        <v>69.75</v>
      </c>
      <c r="O24" s="75">
        <f t="shared" si="2"/>
        <v>3.8939967550027044</v>
      </c>
      <c r="P24" s="1">
        <f t="shared" si="3"/>
        <v>73.643996755002703</v>
      </c>
      <c r="Q24" s="1">
        <f t="shared" si="4"/>
        <v>0</v>
      </c>
      <c r="R24" s="1">
        <f t="shared" si="5"/>
        <v>9.4372552997901045E-3</v>
      </c>
      <c r="S24" s="1">
        <f t="shared" si="6"/>
        <v>3.4827965987320623E-2</v>
      </c>
      <c r="T24" s="73">
        <v>2.1555687387100861</v>
      </c>
      <c r="U24" s="74">
        <f t="shared" si="7"/>
        <v>0.44643797251736816</v>
      </c>
      <c r="V24" s="73">
        <f t="shared" si="8"/>
        <v>71.488428016292616</v>
      </c>
      <c r="W24" s="72">
        <v>0</v>
      </c>
      <c r="X24" s="1">
        <f t="shared" si="9"/>
        <v>73.643996755002703</v>
      </c>
      <c r="Y24" s="1">
        <f t="shared" si="10"/>
        <v>2.1555687387100875</v>
      </c>
      <c r="Z24" s="1">
        <f t="shared" si="11"/>
        <v>0</v>
      </c>
      <c r="AA24" s="1">
        <f t="shared" si="12"/>
        <v>5.1606411500765568E-3</v>
      </c>
      <c r="AB24" s="1">
        <f t="shared" si="13"/>
        <v>1.9045223291949197E-2</v>
      </c>
      <c r="AC24" s="1">
        <v>0.32260798995966727</v>
      </c>
      <c r="AD24" s="64">
        <f t="shared" si="14"/>
        <v>0.85033741482411784</v>
      </c>
      <c r="AE24" s="12">
        <f t="shared" si="15"/>
        <v>73.321388765043039</v>
      </c>
      <c r="AF24" s="72">
        <v>0</v>
      </c>
      <c r="AG24" s="1">
        <f t="shared" si="16"/>
        <v>73.643996755002703</v>
      </c>
      <c r="AH24" s="1">
        <f t="shared" si="17"/>
        <v>0.32260798995966411</v>
      </c>
      <c r="AI24" s="1">
        <f t="shared" si="18"/>
        <v>0</v>
      </c>
      <c r="AJ24" s="1">
        <f t="shared" si="19"/>
        <v>7.6266717854149731E-4</v>
      </c>
      <c r="AK24" s="1">
        <f t="shared" si="20"/>
        <v>2.8146050636650498E-3</v>
      </c>
      <c r="AL24" s="1">
        <v>0.30805014719365881</v>
      </c>
      <c r="AM24" s="64">
        <f t="shared" si="21"/>
        <v>4.5125487337822845E-2</v>
      </c>
      <c r="AN24" s="12">
        <f t="shared" si="22"/>
        <v>73.335946607809049</v>
      </c>
      <c r="AO24" s="72">
        <v>0</v>
      </c>
      <c r="AP24" s="1">
        <f t="shared" si="23"/>
        <v>73.643996755002703</v>
      </c>
      <c r="AQ24" s="1">
        <f t="shared" si="24"/>
        <v>0.30805014719365431</v>
      </c>
      <c r="AR24" s="1">
        <f t="shared" si="25"/>
        <v>0</v>
      </c>
      <c r="AS24" s="1">
        <f t="shared" si="26"/>
        <v>7.2817921631914426E-4</v>
      </c>
      <c r="AT24" s="1">
        <f t="shared" si="27"/>
        <v>2.6873280602254129E-3</v>
      </c>
      <c r="AU24" s="1">
        <v>0.29414697948801444</v>
      </c>
      <c r="AV24" s="64">
        <f t="shared" si="28"/>
        <v>4.5132806565093775E-2</v>
      </c>
      <c r="AW24" s="12">
        <f t="shared" si="29"/>
        <v>73.349849775514684</v>
      </c>
      <c r="AX24" s="72">
        <v>0</v>
      </c>
      <c r="AY24" s="1">
        <f t="shared" si="30"/>
        <v>73.643996755002703</v>
      </c>
      <c r="AZ24" s="1">
        <f t="shared" si="31"/>
        <v>0.29414697948801916</v>
      </c>
      <c r="BA24" s="1">
        <f t="shared" si="32"/>
        <v>0</v>
      </c>
      <c r="BB24" s="1">
        <f t="shared" si="33"/>
        <v>6.9524858945553666E-4</v>
      </c>
      <c r="BC24" s="1">
        <f t="shared" si="34"/>
        <v>2.5657983658478141E-3</v>
      </c>
      <c r="BD24" s="1">
        <v>0.28086942040969387</v>
      </c>
      <c r="BE24" s="64">
        <f t="shared" si="35"/>
        <v>4.5139199122274487E-2</v>
      </c>
      <c r="BF24" s="12">
        <f t="shared" si="36"/>
        <v>73.363127334593003</v>
      </c>
      <c r="BG24" s="72">
        <v>0</v>
      </c>
      <c r="BH24" s="1">
        <f t="shared" si="37"/>
        <v>73.643996755002703</v>
      </c>
      <c r="BI24" s="1">
        <f t="shared" si="38"/>
        <v>0.28086942040970087</v>
      </c>
      <c r="BJ24" s="1">
        <f t="shared" si="39"/>
        <v>0</v>
      </c>
      <c r="BK24" s="1">
        <f t="shared" si="40"/>
        <v>6.6380558682449194E-4</v>
      </c>
      <c r="BL24" s="1">
        <f t="shared" si="41"/>
        <v>2.449758713280863E-3</v>
      </c>
      <c r="BM24" s="1">
        <v>0.26818963154215475</v>
      </c>
      <c r="BN24" s="64">
        <f t="shared" si="42"/>
        <v>4.5144782401196459E-2</v>
      </c>
    </row>
    <row r="25" spans="2:66" x14ac:dyDescent="0.3">
      <c r="B25" s="79">
        <f t="shared" si="43"/>
        <v>16</v>
      </c>
      <c r="C25" s="78">
        <f t="shared" si="44"/>
        <v>8.25</v>
      </c>
      <c r="D25" s="77">
        <v>1.1000000000000001</v>
      </c>
      <c r="E25" s="72">
        <v>0.13</v>
      </c>
      <c r="F25" s="72">
        <v>0.4</v>
      </c>
      <c r="G25" s="72">
        <v>2.0999999999999999E-3</v>
      </c>
      <c r="H25" s="72">
        <v>19</v>
      </c>
      <c r="I25" s="72" t="b">
        <v>0</v>
      </c>
      <c r="J25" s="76">
        <v>2</v>
      </c>
      <c r="K25" s="1">
        <f t="shared" si="45"/>
        <v>156.75</v>
      </c>
      <c r="L25" s="1">
        <f t="shared" si="0"/>
        <v>82.5</v>
      </c>
      <c r="M25" s="1">
        <f t="shared" si="46"/>
        <v>71.75</v>
      </c>
      <c r="N25">
        <f t="shared" si="1"/>
        <v>74.25</v>
      </c>
      <c r="O25" s="75">
        <f t="shared" si="2"/>
        <v>3.5555555555555554</v>
      </c>
      <c r="P25" s="1">
        <f t="shared" si="3"/>
        <v>77.805555555555557</v>
      </c>
      <c r="Q25" s="1">
        <f t="shared" si="4"/>
        <v>0</v>
      </c>
      <c r="R25" s="1">
        <f t="shared" si="5"/>
        <v>8.1256600268123907E-3</v>
      </c>
      <c r="S25" s="1">
        <f t="shared" si="6"/>
        <v>3.1922235819620101E-2</v>
      </c>
      <c r="T25" s="73">
        <v>1.0929254441281062</v>
      </c>
      <c r="U25" s="74">
        <f t="shared" si="7"/>
        <v>0.69261471883897019</v>
      </c>
      <c r="V25" s="73">
        <f t="shared" si="8"/>
        <v>76.712630111427444</v>
      </c>
      <c r="W25" s="72">
        <v>0</v>
      </c>
      <c r="X25" s="1">
        <f t="shared" si="9"/>
        <v>77.805555555555557</v>
      </c>
      <c r="Y25" s="1">
        <f t="shared" si="10"/>
        <v>1.0929254441281131</v>
      </c>
      <c r="Z25" s="1">
        <f t="shared" si="11"/>
        <v>0</v>
      </c>
      <c r="AA25" s="1">
        <f t="shared" si="12"/>
        <v>2.4574940646765507E-3</v>
      </c>
      <c r="AB25" s="1">
        <f t="shared" si="13"/>
        <v>9.6544409683721622E-3</v>
      </c>
      <c r="AC25" s="1">
        <v>0.16544572611858724</v>
      </c>
      <c r="AD25" s="64">
        <f t="shared" si="14"/>
        <v>0.84862121473384455</v>
      </c>
      <c r="AE25" s="12">
        <f t="shared" si="15"/>
        <v>77.640109829436966</v>
      </c>
      <c r="AF25" s="72">
        <v>0</v>
      </c>
      <c r="AG25" s="1">
        <f t="shared" si="16"/>
        <v>77.805555555555557</v>
      </c>
      <c r="AH25" s="1">
        <f t="shared" si="17"/>
        <v>0.1654457261185911</v>
      </c>
      <c r="AI25" s="1">
        <f t="shared" si="18"/>
        <v>0</v>
      </c>
      <c r="AJ25" s="1">
        <f t="shared" si="19"/>
        <v>3.6978679520596709E-4</v>
      </c>
      <c r="AK25" s="1">
        <f t="shared" si="20"/>
        <v>1.4527338383091564E-3</v>
      </c>
      <c r="AL25" s="1">
        <v>0.15798069285191335</v>
      </c>
      <c r="AM25" s="64">
        <f t="shared" si="21"/>
        <v>4.5120738031799168E-2</v>
      </c>
      <c r="AN25" s="12">
        <f t="shared" si="22"/>
        <v>77.64757486270365</v>
      </c>
      <c r="AO25" s="72">
        <v>0</v>
      </c>
      <c r="AP25" s="1">
        <f t="shared" si="23"/>
        <v>77.805555555555557</v>
      </c>
      <c r="AQ25" s="1">
        <f t="shared" si="24"/>
        <v>0.15798069285190763</v>
      </c>
      <c r="AR25" s="1">
        <f t="shared" si="25"/>
        <v>0</v>
      </c>
      <c r="AS25" s="1">
        <f t="shared" si="26"/>
        <v>3.5308477397937558E-4</v>
      </c>
      <c r="AT25" s="1">
        <f t="shared" si="27"/>
        <v>1.3871187549189753E-3</v>
      </c>
      <c r="AU25" s="1">
        <v>0.15085123609932408</v>
      </c>
      <c r="AV25" s="64">
        <f t="shared" si="28"/>
        <v>4.5128658596698012E-2</v>
      </c>
      <c r="AW25" s="12">
        <f t="shared" si="29"/>
        <v>77.654704319456229</v>
      </c>
      <c r="AX25" s="72">
        <v>0</v>
      </c>
      <c r="AY25" s="1">
        <f t="shared" si="30"/>
        <v>77.805555555555557</v>
      </c>
      <c r="AZ25" s="1">
        <f t="shared" si="31"/>
        <v>0.15085123609932793</v>
      </c>
      <c r="BA25" s="1">
        <f t="shared" si="32"/>
        <v>0</v>
      </c>
      <c r="BB25" s="1">
        <f t="shared" si="33"/>
        <v>3.3713505967977562E-4</v>
      </c>
      <c r="BC25" s="1">
        <f t="shared" si="34"/>
        <v>1.3244591630276899E-3</v>
      </c>
      <c r="BD25" s="1">
        <v>0.14404247862170408</v>
      </c>
      <c r="BE25" s="64">
        <f t="shared" si="35"/>
        <v>4.5135576304728642E-2</v>
      </c>
      <c r="BF25" s="12">
        <f t="shared" si="36"/>
        <v>77.661513076933858</v>
      </c>
      <c r="BG25" s="72">
        <v>0</v>
      </c>
      <c r="BH25" s="1">
        <f t="shared" si="37"/>
        <v>77.805555555555557</v>
      </c>
      <c r="BI25" s="1">
        <f t="shared" si="38"/>
        <v>0.14404247862169939</v>
      </c>
      <c r="BJ25" s="1">
        <f t="shared" si="39"/>
        <v>0</v>
      </c>
      <c r="BK25" s="1">
        <f t="shared" si="40"/>
        <v>3.2190416697527998E-4</v>
      </c>
      <c r="BL25" s="1">
        <f t="shared" si="41"/>
        <v>1.2646235131171715E-3</v>
      </c>
      <c r="BM25" s="1">
        <v>0.13754016804560129</v>
      </c>
      <c r="BN25" s="64">
        <f t="shared" si="42"/>
        <v>4.5141618210938983E-2</v>
      </c>
    </row>
    <row r="26" spans="2:66" x14ac:dyDescent="0.3">
      <c r="B26" s="79">
        <f t="shared" si="43"/>
        <v>17</v>
      </c>
      <c r="C26" s="78">
        <f t="shared" si="44"/>
        <v>8.75</v>
      </c>
      <c r="D26" s="77">
        <v>1.1000000000000001</v>
      </c>
      <c r="E26" s="72">
        <v>0</v>
      </c>
      <c r="F26" s="72">
        <v>0</v>
      </c>
      <c r="G26" s="72">
        <v>1000</v>
      </c>
      <c r="H26" s="72">
        <v>19</v>
      </c>
      <c r="I26" s="72" t="b">
        <v>1</v>
      </c>
      <c r="J26" s="76">
        <v>2</v>
      </c>
      <c r="K26" s="1">
        <f t="shared" si="45"/>
        <v>166.25</v>
      </c>
      <c r="L26" s="1">
        <f t="shared" si="0"/>
        <v>87.5</v>
      </c>
      <c r="M26" s="1">
        <f t="shared" si="46"/>
        <v>76.25</v>
      </c>
      <c r="N26">
        <f t="shared" si="1"/>
        <v>78.75</v>
      </c>
      <c r="O26" s="75">
        <f t="shared" si="2"/>
        <v>3.2593933906745134</v>
      </c>
      <c r="P26" s="1">
        <f t="shared" si="3"/>
        <v>82.009393390674518</v>
      </c>
      <c r="Q26" s="1">
        <f t="shared" si="4"/>
        <v>0</v>
      </c>
      <c r="R26" s="1">
        <f t="shared" si="5"/>
        <v>0</v>
      </c>
      <c r="S26" s="1">
        <f t="shared" si="6"/>
        <v>0</v>
      </c>
      <c r="T26" s="73">
        <v>0</v>
      </c>
      <c r="U26" s="74">
        <f t="shared" si="7"/>
        <v>1</v>
      </c>
      <c r="V26" s="73">
        <f t="shared" si="8"/>
        <v>82.009393390674518</v>
      </c>
      <c r="W26" s="72">
        <v>0</v>
      </c>
      <c r="X26" s="1">
        <f t="shared" si="9"/>
        <v>82.009393390674518</v>
      </c>
      <c r="Y26" s="1">
        <f t="shared" si="10"/>
        <v>0</v>
      </c>
      <c r="Z26" s="1">
        <f t="shared" si="11"/>
        <v>0</v>
      </c>
      <c r="AA26" s="1">
        <f t="shared" si="12"/>
        <v>0</v>
      </c>
      <c r="AB26" s="1">
        <f t="shared" si="13"/>
        <v>0</v>
      </c>
      <c r="AC26" s="1">
        <v>0</v>
      </c>
      <c r="AD26" s="64">
        <f t="shared" si="14"/>
        <v>1</v>
      </c>
      <c r="AE26" s="12">
        <f t="shared" si="15"/>
        <v>82.009393390674518</v>
      </c>
      <c r="AF26" s="72">
        <v>0</v>
      </c>
      <c r="AG26" s="1">
        <f t="shared" si="16"/>
        <v>82.009393390674518</v>
      </c>
      <c r="AH26" s="1">
        <f t="shared" si="17"/>
        <v>0</v>
      </c>
      <c r="AI26" s="1">
        <f t="shared" si="18"/>
        <v>0</v>
      </c>
      <c r="AJ26" s="1">
        <f t="shared" si="19"/>
        <v>0</v>
      </c>
      <c r="AK26" s="1">
        <f t="shared" si="20"/>
        <v>0</v>
      </c>
      <c r="AL26" s="1">
        <v>0</v>
      </c>
      <c r="AM26" s="64">
        <f t="shared" si="21"/>
        <v>1</v>
      </c>
      <c r="AN26" s="12">
        <f t="shared" si="22"/>
        <v>82.009393390674518</v>
      </c>
      <c r="AO26" s="72">
        <v>0</v>
      </c>
      <c r="AP26" s="1">
        <f t="shared" si="23"/>
        <v>82.009393390674518</v>
      </c>
      <c r="AQ26" s="1">
        <f t="shared" si="24"/>
        <v>0</v>
      </c>
      <c r="AR26" s="1">
        <f t="shared" si="25"/>
        <v>0</v>
      </c>
      <c r="AS26" s="1">
        <f t="shared" si="26"/>
        <v>0</v>
      </c>
      <c r="AT26" s="1">
        <f t="shared" si="27"/>
        <v>0</v>
      </c>
      <c r="AU26" s="1">
        <v>0</v>
      </c>
      <c r="AV26" s="64">
        <f t="shared" si="28"/>
        <v>1</v>
      </c>
      <c r="AW26" s="12">
        <f t="shared" si="29"/>
        <v>82.009393390674518</v>
      </c>
      <c r="AX26" s="72">
        <v>0</v>
      </c>
      <c r="AY26" s="1">
        <f t="shared" si="30"/>
        <v>82.009393390674518</v>
      </c>
      <c r="AZ26" s="1">
        <f t="shared" si="31"/>
        <v>0</v>
      </c>
      <c r="BA26" s="1">
        <f t="shared" si="32"/>
        <v>0</v>
      </c>
      <c r="BB26" s="1">
        <f t="shared" si="33"/>
        <v>0</v>
      </c>
      <c r="BC26" s="1">
        <f t="shared" si="34"/>
        <v>0</v>
      </c>
      <c r="BD26" s="1">
        <v>0</v>
      </c>
      <c r="BE26" s="64">
        <f t="shared" si="35"/>
        <v>1</v>
      </c>
      <c r="BF26" s="12">
        <f t="shared" si="36"/>
        <v>82.009393390674518</v>
      </c>
      <c r="BG26" s="72">
        <v>0</v>
      </c>
      <c r="BH26" s="1">
        <f t="shared" si="37"/>
        <v>82.009393390674518</v>
      </c>
      <c r="BI26" s="1">
        <f t="shared" si="38"/>
        <v>0</v>
      </c>
      <c r="BJ26" s="1">
        <f t="shared" si="39"/>
        <v>0</v>
      </c>
      <c r="BK26" s="1">
        <f t="shared" si="40"/>
        <v>0</v>
      </c>
      <c r="BL26" s="1">
        <f t="shared" si="41"/>
        <v>0</v>
      </c>
      <c r="BM26" s="1">
        <v>0</v>
      </c>
      <c r="BN26" s="64">
        <f t="shared" si="42"/>
        <v>1</v>
      </c>
    </row>
    <row r="27" spans="2:66" x14ac:dyDescent="0.3">
      <c r="B27" s="79">
        <f t="shared" si="43"/>
        <v>18</v>
      </c>
      <c r="C27" s="78">
        <f t="shared" si="44"/>
        <v>9.25</v>
      </c>
      <c r="D27" s="77">
        <v>1.1000000000000001</v>
      </c>
      <c r="E27" s="72">
        <v>0</v>
      </c>
      <c r="F27" s="72">
        <v>0</v>
      </c>
      <c r="G27" s="72">
        <v>1000</v>
      </c>
      <c r="H27" s="72">
        <v>19</v>
      </c>
      <c r="I27" s="72" t="b">
        <v>1</v>
      </c>
      <c r="J27" s="76">
        <v>3</v>
      </c>
      <c r="K27" s="1">
        <f t="shared" si="45"/>
        <v>175.75</v>
      </c>
      <c r="L27" s="1">
        <f t="shared" si="0"/>
        <v>92.5</v>
      </c>
      <c r="M27" s="1">
        <f t="shared" si="46"/>
        <v>80.75</v>
      </c>
      <c r="N27">
        <f t="shared" si="1"/>
        <v>83.25</v>
      </c>
      <c r="O27" s="75">
        <f t="shared" si="2"/>
        <v>2.9987505206164102</v>
      </c>
      <c r="P27" s="1">
        <f t="shared" si="3"/>
        <v>86.248750520616412</v>
      </c>
      <c r="Q27" s="1">
        <f t="shared" si="4"/>
        <v>0</v>
      </c>
      <c r="R27" s="1">
        <f t="shared" si="5"/>
        <v>0</v>
      </c>
      <c r="S27" s="1">
        <f t="shared" si="6"/>
        <v>0</v>
      </c>
      <c r="T27" s="73">
        <v>0</v>
      </c>
      <c r="U27" s="74">
        <f t="shared" si="7"/>
        <v>1</v>
      </c>
      <c r="V27" s="73">
        <f t="shared" si="8"/>
        <v>86.248750520616412</v>
      </c>
      <c r="W27" s="72">
        <v>0</v>
      </c>
      <c r="X27" s="1">
        <f t="shared" si="9"/>
        <v>86.248750520616412</v>
      </c>
      <c r="Y27" s="1">
        <f t="shared" si="10"/>
        <v>0</v>
      </c>
      <c r="Z27" s="1">
        <f t="shared" si="11"/>
        <v>0</v>
      </c>
      <c r="AA27" s="1">
        <f t="shared" si="12"/>
        <v>0</v>
      </c>
      <c r="AB27" s="1">
        <f t="shared" si="13"/>
        <v>0</v>
      </c>
      <c r="AC27" s="1">
        <v>0</v>
      </c>
      <c r="AD27" s="64">
        <f t="shared" si="14"/>
        <v>1</v>
      </c>
      <c r="AE27" s="12">
        <f t="shared" si="15"/>
        <v>86.248750520616412</v>
      </c>
      <c r="AF27" s="72">
        <v>0</v>
      </c>
      <c r="AG27" s="1">
        <f t="shared" si="16"/>
        <v>86.248750520616412</v>
      </c>
      <c r="AH27" s="1">
        <f t="shared" si="17"/>
        <v>0</v>
      </c>
      <c r="AI27" s="1">
        <f t="shared" si="18"/>
        <v>0</v>
      </c>
      <c r="AJ27" s="1">
        <f t="shared" si="19"/>
        <v>0</v>
      </c>
      <c r="AK27" s="1">
        <f t="shared" si="20"/>
        <v>0</v>
      </c>
      <c r="AL27" s="1">
        <v>0</v>
      </c>
      <c r="AM27" s="64">
        <f t="shared" si="21"/>
        <v>1</v>
      </c>
      <c r="AN27" s="12">
        <f t="shared" si="22"/>
        <v>86.248750520616412</v>
      </c>
      <c r="AO27" s="72">
        <v>0</v>
      </c>
      <c r="AP27" s="1">
        <f t="shared" si="23"/>
        <v>86.248750520616412</v>
      </c>
      <c r="AQ27" s="1">
        <f t="shared" si="24"/>
        <v>0</v>
      </c>
      <c r="AR27" s="1">
        <f t="shared" si="25"/>
        <v>0</v>
      </c>
      <c r="AS27" s="1">
        <f t="shared" si="26"/>
        <v>0</v>
      </c>
      <c r="AT27" s="1">
        <f t="shared" si="27"/>
        <v>0</v>
      </c>
      <c r="AU27" s="1">
        <v>0</v>
      </c>
      <c r="AV27" s="64">
        <f t="shared" si="28"/>
        <v>1</v>
      </c>
      <c r="AW27" s="12">
        <f t="shared" si="29"/>
        <v>86.248750520616412</v>
      </c>
      <c r="AX27" s="72">
        <v>0</v>
      </c>
      <c r="AY27" s="1">
        <f t="shared" si="30"/>
        <v>86.248750520616412</v>
      </c>
      <c r="AZ27" s="1">
        <f t="shared" si="31"/>
        <v>0</v>
      </c>
      <c r="BA27" s="1">
        <f t="shared" si="32"/>
        <v>0</v>
      </c>
      <c r="BB27" s="1">
        <f t="shared" si="33"/>
        <v>0</v>
      </c>
      <c r="BC27" s="1">
        <f t="shared" si="34"/>
        <v>0</v>
      </c>
      <c r="BD27" s="1">
        <v>0</v>
      </c>
      <c r="BE27" s="64">
        <f t="shared" si="35"/>
        <v>1</v>
      </c>
      <c r="BF27" s="12">
        <f t="shared" si="36"/>
        <v>86.248750520616412</v>
      </c>
      <c r="BG27" s="72">
        <v>0</v>
      </c>
      <c r="BH27" s="1">
        <f t="shared" si="37"/>
        <v>86.248750520616412</v>
      </c>
      <c r="BI27" s="1">
        <f t="shared" si="38"/>
        <v>0</v>
      </c>
      <c r="BJ27" s="1">
        <f t="shared" si="39"/>
        <v>0</v>
      </c>
      <c r="BK27" s="1">
        <f t="shared" si="40"/>
        <v>0</v>
      </c>
      <c r="BL27" s="1">
        <f t="shared" si="41"/>
        <v>0</v>
      </c>
      <c r="BM27" s="1">
        <v>0</v>
      </c>
      <c r="BN27" s="64">
        <f t="shared" si="42"/>
        <v>1</v>
      </c>
    </row>
    <row r="28" spans="2:66" x14ac:dyDescent="0.3">
      <c r="B28" s="79">
        <f t="shared" si="43"/>
        <v>19</v>
      </c>
      <c r="C28" s="78">
        <f t="shared" si="44"/>
        <v>9.75</v>
      </c>
      <c r="D28" s="77">
        <v>1.1000000000000001</v>
      </c>
      <c r="E28" s="72">
        <v>0</v>
      </c>
      <c r="F28" s="72">
        <v>0</v>
      </c>
      <c r="G28" s="72">
        <v>1000</v>
      </c>
      <c r="H28" s="72">
        <v>19</v>
      </c>
      <c r="I28" s="72" t="b">
        <v>1</v>
      </c>
      <c r="J28" s="76">
        <v>4</v>
      </c>
      <c r="K28" s="1">
        <f t="shared" si="45"/>
        <v>185.25</v>
      </c>
      <c r="L28" s="1">
        <f t="shared" si="0"/>
        <v>97.5</v>
      </c>
      <c r="M28" s="1">
        <f t="shared" si="46"/>
        <v>86.25</v>
      </c>
      <c r="N28">
        <f t="shared" si="1"/>
        <v>87.75</v>
      </c>
      <c r="O28" s="75">
        <f t="shared" si="2"/>
        <v>2.7681660899653981</v>
      </c>
      <c r="P28" s="1">
        <f t="shared" si="3"/>
        <v>90.518166089965405</v>
      </c>
      <c r="Q28" s="1">
        <f t="shared" si="4"/>
        <v>0</v>
      </c>
      <c r="R28" s="1">
        <f t="shared" si="5"/>
        <v>0</v>
      </c>
      <c r="S28" s="1">
        <f t="shared" si="6"/>
        <v>0</v>
      </c>
      <c r="T28" s="73">
        <v>0</v>
      </c>
      <c r="U28" s="74">
        <f t="shared" si="7"/>
        <v>1</v>
      </c>
      <c r="V28" s="73">
        <f t="shared" si="8"/>
        <v>90.518166089965405</v>
      </c>
      <c r="W28" s="72">
        <v>0</v>
      </c>
      <c r="X28" s="1">
        <f t="shared" si="9"/>
        <v>90.518166089965405</v>
      </c>
      <c r="Y28" s="1">
        <f t="shared" si="10"/>
        <v>0</v>
      </c>
      <c r="Z28" s="1">
        <f t="shared" si="11"/>
        <v>0</v>
      </c>
      <c r="AA28" s="1">
        <f t="shared" si="12"/>
        <v>0</v>
      </c>
      <c r="AB28" s="1">
        <f t="shared" si="13"/>
        <v>0</v>
      </c>
      <c r="AC28" s="1">
        <v>0</v>
      </c>
      <c r="AD28" s="64">
        <f t="shared" si="14"/>
        <v>1</v>
      </c>
      <c r="AE28" s="12">
        <f t="shared" si="15"/>
        <v>90.518166089965405</v>
      </c>
      <c r="AF28" s="72">
        <v>0</v>
      </c>
      <c r="AG28" s="1">
        <f t="shared" si="16"/>
        <v>90.518166089965405</v>
      </c>
      <c r="AH28" s="1">
        <f t="shared" si="17"/>
        <v>0</v>
      </c>
      <c r="AI28" s="1">
        <f t="shared" si="18"/>
        <v>0</v>
      </c>
      <c r="AJ28" s="1">
        <f t="shared" si="19"/>
        <v>0</v>
      </c>
      <c r="AK28" s="1">
        <f t="shared" si="20"/>
        <v>0</v>
      </c>
      <c r="AL28" s="1">
        <v>0</v>
      </c>
      <c r="AM28" s="64">
        <f t="shared" si="21"/>
        <v>1</v>
      </c>
      <c r="AN28" s="12">
        <f t="shared" si="22"/>
        <v>90.518166089965405</v>
      </c>
      <c r="AO28" s="72">
        <v>0</v>
      </c>
      <c r="AP28" s="1">
        <f t="shared" si="23"/>
        <v>90.518166089965405</v>
      </c>
      <c r="AQ28" s="1">
        <f t="shared" si="24"/>
        <v>0</v>
      </c>
      <c r="AR28" s="1">
        <f t="shared" si="25"/>
        <v>0</v>
      </c>
      <c r="AS28" s="1">
        <f t="shared" si="26"/>
        <v>0</v>
      </c>
      <c r="AT28" s="1">
        <f t="shared" si="27"/>
        <v>0</v>
      </c>
      <c r="AU28" s="1">
        <v>0</v>
      </c>
      <c r="AV28" s="64">
        <f t="shared" si="28"/>
        <v>1</v>
      </c>
      <c r="AW28" s="12">
        <f t="shared" si="29"/>
        <v>90.518166089965405</v>
      </c>
      <c r="AX28" s="72">
        <v>0</v>
      </c>
      <c r="AY28" s="1">
        <f t="shared" si="30"/>
        <v>90.518166089965405</v>
      </c>
      <c r="AZ28" s="1">
        <f t="shared" si="31"/>
        <v>0</v>
      </c>
      <c r="BA28" s="1">
        <f t="shared" si="32"/>
        <v>0</v>
      </c>
      <c r="BB28" s="1">
        <f t="shared" si="33"/>
        <v>0</v>
      </c>
      <c r="BC28" s="1">
        <f t="shared" si="34"/>
        <v>0</v>
      </c>
      <c r="BD28" s="1">
        <v>0</v>
      </c>
      <c r="BE28" s="64">
        <f t="shared" si="35"/>
        <v>1</v>
      </c>
      <c r="BF28" s="12">
        <f t="shared" si="36"/>
        <v>90.518166089965405</v>
      </c>
      <c r="BG28" s="72">
        <v>0</v>
      </c>
      <c r="BH28" s="1">
        <f t="shared" si="37"/>
        <v>90.518166089965405</v>
      </c>
      <c r="BI28" s="1">
        <f t="shared" si="38"/>
        <v>0</v>
      </c>
      <c r="BJ28" s="1">
        <f t="shared" si="39"/>
        <v>0</v>
      </c>
      <c r="BK28" s="1">
        <f t="shared" si="40"/>
        <v>0</v>
      </c>
      <c r="BL28" s="1">
        <f t="shared" si="41"/>
        <v>0</v>
      </c>
      <c r="BM28" s="1">
        <v>0</v>
      </c>
      <c r="BN28" s="64">
        <f t="shared" si="42"/>
        <v>1</v>
      </c>
    </row>
    <row r="29" spans="2:66" x14ac:dyDescent="0.3">
      <c r="B29" s="79">
        <f t="shared" si="43"/>
        <v>20</v>
      </c>
      <c r="C29" s="78">
        <f t="shared" si="44"/>
        <v>10.25</v>
      </c>
      <c r="D29" s="77">
        <v>1.1000000000000001</v>
      </c>
      <c r="E29" s="72">
        <v>0</v>
      </c>
      <c r="F29" s="72">
        <v>0</v>
      </c>
      <c r="G29" s="72">
        <v>1000</v>
      </c>
      <c r="H29" s="72">
        <v>19</v>
      </c>
      <c r="I29" s="72" t="b">
        <v>1</v>
      </c>
      <c r="J29" s="76">
        <v>5</v>
      </c>
      <c r="K29" s="1">
        <f t="shared" si="45"/>
        <v>194.75</v>
      </c>
      <c r="L29" s="1">
        <f t="shared" si="0"/>
        <v>102.5</v>
      </c>
      <c r="M29" s="1">
        <f t="shared" si="46"/>
        <v>91.75</v>
      </c>
      <c r="N29">
        <f t="shared" si="1"/>
        <v>92.25</v>
      </c>
      <c r="O29" s="75">
        <f t="shared" si="2"/>
        <v>2.5631897472410112</v>
      </c>
      <c r="P29" s="1">
        <f t="shared" si="3"/>
        <v>94.813189747241012</v>
      </c>
      <c r="Q29" s="1">
        <f t="shared" si="4"/>
        <v>0</v>
      </c>
      <c r="R29" s="1">
        <f t="shared" si="5"/>
        <v>0</v>
      </c>
      <c r="S29" s="1">
        <f t="shared" si="6"/>
        <v>0</v>
      </c>
      <c r="T29" s="73">
        <v>0</v>
      </c>
      <c r="U29" s="74">
        <f t="shared" si="7"/>
        <v>1</v>
      </c>
      <c r="V29" s="73">
        <f t="shared" si="8"/>
        <v>94.813189747241012</v>
      </c>
      <c r="W29" s="72">
        <v>0</v>
      </c>
      <c r="X29" s="1">
        <f t="shared" si="9"/>
        <v>94.813189747241012</v>
      </c>
      <c r="Y29" s="1">
        <f t="shared" si="10"/>
        <v>0</v>
      </c>
      <c r="Z29" s="1">
        <f t="shared" si="11"/>
        <v>0</v>
      </c>
      <c r="AA29" s="1">
        <f t="shared" si="12"/>
        <v>0</v>
      </c>
      <c r="AB29" s="1">
        <f t="shared" si="13"/>
        <v>0</v>
      </c>
      <c r="AC29" s="1">
        <v>0</v>
      </c>
      <c r="AD29" s="64">
        <f t="shared" si="14"/>
        <v>1</v>
      </c>
      <c r="AE29" s="12">
        <f t="shared" si="15"/>
        <v>94.813189747241012</v>
      </c>
      <c r="AF29" s="72">
        <v>0</v>
      </c>
      <c r="AG29" s="1">
        <f t="shared" si="16"/>
        <v>94.813189747241012</v>
      </c>
      <c r="AH29" s="1">
        <f t="shared" si="17"/>
        <v>0</v>
      </c>
      <c r="AI29" s="1">
        <f t="shared" si="18"/>
        <v>0</v>
      </c>
      <c r="AJ29" s="1">
        <f t="shared" si="19"/>
        <v>0</v>
      </c>
      <c r="AK29" s="1">
        <f t="shared" si="20"/>
        <v>0</v>
      </c>
      <c r="AL29" s="1">
        <v>0</v>
      </c>
      <c r="AM29" s="64">
        <f t="shared" si="21"/>
        <v>1</v>
      </c>
      <c r="AN29" s="12">
        <f t="shared" si="22"/>
        <v>94.813189747241012</v>
      </c>
      <c r="AO29" s="72">
        <v>0</v>
      </c>
      <c r="AP29" s="1">
        <f t="shared" si="23"/>
        <v>94.813189747241012</v>
      </c>
      <c r="AQ29" s="1">
        <f t="shared" si="24"/>
        <v>0</v>
      </c>
      <c r="AR29" s="1">
        <f t="shared" si="25"/>
        <v>0</v>
      </c>
      <c r="AS29" s="1">
        <f t="shared" si="26"/>
        <v>0</v>
      </c>
      <c r="AT29" s="1">
        <f t="shared" si="27"/>
        <v>0</v>
      </c>
      <c r="AU29" s="1">
        <v>0</v>
      </c>
      <c r="AV29" s="64">
        <f t="shared" si="28"/>
        <v>1</v>
      </c>
      <c r="AW29" s="12">
        <f t="shared" si="29"/>
        <v>94.813189747241012</v>
      </c>
      <c r="AX29" s="72">
        <v>0</v>
      </c>
      <c r="AY29" s="1">
        <f t="shared" si="30"/>
        <v>94.813189747241012</v>
      </c>
      <c r="AZ29" s="1">
        <f t="shared" si="31"/>
        <v>0</v>
      </c>
      <c r="BA29" s="1">
        <f t="shared" si="32"/>
        <v>0</v>
      </c>
      <c r="BB29" s="1">
        <f t="shared" si="33"/>
        <v>0</v>
      </c>
      <c r="BC29" s="1">
        <f t="shared" si="34"/>
        <v>0</v>
      </c>
      <c r="BD29" s="1">
        <v>0</v>
      </c>
      <c r="BE29" s="64">
        <f t="shared" si="35"/>
        <v>1</v>
      </c>
      <c r="BF29" s="12">
        <f t="shared" si="36"/>
        <v>94.813189747241012</v>
      </c>
      <c r="BG29" s="72">
        <v>0</v>
      </c>
      <c r="BH29" s="1">
        <f t="shared" si="37"/>
        <v>94.813189747241012</v>
      </c>
      <c r="BI29" s="1">
        <f t="shared" si="38"/>
        <v>0</v>
      </c>
      <c r="BJ29" s="1">
        <f t="shared" si="39"/>
        <v>0</v>
      </c>
      <c r="BK29" s="1">
        <f t="shared" si="40"/>
        <v>0</v>
      </c>
      <c r="BL29" s="1">
        <f t="shared" si="41"/>
        <v>0</v>
      </c>
      <c r="BM29" s="1">
        <v>0</v>
      </c>
      <c r="BN29" s="64">
        <f t="shared" si="42"/>
        <v>1</v>
      </c>
    </row>
    <row r="30" spans="2:66" x14ac:dyDescent="0.3">
      <c r="B30" s="79">
        <f t="shared" si="43"/>
        <v>21</v>
      </c>
      <c r="C30" s="78">
        <f t="shared" si="44"/>
        <v>10.75</v>
      </c>
      <c r="D30" s="77">
        <v>1.1000000000000001</v>
      </c>
      <c r="E30" s="72">
        <v>0</v>
      </c>
      <c r="F30" s="72">
        <v>0</v>
      </c>
      <c r="G30" s="72">
        <v>1000</v>
      </c>
      <c r="H30" s="72">
        <v>19</v>
      </c>
      <c r="I30" s="72" t="b">
        <v>1</v>
      </c>
      <c r="J30" s="76">
        <v>6</v>
      </c>
      <c r="K30" s="1">
        <f t="shared" si="45"/>
        <v>204.25</v>
      </c>
      <c r="L30" s="1">
        <f t="shared" si="0"/>
        <v>107.5</v>
      </c>
      <c r="M30" s="1">
        <f t="shared" si="46"/>
        <v>97.25</v>
      </c>
      <c r="N30">
        <f t="shared" si="1"/>
        <v>96.75</v>
      </c>
      <c r="O30" s="75">
        <f t="shared" si="2"/>
        <v>2.3801652892561984</v>
      </c>
      <c r="P30" s="1">
        <f t="shared" si="3"/>
        <v>99.130165289256198</v>
      </c>
      <c r="Q30" s="1">
        <f t="shared" si="4"/>
        <v>0</v>
      </c>
      <c r="R30" s="1">
        <f t="shared" si="5"/>
        <v>0</v>
      </c>
      <c r="S30" s="1">
        <f t="shared" si="6"/>
        <v>0</v>
      </c>
      <c r="T30" s="73">
        <v>0</v>
      </c>
      <c r="U30" s="74">
        <f t="shared" si="7"/>
        <v>1</v>
      </c>
      <c r="V30" s="73">
        <f t="shared" si="8"/>
        <v>99.130165289256198</v>
      </c>
      <c r="W30" s="72">
        <v>0</v>
      </c>
      <c r="X30" s="1">
        <f t="shared" si="9"/>
        <v>99.130165289256198</v>
      </c>
      <c r="Y30" s="1">
        <f t="shared" si="10"/>
        <v>0</v>
      </c>
      <c r="Z30" s="1">
        <f t="shared" si="11"/>
        <v>0</v>
      </c>
      <c r="AA30" s="1">
        <f t="shared" si="12"/>
        <v>0</v>
      </c>
      <c r="AB30" s="1">
        <f t="shared" si="13"/>
        <v>0</v>
      </c>
      <c r="AC30" s="1">
        <v>0</v>
      </c>
      <c r="AD30" s="64">
        <f t="shared" si="14"/>
        <v>1</v>
      </c>
      <c r="AE30" s="12">
        <f t="shared" si="15"/>
        <v>99.130165289256198</v>
      </c>
      <c r="AF30" s="72">
        <v>0</v>
      </c>
      <c r="AG30" s="1">
        <f t="shared" si="16"/>
        <v>99.130165289256198</v>
      </c>
      <c r="AH30" s="1">
        <f t="shared" si="17"/>
        <v>0</v>
      </c>
      <c r="AI30" s="1">
        <f t="shared" si="18"/>
        <v>0</v>
      </c>
      <c r="AJ30" s="1">
        <f t="shared" si="19"/>
        <v>0</v>
      </c>
      <c r="AK30" s="1">
        <f t="shared" si="20"/>
        <v>0</v>
      </c>
      <c r="AL30" s="1">
        <v>0</v>
      </c>
      <c r="AM30" s="64">
        <f t="shared" si="21"/>
        <v>1</v>
      </c>
      <c r="AN30" s="12">
        <f t="shared" si="22"/>
        <v>99.130165289256198</v>
      </c>
      <c r="AO30" s="72">
        <v>0</v>
      </c>
      <c r="AP30" s="1">
        <f t="shared" si="23"/>
        <v>99.130165289256198</v>
      </c>
      <c r="AQ30" s="1">
        <f t="shared" si="24"/>
        <v>0</v>
      </c>
      <c r="AR30" s="1">
        <f t="shared" si="25"/>
        <v>0</v>
      </c>
      <c r="AS30" s="1">
        <f t="shared" si="26"/>
        <v>0</v>
      </c>
      <c r="AT30" s="1">
        <f t="shared" si="27"/>
        <v>0</v>
      </c>
      <c r="AU30" s="1">
        <v>0</v>
      </c>
      <c r="AV30" s="64">
        <f t="shared" si="28"/>
        <v>1</v>
      </c>
      <c r="AW30" s="12">
        <f t="shared" si="29"/>
        <v>99.130165289256198</v>
      </c>
      <c r="AX30" s="72">
        <v>0</v>
      </c>
      <c r="AY30" s="1">
        <f t="shared" si="30"/>
        <v>99.130165289256198</v>
      </c>
      <c r="AZ30" s="1">
        <f t="shared" si="31"/>
        <v>0</v>
      </c>
      <c r="BA30" s="1">
        <f t="shared" si="32"/>
        <v>0</v>
      </c>
      <c r="BB30" s="1">
        <f t="shared" si="33"/>
        <v>0</v>
      </c>
      <c r="BC30" s="1">
        <f t="shared" si="34"/>
        <v>0</v>
      </c>
      <c r="BD30" s="1">
        <v>0</v>
      </c>
      <c r="BE30" s="64">
        <f t="shared" si="35"/>
        <v>1</v>
      </c>
      <c r="BF30" s="12">
        <f t="shared" si="36"/>
        <v>99.130165289256198</v>
      </c>
      <c r="BG30" s="72">
        <v>0</v>
      </c>
      <c r="BH30" s="1">
        <f t="shared" si="37"/>
        <v>99.130165289256198</v>
      </c>
      <c r="BI30" s="1">
        <f t="shared" si="38"/>
        <v>0</v>
      </c>
      <c r="BJ30" s="1">
        <f t="shared" si="39"/>
        <v>0</v>
      </c>
      <c r="BK30" s="1">
        <f t="shared" si="40"/>
        <v>0</v>
      </c>
      <c r="BL30" s="1">
        <f t="shared" si="41"/>
        <v>0</v>
      </c>
      <c r="BM30" s="1">
        <v>0</v>
      </c>
      <c r="BN30" s="64">
        <f t="shared" si="42"/>
        <v>1</v>
      </c>
    </row>
    <row r="31" spans="2:66" x14ac:dyDescent="0.3">
      <c r="B31" s="79">
        <f t="shared" si="43"/>
        <v>22</v>
      </c>
      <c r="C31" s="78">
        <f t="shared" si="44"/>
        <v>11.25</v>
      </c>
      <c r="D31" s="77">
        <v>1.1000000000000001</v>
      </c>
      <c r="E31" s="72">
        <v>0</v>
      </c>
      <c r="F31" s="72">
        <v>0</v>
      </c>
      <c r="G31" s="72">
        <v>1000</v>
      </c>
      <c r="H31" s="72">
        <v>19</v>
      </c>
      <c r="I31" s="72" t="b">
        <v>1</v>
      </c>
      <c r="J31" s="76">
        <v>7</v>
      </c>
      <c r="K31" s="1">
        <f t="shared" si="45"/>
        <v>213.75</v>
      </c>
      <c r="L31" s="1">
        <f t="shared" si="0"/>
        <v>112.5</v>
      </c>
      <c r="M31" s="1">
        <f t="shared" si="46"/>
        <v>102.75</v>
      </c>
      <c r="N31">
        <f t="shared" si="1"/>
        <v>101.25</v>
      </c>
      <c r="O31" s="75">
        <f t="shared" si="2"/>
        <v>2.2160664819944595</v>
      </c>
      <c r="P31" s="1">
        <f t="shared" si="3"/>
        <v>103.46606648199446</v>
      </c>
      <c r="Q31" s="1">
        <f t="shared" si="4"/>
        <v>0</v>
      </c>
      <c r="R31" s="1">
        <f t="shared" si="5"/>
        <v>0</v>
      </c>
      <c r="S31" s="1">
        <f t="shared" si="6"/>
        <v>0</v>
      </c>
      <c r="T31" s="73">
        <v>0</v>
      </c>
      <c r="U31" s="74">
        <f t="shared" si="7"/>
        <v>1</v>
      </c>
      <c r="V31" s="73">
        <f t="shared" si="8"/>
        <v>103.46606648199446</v>
      </c>
      <c r="W31" s="72">
        <v>0</v>
      </c>
      <c r="X31" s="1">
        <f t="shared" si="9"/>
        <v>103.46606648199446</v>
      </c>
      <c r="Y31" s="1">
        <f t="shared" si="10"/>
        <v>0</v>
      </c>
      <c r="Z31" s="1">
        <f t="shared" si="11"/>
        <v>0</v>
      </c>
      <c r="AA31" s="1">
        <f t="shared" si="12"/>
        <v>0</v>
      </c>
      <c r="AB31" s="1">
        <f t="shared" si="13"/>
        <v>0</v>
      </c>
      <c r="AC31" s="1">
        <v>0</v>
      </c>
      <c r="AD31" s="64">
        <f t="shared" si="14"/>
        <v>1</v>
      </c>
      <c r="AE31" s="12">
        <f t="shared" si="15"/>
        <v>103.46606648199446</v>
      </c>
      <c r="AF31" s="72">
        <v>0</v>
      </c>
      <c r="AG31" s="1">
        <f t="shared" si="16"/>
        <v>103.46606648199446</v>
      </c>
      <c r="AH31" s="1">
        <f t="shared" si="17"/>
        <v>0</v>
      </c>
      <c r="AI31" s="1">
        <f t="shared" si="18"/>
        <v>0</v>
      </c>
      <c r="AJ31" s="1">
        <f t="shared" si="19"/>
        <v>0</v>
      </c>
      <c r="AK31" s="1">
        <f t="shared" si="20"/>
        <v>0</v>
      </c>
      <c r="AL31" s="1">
        <v>0</v>
      </c>
      <c r="AM31" s="64">
        <f t="shared" si="21"/>
        <v>1</v>
      </c>
      <c r="AN31" s="12">
        <f t="shared" si="22"/>
        <v>103.46606648199446</v>
      </c>
      <c r="AO31" s="72">
        <v>0</v>
      </c>
      <c r="AP31" s="1">
        <f t="shared" si="23"/>
        <v>103.46606648199446</v>
      </c>
      <c r="AQ31" s="1">
        <f t="shared" si="24"/>
        <v>0</v>
      </c>
      <c r="AR31" s="1">
        <f t="shared" si="25"/>
        <v>0</v>
      </c>
      <c r="AS31" s="1">
        <f t="shared" si="26"/>
        <v>0</v>
      </c>
      <c r="AT31" s="1">
        <f t="shared" si="27"/>
        <v>0</v>
      </c>
      <c r="AU31" s="1">
        <v>0</v>
      </c>
      <c r="AV31" s="64">
        <f t="shared" si="28"/>
        <v>1</v>
      </c>
      <c r="AW31" s="12">
        <f t="shared" si="29"/>
        <v>103.46606648199446</v>
      </c>
      <c r="AX31" s="72">
        <v>0</v>
      </c>
      <c r="AY31" s="1">
        <f t="shared" si="30"/>
        <v>103.46606648199446</v>
      </c>
      <c r="AZ31" s="1">
        <f t="shared" si="31"/>
        <v>0</v>
      </c>
      <c r="BA31" s="1">
        <f t="shared" si="32"/>
        <v>0</v>
      </c>
      <c r="BB31" s="1">
        <f t="shared" si="33"/>
        <v>0</v>
      </c>
      <c r="BC31" s="1">
        <f t="shared" si="34"/>
        <v>0</v>
      </c>
      <c r="BD31" s="1">
        <v>0</v>
      </c>
      <c r="BE31" s="64">
        <f t="shared" si="35"/>
        <v>1</v>
      </c>
      <c r="BF31" s="12">
        <f t="shared" si="36"/>
        <v>103.46606648199446</v>
      </c>
      <c r="BG31" s="72">
        <v>0</v>
      </c>
      <c r="BH31" s="1">
        <f t="shared" si="37"/>
        <v>103.46606648199446</v>
      </c>
      <c r="BI31" s="1">
        <f t="shared" si="38"/>
        <v>0</v>
      </c>
      <c r="BJ31" s="1">
        <f t="shared" si="39"/>
        <v>0</v>
      </c>
      <c r="BK31" s="1">
        <f t="shared" si="40"/>
        <v>0</v>
      </c>
      <c r="BL31" s="1">
        <f t="shared" si="41"/>
        <v>0</v>
      </c>
      <c r="BM31" s="1">
        <v>0</v>
      </c>
      <c r="BN31" s="64">
        <f t="shared" si="42"/>
        <v>1</v>
      </c>
    </row>
    <row r="32" spans="2:66" x14ac:dyDescent="0.3">
      <c r="B32" s="79">
        <f t="shared" si="43"/>
        <v>23</v>
      </c>
      <c r="C32" s="78">
        <f t="shared" si="44"/>
        <v>11.75</v>
      </c>
      <c r="D32" s="77">
        <v>1.1000000000000001</v>
      </c>
      <c r="E32" s="72">
        <v>0</v>
      </c>
      <c r="F32" s="72">
        <v>0</v>
      </c>
      <c r="G32" s="72">
        <v>1000</v>
      </c>
      <c r="H32" s="72">
        <v>19</v>
      </c>
      <c r="I32" s="72" t="b">
        <v>1</v>
      </c>
      <c r="J32" s="76">
        <v>8</v>
      </c>
      <c r="K32" s="1">
        <f t="shared" si="45"/>
        <v>223.25</v>
      </c>
      <c r="L32" s="1">
        <f t="shared" si="0"/>
        <v>117.5</v>
      </c>
      <c r="M32" s="1">
        <f t="shared" si="46"/>
        <v>108.25</v>
      </c>
      <c r="N32">
        <f t="shared" si="1"/>
        <v>105.75</v>
      </c>
      <c r="O32" s="75">
        <f t="shared" si="2"/>
        <v>2.0683711577133006</v>
      </c>
      <c r="P32" s="1">
        <f t="shared" si="3"/>
        <v>107.8183711577133</v>
      </c>
      <c r="Q32" s="1">
        <f t="shared" si="4"/>
        <v>0</v>
      </c>
      <c r="R32" s="1">
        <f t="shared" si="5"/>
        <v>0</v>
      </c>
      <c r="S32" s="1">
        <f t="shared" si="6"/>
        <v>0</v>
      </c>
      <c r="T32" s="73">
        <v>0</v>
      </c>
      <c r="U32" s="74">
        <f t="shared" si="7"/>
        <v>1</v>
      </c>
      <c r="V32" s="73">
        <f t="shared" si="8"/>
        <v>107.8183711577133</v>
      </c>
      <c r="W32" s="72">
        <v>0</v>
      </c>
      <c r="X32" s="1">
        <f t="shared" si="9"/>
        <v>107.8183711577133</v>
      </c>
      <c r="Y32" s="1">
        <f t="shared" si="10"/>
        <v>0</v>
      </c>
      <c r="Z32" s="1">
        <f t="shared" si="11"/>
        <v>0</v>
      </c>
      <c r="AA32" s="1">
        <f t="shared" si="12"/>
        <v>0</v>
      </c>
      <c r="AB32" s="1">
        <f t="shared" si="13"/>
        <v>0</v>
      </c>
      <c r="AC32" s="1">
        <v>0</v>
      </c>
      <c r="AD32" s="64">
        <f t="shared" si="14"/>
        <v>1</v>
      </c>
      <c r="AE32" s="12">
        <f t="shared" si="15"/>
        <v>107.8183711577133</v>
      </c>
      <c r="AF32" s="72">
        <v>0</v>
      </c>
      <c r="AG32" s="1">
        <f t="shared" si="16"/>
        <v>107.8183711577133</v>
      </c>
      <c r="AH32" s="1">
        <f t="shared" si="17"/>
        <v>0</v>
      </c>
      <c r="AI32" s="1">
        <f t="shared" si="18"/>
        <v>0</v>
      </c>
      <c r="AJ32" s="1">
        <f t="shared" si="19"/>
        <v>0</v>
      </c>
      <c r="AK32" s="1">
        <f t="shared" si="20"/>
        <v>0</v>
      </c>
      <c r="AL32" s="1">
        <v>0</v>
      </c>
      <c r="AM32" s="64">
        <f t="shared" si="21"/>
        <v>1</v>
      </c>
      <c r="AN32" s="12">
        <f t="shared" si="22"/>
        <v>107.8183711577133</v>
      </c>
      <c r="AO32" s="72">
        <v>0</v>
      </c>
      <c r="AP32" s="1">
        <f t="shared" si="23"/>
        <v>107.8183711577133</v>
      </c>
      <c r="AQ32" s="1">
        <f t="shared" si="24"/>
        <v>0</v>
      </c>
      <c r="AR32" s="1">
        <f t="shared" si="25"/>
        <v>0</v>
      </c>
      <c r="AS32" s="1">
        <f t="shared" si="26"/>
        <v>0</v>
      </c>
      <c r="AT32" s="1">
        <f t="shared" si="27"/>
        <v>0</v>
      </c>
      <c r="AU32" s="1">
        <v>0</v>
      </c>
      <c r="AV32" s="64">
        <f t="shared" si="28"/>
        <v>1</v>
      </c>
      <c r="AW32" s="12">
        <f t="shared" si="29"/>
        <v>107.8183711577133</v>
      </c>
      <c r="AX32" s="72">
        <v>0</v>
      </c>
      <c r="AY32" s="1">
        <f t="shared" si="30"/>
        <v>107.8183711577133</v>
      </c>
      <c r="AZ32" s="1">
        <f t="shared" si="31"/>
        <v>0</v>
      </c>
      <c r="BA32" s="1">
        <f t="shared" si="32"/>
        <v>0</v>
      </c>
      <c r="BB32" s="1">
        <f t="shared" si="33"/>
        <v>0</v>
      </c>
      <c r="BC32" s="1">
        <f t="shared" si="34"/>
        <v>0</v>
      </c>
      <c r="BD32" s="1">
        <v>0</v>
      </c>
      <c r="BE32" s="64">
        <f t="shared" si="35"/>
        <v>1</v>
      </c>
      <c r="BF32" s="12">
        <f t="shared" si="36"/>
        <v>107.8183711577133</v>
      </c>
      <c r="BG32" s="72">
        <v>0</v>
      </c>
      <c r="BH32" s="1">
        <f t="shared" si="37"/>
        <v>107.8183711577133</v>
      </c>
      <c r="BI32" s="1">
        <f t="shared" si="38"/>
        <v>0</v>
      </c>
      <c r="BJ32" s="1">
        <f t="shared" si="39"/>
        <v>0</v>
      </c>
      <c r="BK32" s="1">
        <f t="shared" si="40"/>
        <v>0</v>
      </c>
      <c r="BL32" s="1">
        <f t="shared" si="41"/>
        <v>0</v>
      </c>
      <c r="BM32" s="1">
        <v>0</v>
      </c>
      <c r="BN32" s="64">
        <f t="shared" si="42"/>
        <v>1</v>
      </c>
    </row>
    <row r="33" spans="2:66" x14ac:dyDescent="0.3">
      <c r="B33" s="79">
        <f t="shared" si="43"/>
        <v>24</v>
      </c>
      <c r="C33" s="78">
        <f t="shared" si="44"/>
        <v>12.25</v>
      </c>
      <c r="D33" s="77">
        <v>1.1000000000000001</v>
      </c>
      <c r="E33" s="72">
        <v>0.13</v>
      </c>
      <c r="F33" s="72">
        <v>0.4</v>
      </c>
      <c r="G33" s="72">
        <v>2.0999999999999999E-3</v>
      </c>
      <c r="H33" s="72">
        <v>19</v>
      </c>
      <c r="I33" s="72" t="b">
        <v>0</v>
      </c>
      <c r="J33" s="76">
        <v>2</v>
      </c>
      <c r="K33" s="1">
        <f t="shared" si="45"/>
        <v>232.75</v>
      </c>
      <c r="L33" s="1">
        <f t="shared" si="0"/>
        <v>122.5</v>
      </c>
      <c r="M33" s="1">
        <f t="shared" si="46"/>
        <v>113.75</v>
      </c>
      <c r="N33">
        <f t="shared" si="1"/>
        <v>110.25</v>
      </c>
      <c r="O33" s="75">
        <f t="shared" si="2"/>
        <v>1.9349637194302607</v>
      </c>
      <c r="P33" s="1">
        <f t="shared" si="3"/>
        <v>112.18496371943026</v>
      </c>
      <c r="Q33" s="1">
        <f t="shared" si="4"/>
        <v>9.8228697951959019E-4</v>
      </c>
      <c r="R33" s="1">
        <f t="shared" si="5"/>
        <v>0</v>
      </c>
      <c r="S33" s="1">
        <f t="shared" si="6"/>
        <v>5.7300073805309423E-3</v>
      </c>
      <c r="T33" s="73">
        <v>0.29383202149488352</v>
      </c>
      <c r="U33" s="74">
        <f t="shared" si="7"/>
        <v>0.84814597889132481</v>
      </c>
      <c r="V33" s="73">
        <f t="shared" si="8"/>
        <v>111.89113169793538</v>
      </c>
      <c r="W33" s="72">
        <v>0</v>
      </c>
      <c r="X33" s="1">
        <f t="shared" si="9"/>
        <v>112.18496371943026</v>
      </c>
      <c r="Y33" s="1">
        <f t="shared" si="10"/>
        <v>0.29383202149487886</v>
      </c>
      <c r="Z33" s="1">
        <f t="shared" si="11"/>
        <v>1.4806809979482806E-4</v>
      </c>
      <c r="AA33" s="1">
        <f t="shared" si="12"/>
        <v>0</v>
      </c>
      <c r="AB33" s="1">
        <f t="shared" si="13"/>
        <v>8.6373058213649694E-4</v>
      </c>
      <c r="AC33" s="1">
        <v>8.2828820752859564E-2</v>
      </c>
      <c r="AD33" s="64">
        <f t="shared" si="14"/>
        <v>0.71810825678064094</v>
      </c>
      <c r="AE33" s="12">
        <f t="shared" si="15"/>
        <v>112.10213489867739</v>
      </c>
      <c r="AF33" s="72">
        <v>0</v>
      </c>
      <c r="AG33" s="1">
        <f t="shared" si="16"/>
        <v>112.18496371943026</v>
      </c>
      <c r="AH33" s="1">
        <f t="shared" si="17"/>
        <v>8.2828820752865795E-2</v>
      </c>
      <c r="AI33" s="1">
        <f t="shared" si="18"/>
        <v>4.1699885680626782E-5</v>
      </c>
      <c r="AJ33" s="1">
        <f t="shared" si="19"/>
        <v>0</v>
      </c>
      <c r="AK33" s="1">
        <f t="shared" si="20"/>
        <v>2.4324933313698955E-4</v>
      </c>
      <c r="AL33" s="1">
        <v>8.1487369209185381E-2</v>
      </c>
      <c r="AM33" s="64">
        <f t="shared" si="21"/>
        <v>1.6195468334420315E-2</v>
      </c>
      <c r="AN33" s="12">
        <f t="shared" si="22"/>
        <v>112.10347635022107</v>
      </c>
      <c r="AO33" s="72">
        <v>0</v>
      </c>
      <c r="AP33" s="1">
        <f t="shared" si="23"/>
        <v>112.18496371943026</v>
      </c>
      <c r="AQ33" s="1">
        <f t="shared" si="24"/>
        <v>8.148736920918509E-2</v>
      </c>
      <c r="AR33" s="1">
        <f t="shared" si="25"/>
        <v>4.1024291078069287E-5</v>
      </c>
      <c r="AS33" s="1">
        <f t="shared" si="26"/>
        <v>0</v>
      </c>
      <c r="AT33" s="1">
        <f t="shared" si="27"/>
        <v>2.3930836462207082E-4</v>
      </c>
      <c r="AU33" s="1">
        <v>8.0177717970353141E-2</v>
      </c>
      <c r="AV33" s="64">
        <f t="shared" si="28"/>
        <v>1.607183115054267E-2</v>
      </c>
      <c r="AW33" s="12">
        <f t="shared" si="29"/>
        <v>112.1047860014599</v>
      </c>
      <c r="AX33" s="72">
        <v>0</v>
      </c>
      <c r="AY33" s="1">
        <f t="shared" si="30"/>
        <v>112.18496371943026</v>
      </c>
      <c r="AZ33" s="1">
        <f t="shared" si="31"/>
        <v>8.0177717970357776E-2</v>
      </c>
      <c r="BA33" s="1">
        <f t="shared" si="32"/>
        <v>4.0364719846963032E-5</v>
      </c>
      <c r="BB33" s="1">
        <f t="shared" si="33"/>
        <v>0</v>
      </c>
      <c r="BC33" s="1">
        <f t="shared" si="34"/>
        <v>2.3546086577395101E-4</v>
      </c>
      <c r="BD33" s="1">
        <v>7.889852832328445E-2</v>
      </c>
      <c r="BE33" s="64">
        <f t="shared" si="35"/>
        <v>1.5954428230873896E-2</v>
      </c>
      <c r="BF33" s="12">
        <f t="shared" si="36"/>
        <v>112.10606519110698</v>
      </c>
      <c r="BG33" s="72">
        <v>0</v>
      </c>
      <c r="BH33" s="1">
        <f t="shared" si="37"/>
        <v>112.18496371943026</v>
      </c>
      <c r="BI33" s="1">
        <f t="shared" si="38"/>
        <v>7.8898528323279038E-2</v>
      </c>
      <c r="BJ33" s="1">
        <f t="shared" si="39"/>
        <v>3.9720497229976627E-5</v>
      </c>
      <c r="BK33" s="1">
        <f t="shared" si="40"/>
        <v>0</v>
      </c>
      <c r="BL33" s="1">
        <f t="shared" si="41"/>
        <v>2.3170290050819698E-4</v>
      </c>
      <c r="BM33" s="1">
        <v>7.7648548941727957E-2</v>
      </c>
      <c r="BN33" s="64">
        <f t="shared" si="42"/>
        <v>1.5842873221023956E-2</v>
      </c>
    </row>
    <row r="34" spans="2:66" x14ac:dyDescent="0.3">
      <c r="B34" s="79">
        <f t="shared" si="43"/>
        <v>25</v>
      </c>
      <c r="C34" s="78">
        <f t="shared" si="44"/>
        <v>12.75</v>
      </c>
      <c r="D34" s="77">
        <v>1.1000000000000001</v>
      </c>
      <c r="E34" s="72">
        <v>0.13</v>
      </c>
      <c r="F34" s="72">
        <v>0.4</v>
      </c>
      <c r="G34" s="72">
        <v>2.0999999999999999E-3</v>
      </c>
      <c r="H34" s="72">
        <v>19</v>
      </c>
      <c r="I34" s="72" t="b">
        <v>0</v>
      </c>
      <c r="J34" s="76">
        <v>2</v>
      </c>
      <c r="K34" s="1">
        <f t="shared" si="45"/>
        <v>242.25</v>
      </c>
      <c r="L34" s="1">
        <f t="shared" si="0"/>
        <v>127.5</v>
      </c>
      <c r="M34" s="1">
        <f t="shared" si="46"/>
        <v>112.25</v>
      </c>
      <c r="N34">
        <f t="shared" si="1"/>
        <v>114.75</v>
      </c>
      <c r="O34" s="75">
        <f t="shared" si="2"/>
        <v>1.8140589569160999</v>
      </c>
      <c r="P34" s="1">
        <f t="shared" si="3"/>
        <v>116.5640589569161</v>
      </c>
      <c r="Q34" s="1">
        <f t="shared" si="4"/>
        <v>0</v>
      </c>
      <c r="R34" s="1">
        <f t="shared" si="5"/>
        <v>2.7247870725949919E-3</v>
      </c>
      <c r="S34" s="1">
        <f t="shared" si="6"/>
        <v>1.6543350083612449E-2</v>
      </c>
      <c r="T34" s="73">
        <v>0.56569002684586678</v>
      </c>
      <c r="U34" s="74">
        <f t="shared" si="7"/>
        <v>0.68816337270121597</v>
      </c>
      <c r="V34" s="73">
        <f t="shared" si="8"/>
        <v>115.99836893007023</v>
      </c>
      <c r="W34" s="72">
        <v>0</v>
      </c>
      <c r="X34" s="1">
        <f t="shared" si="9"/>
        <v>116.5640589569161</v>
      </c>
      <c r="Y34" s="1">
        <f t="shared" si="10"/>
        <v>0.56569002684587133</v>
      </c>
      <c r="Z34" s="1">
        <f t="shared" si="11"/>
        <v>0</v>
      </c>
      <c r="AA34" s="1">
        <f t="shared" si="12"/>
        <v>8.4511171951364707E-4</v>
      </c>
      <c r="AB34" s="1">
        <f t="shared" si="13"/>
        <v>5.1310354399042857E-3</v>
      </c>
      <c r="AC34" s="1">
        <v>0.16418650114777278</v>
      </c>
      <c r="AD34" s="64">
        <f t="shared" si="14"/>
        <v>0.70975889028266836</v>
      </c>
      <c r="AE34" s="12">
        <f t="shared" si="15"/>
        <v>116.39987245576833</v>
      </c>
      <c r="AF34" s="72">
        <v>0</v>
      </c>
      <c r="AG34" s="1">
        <f t="shared" si="16"/>
        <v>116.5640589569161</v>
      </c>
      <c r="AH34" s="1">
        <f t="shared" si="17"/>
        <v>0.16418650114776767</v>
      </c>
      <c r="AI34" s="1">
        <f t="shared" si="18"/>
        <v>0</v>
      </c>
      <c r="AJ34" s="1">
        <f t="shared" si="19"/>
        <v>2.4486298054797765E-4</v>
      </c>
      <c r="AK34" s="1">
        <f t="shared" si="20"/>
        <v>1.4866680961841499E-3</v>
      </c>
      <c r="AL34" s="1">
        <v>0.16153884273146277</v>
      </c>
      <c r="AM34" s="64">
        <f t="shared" si="21"/>
        <v>1.6125920205352418E-2</v>
      </c>
      <c r="AN34" s="12">
        <f t="shared" si="22"/>
        <v>116.40252011418464</v>
      </c>
      <c r="AO34" s="72">
        <v>0</v>
      </c>
      <c r="AP34" s="1">
        <f t="shared" si="23"/>
        <v>116.5640589569161</v>
      </c>
      <c r="AQ34" s="1">
        <f t="shared" si="24"/>
        <v>0.16153884273145991</v>
      </c>
      <c r="AR34" s="1">
        <f t="shared" si="25"/>
        <v>0</v>
      </c>
      <c r="AS34" s="1">
        <f t="shared" si="26"/>
        <v>2.4091160040098588E-4</v>
      </c>
      <c r="AT34" s="1">
        <f t="shared" si="27"/>
        <v>1.4626775738631286E-3</v>
      </c>
      <c r="AU34" s="1">
        <v>0.15895328124982414</v>
      </c>
      <c r="AV34" s="64">
        <f t="shared" si="28"/>
        <v>1.6005819021088219E-2</v>
      </c>
      <c r="AW34" s="12">
        <f t="shared" si="29"/>
        <v>116.40510567566628</v>
      </c>
      <c r="AX34" s="72">
        <v>0</v>
      </c>
      <c r="AY34" s="1">
        <f t="shared" si="30"/>
        <v>116.5640589569161</v>
      </c>
      <c r="AZ34" s="1">
        <f t="shared" si="31"/>
        <v>0.158953281249822</v>
      </c>
      <c r="BA34" s="1">
        <f t="shared" si="32"/>
        <v>0</v>
      </c>
      <c r="BB34" s="1">
        <f t="shared" si="33"/>
        <v>2.3705298080349413E-4</v>
      </c>
      <c r="BC34" s="1">
        <f t="shared" si="34"/>
        <v>1.4392502405926428E-3</v>
      </c>
      <c r="BD34" s="1">
        <v>0.15642723849903473</v>
      </c>
      <c r="BE34" s="64">
        <f t="shared" si="35"/>
        <v>1.5891730770987822E-2</v>
      </c>
      <c r="BF34" s="12">
        <f t="shared" si="36"/>
        <v>116.40763171841706</v>
      </c>
      <c r="BG34" s="72">
        <v>0</v>
      </c>
      <c r="BH34" s="1">
        <f t="shared" si="37"/>
        <v>116.5640589569161</v>
      </c>
      <c r="BI34" s="1">
        <f t="shared" si="38"/>
        <v>0.15642723849903462</v>
      </c>
      <c r="BJ34" s="1">
        <f t="shared" si="39"/>
        <v>0</v>
      </c>
      <c r="BK34" s="1">
        <f t="shared" si="40"/>
        <v>2.3328326806341411E-4</v>
      </c>
      <c r="BL34" s="1">
        <f t="shared" si="41"/>
        <v>1.4163626989564426E-3</v>
      </c>
      <c r="BM34" s="1">
        <v>0.15395830266084071</v>
      </c>
      <c r="BN34" s="64">
        <f t="shared" si="42"/>
        <v>1.5783285966587846E-2</v>
      </c>
    </row>
    <row r="35" spans="2:66" x14ac:dyDescent="0.3">
      <c r="B35" s="79">
        <f t="shared" si="43"/>
        <v>26</v>
      </c>
      <c r="C35" s="78">
        <f t="shared" si="44"/>
        <v>13.25</v>
      </c>
      <c r="D35" s="77">
        <v>1.1000000000000001</v>
      </c>
      <c r="E35" s="72">
        <v>0.13</v>
      </c>
      <c r="F35" s="72">
        <v>0.4</v>
      </c>
      <c r="G35" s="72">
        <v>2.0999999999999999E-3</v>
      </c>
      <c r="H35" s="72">
        <v>19</v>
      </c>
      <c r="I35" s="72" t="b">
        <v>0</v>
      </c>
      <c r="J35" s="76">
        <v>2</v>
      </c>
      <c r="K35" s="1">
        <f t="shared" si="45"/>
        <v>251.75</v>
      </c>
      <c r="L35" s="1">
        <f t="shared" si="0"/>
        <v>132.5</v>
      </c>
      <c r="M35" s="1">
        <f t="shared" si="46"/>
        <v>116.75</v>
      </c>
      <c r="N35">
        <f t="shared" si="1"/>
        <v>119.25</v>
      </c>
      <c r="O35" s="75">
        <f t="shared" si="2"/>
        <v>1.7041420118343196</v>
      </c>
      <c r="P35" s="1">
        <f t="shared" si="3"/>
        <v>120.95414201183432</v>
      </c>
      <c r="Q35" s="1">
        <f t="shared" si="4"/>
        <v>0</v>
      </c>
      <c r="R35" s="1">
        <f t="shared" si="5"/>
        <v>2.4649429718362082E-3</v>
      </c>
      <c r="S35" s="1">
        <f t="shared" si="6"/>
        <v>1.5552616369918932E-2</v>
      </c>
      <c r="T35" s="73">
        <v>0.7976547344162217</v>
      </c>
      <c r="U35" s="74">
        <f t="shared" si="7"/>
        <v>0.5319317704293699</v>
      </c>
      <c r="V35" s="73">
        <f t="shared" si="8"/>
        <v>120.15648727741809</v>
      </c>
      <c r="W35" s="72">
        <v>0</v>
      </c>
      <c r="X35" s="1">
        <f t="shared" si="9"/>
        <v>120.95414201183432</v>
      </c>
      <c r="Y35" s="1">
        <f t="shared" si="10"/>
        <v>0.79765473441622703</v>
      </c>
      <c r="Z35" s="1">
        <f t="shared" si="11"/>
        <v>0</v>
      </c>
      <c r="AA35" s="1">
        <f t="shared" si="12"/>
        <v>1.1494086824499746E-3</v>
      </c>
      <c r="AB35" s="1">
        <f t="shared" si="13"/>
        <v>7.2522214487915054E-3</v>
      </c>
      <c r="AC35" s="1">
        <v>0.24264097578588814</v>
      </c>
      <c r="AD35" s="64">
        <f t="shared" si="14"/>
        <v>0.69580701359032515</v>
      </c>
      <c r="AE35" s="12">
        <f t="shared" si="15"/>
        <v>120.71150103604843</v>
      </c>
      <c r="AF35" s="72">
        <v>0</v>
      </c>
      <c r="AG35" s="1">
        <f t="shared" si="16"/>
        <v>120.95414201183432</v>
      </c>
      <c r="AH35" s="1">
        <f t="shared" si="17"/>
        <v>0.24264097578588917</v>
      </c>
      <c r="AI35" s="1">
        <f t="shared" si="18"/>
        <v>0</v>
      </c>
      <c r="AJ35" s="1">
        <f t="shared" si="19"/>
        <v>3.4883790992681251E-4</v>
      </c>
      <c r="AK35" s="1">
        <f t="shared" si="20"/>
        <v>2.2010010983477455E-3</v>
      </c>
      <c r="AL35" s="1">
        <v>0.23875591017148928</v>
      </c>
      <c r="AM35" s="64">
        <f t="shared" si="21"/>
        <v>1.601158090391186E-2</v>
      </c>
      <c r="AN35" s="12">
        <f t="shared" si="22"/>
        <v>120.71538610166283</v>
      </c>
      <c r="AO35" s="72">
        <v>0</v>
      </c>
      <c r="AP35" s="1">
        <f t="shared" si="23"/>
        <v>120.95414201183432</v>
      </c>
      <c r="AQ35" s="1">
        <f t="shared" si="24"/>
        <v>0.23875591017149134</v>
      </c>
      <c r="AR35" s="1">
        <f t="shared" si="25"/>
        <v>0</v>
      </c>
      <c r="AS35" s="1">
        <f t="shared" si="26"/>
        <v>3.4324694173497197E-4</v>
      </c>
      <c r="AT35" s="1">
        <f t="shared" si="27"/>
        <v>2.1657247514230375E-3</v>
      </c>
      <c r="AU35" s="1">
        <v>0.23496034347952613</v>
      </c>
      <c r="AV35" s="64">
        <f t="shared" si="28"/>
        <v>1.5897268005801268E-2</v>
      </c>
      <c r="AW35" s="12">
        <f t="shared" si="29"/>
        <v>120.71918166835479</v>
      </c>
      <c r="AX35" s="72">
        <v>0</v>
      </c>
      <c r="AY35" s="1">
        <f t="shared" si="30"/>
        <v>120.95414201183432</v>
      </c>
      <c r="AZ35" s="1">
        <f t="shared" si="31"/>
        <v>0.23496034347952843</v>
      </c>
      <c r="BA35" s="1">
        <f t="shared" si="32"/>
        <v>0</v>
      </c>
      <c r="BB35" s="1">
        <f t="shared" si="33"/>
        <v>3.3778494452261874E-4</v>
      </c>
      <c r="BC35" s="1">
        <f t="shared" si="34"/>
        <v>2.1312621499641423E-3</v>
      </c>
      <c r="BD35" s="1">
        <v>0.23125064685191415</v>
      </c>
      <c r="BE35" s="64">
        <f t="shared" si="35"/>
        <v>1.5788607441908575E-2</v>
      </c>
      <c r="BF35" s="12">
        <f t="shared" si="36"/>
        <v>120.7228913649824</v>
      </c>
      <c r="BG35" s="72">
        <v>0</v>
      </c>
      <c r="BH35" s="1">
        <f t="shared" si="37"/>
        <v>120.95414201183432</v>
      </c>
      <c r="BI35" s="1">
        <f t="shared" si="38"/>
        <v>0.23125064685191887</v>
      </c>
      <c r="BJ35" s="1">
        <f t="shared" si="39"/>
        <v>0</v>
      </c>
      <c r="BK35" s="1">
        <f t="shared" si="40"/>
        <v>3.3244668427728931E-4</v>
      </c>
      <c r="BL35" s="1">
        <f t="shared" si="41"/>
        <v>2.0975802698448014E-3</v>
      </c>
      <c r="BM35" s="1">
        <v>0.22762342099364036</v>
      </c>
      <c r="BN35" s="64">
        <f t="shared" si="42"/>
        <v>1.5685257134010144E-2</v>
      </c>
    </row>
    <row r="36" spans="2:66" x14ac:dyDescent="0.3">
      <c r="B36" s="79">
        <f t="shared" si="43"/>
        <v>27</v>
      </c>
      <c r="C36" s="78">
        <f t="shared" si="44"/>
        <v>13.75</v>
      </c>
      <c r="D36" s="77">
        <v>1.1000000000000001</v>
      </c>
      <c r="E36" s="72">
        <v>0.13</v>
      </c>
      <c r="F36" s="72">
        <v>0.4</v>
      </c>
      <c r="G36" s="72">
        <v>2.0999999999999999E-3</v>
      </c>
      <c r="H36" s="72">
        <v>19</v>
      </c>
      <c r="I36" s="72" t="b">
        <v>0</v>
      </c>
      <c r="J36" s="76">
        <v>2</v>
      </c>
      <c r="K36" s="1">
        <f t="shared" si="45"/>
        <v>261.25</v>
      </c>
      <c r="L36" s="1">
        <f t="shared" si="0"/>
        <v>137.5</v>
      </c>
      <c r="M36" s="1">
        <f t="shared" si="46"/>
        <v>121.25</v>
      </c>
      <c r="N36">
        <f t="shared" si="1"/>
        <v>123.75</v>
      </c>
      <c r="O36" s="75">
        <f t="shared" si="2"/>
        <v>1.6039206950323013</v>
      </c>
      <c r="P36" s="1">
        <f t="shared" si="3"/>
        <v>125.3539206950323</v>
      </c>
      <c r="Q36" s="1">
        <f t="shared" si="4"/>
        <v>0</v>
      </c>
      <c r="R36" s="1">
        <f t="shared" si="5"/>
        <v>2.2370857324575276E-3</v>
      </c>
      <c r="S36" s="1">
        <f t="shared" si="6"/>
        <v>1.4647585152995714E-2</v>
      </c>
      <c r="T36" s="73">
        <v>0.97868587264474105</v>
      </c>
      <c r="U36" s="74">
        <f t="shared" si="7"/>
        <v>0.38981654412468858</v>
      </c>
      <c r="V36" s="73">
        <f t="shared" si="8"/>
        <v>124.37523482238755</v>
      </c>
      <c r="W36" s="72">
        <v>0</v>
      </c>
      <c r="X36" s="1">
        <f t="shared" si="9"/>
        <v>125.3539206950323</v>
      </c>
      <c r="Y36" s="1">
        <f t="shared" si="10"/>
        <v>0.97868587264474627</v>
      </c>
      <c r="Z36" s="1">
        <f t="shared" si="11"/>
        <v>0</v>
      </c>
      <c r="AA36" s="1">
        <f t="shared" si="12"/>
        <v>1.3616032909694268E-3</v>
      </c>
      <c r="AB36" s="1">
        <f t="shared" si="13"/>
        <v>8.9152596432521981E-3</v>
      </c>
      <c r="AC36" s="1">
        <v>0.31683642972106457</v>
      </c>
      <c r="AD36" s="64">
        <f t="shared" si="14"/>
        <v>0.67626340731284551</v>
      </c>
      <c r="AE36" s="12">
        <f t="shared" si="15"/>
        <v>125.03708426531124</v>
      </c>
      <c r="AF36" s="72">
        <v>0</v>
      </c>
      <c r="AG36" s="1">
        <f t="shared" si="16"/>
        <v>125.3539206950323</v>
      </c>
      <c r="AH36" s="1">
        <f t="shared" si="17"/>
        <v>0.31683642972106441</v>
      </c>
      <c r="AI36" s="1">
        <f t="shared" si="18"/>
        <v>0</v>
      </c>
      <c r="AJ36" s="1">
        <f t="shared" si="19"/>
        <v>4.3963364116968563E-4</v>
      </c>
      <c r="AK36" s="1">
        <f t="shared" si="20"/>
        <v>2.878553602896751E-3</v>
      </c>
      <c r="AL36" s="1">
        <v>0.31181306033191375</v>
      </c>
      <c r="AM36" s="64">
        <f t="shared" si="21"/>
        <v>1.5854772109296644E-2</v>
      </c>
      <c r="AN36" s="12">
        <f t="shared" si="22"/>
        <v>125.04210763470039</v>
      </c>
      <c r="AO36" s="72">
        <v>0</v>
      </c>
      <c r="AP36" s="1">
        <f t="shared" si="23"/>
        <v>125.3539206950323</v>
      </c>
      <c r="AQ36" s="1">
        <f t="shared" si="24"/>
        <v>0.31181306033191447</v>
      </c>
      <c r="AR36" s="1">
        <f t="shared" si="25"/>
        <v>0</v>
      </c>
      <c r="AS36" s="1">
        <f t="shared" si="26"/>
        <v>4.3265466274291381E-4</v>
      </c>
      <c r="AT36" s="1">
        <f t="shared" si="27"/>
        <v>2.8328579108166975E-3</v>
      </c>
      <c r="AU36" s="1">
        <v>0.30690252064967927</v>
      </c>
      <c r="AV36" s="64">
        <f t="shared" si="28"/>
        <v>1.5748345104621642E-2</v>
      </c>
      <c r="AW36" s="12">
        <f t="shared" si="29"/>
        <v>125.04701817438261</v>
      </c>
      <c r="AX36" s="72">
        <v>0</v>
      </c>
      <c r="AY36" s="1">
        <f t="shared" si="30"/>
        <v>125.3539206950323</v>
      </c>
      <c r="AZ36" s="1">
        <f t="shared" si="31"/>
        <v>0.30690252064968604</v>
      </c>
      <c r="BA36" s="1">
        <f t="shared" si="32"/>
        <v>0</v>
      </c>
      <c r="BB36" s="1">
        <f t="shared" si="33"/>
        <v>4.2583270987140722E-4</v>
      </c>
      <c r="BC36" s="1">
        <f t="shared" si="34"/>
        <v>2.7881903622532615E-3</v>
      </c>
      <c r="BD36" s="1">
        <v>0.30210039149777551</v>
      </c>
      <c r="BE36" s="64">
        <f t="shared" si="35"/>
        <v>1.564708279927074E-2</v>
      </c>
      <c r="BF36" s="12">
        <f t="shared" si="36"/>
        <v>125.05182030353453</v>
      </c>
      <c r="BG36" s="72">
        <v>0</v>
      </c>
      <c r="BH36" s="1">
        <f t="shared" si="37"/>
        <v>125.3539206950323</v>
      </c>
      <c r="BI36" s="1">
        <f t="shared" si="38"/>
        <v>0.30210039149777401</v>
      </c>
      <c r="BJ36" s="1">
        <f t="shared" si="39"/>
        <v>0</v>
      </c>
      <c r="BK36" s="1">
        <f t="shared" si="40"/>
        <v>4.19161625095443E-4</v>
      </c>
      <c r="BL36" s="1">
        <f t="shared" si="41"/>
        <v>2.7445106405058766E-3</v>
      </c>
      <c r="BM36" s="1">
        <v>0.29740252497340364</v>
      </c>
      <c r="BN36" s="64">
        <f t="shared" si="42"/>
        <v>1.5550680027519914E-2</v>
      </c>
    </row>
    <row r="37" spans="2:66" x14ac:dyDescent="0.3">
      <c r="B37" s="79">
        <f t="shared" si="43"/>
        <v>28</v>
      </c>
      <c r="C37" s="78">
        <f t="shared" si="44"/>
        <v>14.25</v>
      </c>
      <c r="D37" s="77">
        <v>1.1000000000000001</v>
      </c>
      <c r="E37" s="72">
        <v>0.13</v>
      </c>
      <c r="F37" s="72">
        <v>0.4</v>
      </c>
      <c r="G37" s="72">
        <v>2.0999999999999999E-3</v>
      </c>
      <c r="H37" s="72">
        <v>19</v>
      </c>
      <c r="I37" s="72" t="b">
        <v>0</v>
      </c>
      <c r="J37" s="76">
        <v>2</v>
      </c>
      <c r="K37" s="1">
        <f t="shared" si="45"/>
        <v>270.75</v>
      </c>
      <c r="L37" s="1">
        <f t="shared" si="0"/>
        <v>142.5</v>
      </c>
      <c r="M37" s="1">
        <f t="shared" si="46"/>
        <v>125.75</v>
      </c>
      <c r="N37">
        <f t="shared" si="1"/>
        <v>128.25</v>
      </c>
      <c r="O37" s="75">
        <f t="shared" si="2"/>
        <v>1.5122873345935728</v>
      </c>
      <c r="P37" s="1">
        <f t="shared" si="3"/>
        <v>129.76228733459357</v>
      </c>
      <c r="Q37" s="1">
        <f t="shared" si="4"/>
        <v>0</v>
      </c>
      <c r="R37" s="1">
        <f t="shared" si="5"/>
        <v>2.0364474035651746E-3</v>
      </c>
      <c r="S37" s="1">
        <f t="shared" si="6"/>
        <v>1.3818750238477969E-2</v>
      </c>
      <c r="T37" s="73">
        <v>1.1055099470311314</v>
      </c>
      <c r="U37" s="74">
        <f t="shared" si="7"/>
        <v>0.26898154752566439</v>
      </c>
      <c r="V37" s="73">
        <f t="shared" si="8"/>
        <v>128.65677738756244</v>
      </c>
      <c r="W37" s="72">
        <v>0</v>
      </c>
      <c r="X37" s="1">
        <f t="shared" si="9"/>
        <v>129.76228733459357</v>
      </c>
      <c r="Y37" s="1">
        <f t="shared" si="10"/>
        <v>1.1055099470311234</v>
      </c>
      <c r="Z37" s="1">
        <f t="shared" si="11"/>
        <v>0</v>
      </c>
      <c r="AA37" s="1">
        <f t="shared" si="12"/>
        <v>1.4863293437438947E-3</v>
      </c>
      <c r="AB37" s="1">
        <f t="shared" si="13"/>
        <v>1.0085806261119285E-2</v>
      </c>
      <c r="AC37" s="1">
        <v>0.38552682063353516</v>
      </c>
      <c r="AD37" s="64">
        <f t="shared" si="14"/>
        <v>0.65126788621949738</v>
      </c>
      <c r="AE37" s="12">
        <f t="shared" si="15"/>
        <v>129.37676051396002</v>
      </c>
      <c r="AF37" s="72">
        <v>0</v>
      </c>
      <c r="AG37" s="1">
        <f t="shared" si="16"/>
        <v>129.76228733459357</v>
      </c>
      <c r="AH37" s="1">
        <f t="shared" si="17"/>
        <v>0.38552682063354382</v>
      </c>
      <c r="AI37" s="1">
        <f t="shared" si="18"/>
        <v>0</v>
      </c>
      <c r="AJ37" s="1">
        <f t="shared" si="19"/>
        <v>5.168878893207884E-4</v>
      </c>
      <c r="AK37" s="1">
        <f t="shared" si="20"/>
        <v>3.5074535346767783E-3</v>
      </c>
      <c r="AL37" s="1">
        <v>0.37948998533901224</v>
      </c>
      <c r="AM37" s="64">
        <f t="shared" si="21"/>
        <v>1.5658664900696451E-2</v>
      </c>
      <c r="AN37" s="12">
        <f t="shared" si="22"/>
        <v>129.38279734925456</v>
      </c>
      <c r="AO37" s="72">
        <v>0</v>
      </c>
      <c r="AP37" s="1">
        <f t="shared" si="23"/>
        <v>129.76228733459357</v>
      </c>
      <c r="AQ37" s="1">
        <f t="shared" si="24"/>
        <v>0.37948998533900635</v>
      </c>
      <c r="AR37" s="1">
        <f t="shared" si="25"/>
        <v>0</v>
      </c>
      <c r="AS37" s="1">
        <f t="shared" si="26"/>
        <v>5.0878225093217027E-4</v>
      </c>
      <c r="AT37" s="1">
        <f t="shared" si="27"/>
        <v>3.4524509884682982E-3</v>
      </c>
      <c r="AU37" s="1">
        <v>0.37358435812598595</v>
      </c>
      <c r="AV37" s="64">
        <f t="shared" si="28"/>
        <v>1.5562010701665296E-2</v>
      </c>
      <c r="AW37" s="12">
        <f t="shared" si="29"/>
        <v>129.38870297646758</v>
      </c>
      <c r="AX37" s="72">
        <v>0</v>
      </c>
      <c r="AY37" s="1">
        <f t="shared" si="30"/>
        <v>129.76228733459357</v>
      </c>
      <c r="AZ37" s="1">
        <f t="shared" si="31"/>
        <v>0.37358435812598145</v>
      </c>
      <c r="BA37" s="1">
        <f t="shared" si="32"/>
        <v>0</v>
      </c>
      <c r="BB37" s="1">
        <f t="shared" si="33"/>
        <v>5.0085315114177889E-4</v>
      </c>
      <c r="BC37" s="1">
        <f t="shared" si="34"/>
        <v>3.3986463827477852E-3</v>
      </c>
      <c r="BD37" s="1">
        <v>0.36780503677399107</v>
      </c>
      <c r="BE37" s="64">
        <f t="shared" si="35"/>
        <v>1.5469923261726803E-2</v>
      </c>
      <c r="BF37" s="12">
        <f t="shared" si="36"/>
        <v>129.39448229781956</v>
      </c>
      <c r="BG37" s="72">
        <v>0</v>
      </c>
      <c r="BH37" s="1">
        <f t="shared" si="37"/>
        <v>129.76228733459357</v>
      </c>
      <c r="BI37" s="1">
        <f t="shared" si="38"/>
        <v>0.36780503677400134</v>
      </c>
      <c r="BJ37" s="1">
        <f t="shared" si="39"/>
        <v>0</v>
      </c>
      <c r="BK37" s="1">
        <f t="shared" si="40"/>
        <v>4.9309398434717322E-4</v>
      </c>
      <c r="BL37" s="1">
        <f t="shared" si="41"/>
        <v>3.3459948937843895E-3</v>
      </c>
      <c r="BM37" s="1">
        <v>0.36214740732748557</v>
      </c>
      <c r="BN37" s="64">
        <f t="shared" si="42"/>
        <v>1.5382142387550091E-2</v>
      </c>
    </row>
    <row r="38" spans="2:66" x14ac:dyDescent="0.3">
      <c r="B38" s="79">
        <f t="shared" si="43"/>
        <v>29</v>
      </c>
      <c r="C38" s="78">
        <f t="shared" si="44"/>
        <v>14.75</v>
      </c>
      <c r="D38" s="77">
        <v>1.1000000000000001</v>
      </c>
      <c r="E38" s="72">
        <v>0.13</v>
      </c>
      <c r="F38" s="72">
        <v>0.4</v>
      </c>
      <c r="G38" s="72">
        <v>2.0999999999999999E-3</v>
      </c>
      <c r="H38" s="72">
        <v>19</v>
      </c>
      <c r="I38" s="72" t="b">
        <v>0</v>
      </c>
      <c r="J38" s="76">
        <v>2</v>
      </c>
      <c r="K38" s="1">
        <f t="shared" si="45"/>
        <v>280.25</v>
      </c>
      <c r="L38" s="1">
        <f t="shared" si="0"/>
        <v>147.5</v>
      </c>
      <c r="M38" s="1">
        <f t="shared" si="46"/>
        <v>130.25</v>
      </c>
      <c r="N38">
        <f t="shared" si="1"/>
        <v>132.75</v>
      </c>
      <c r="O38" s="75">
        <f t="shared" si="2"/>
        <v>1.428288038087681</v>
      </c>
      <c r="P38" s="1">
        <f t="shared" si="3"/>
        <v>134.17828803808769</v>
      </c>
      <c r="Q38" s="1">
        <f t="shared" si="4"/>
        <v>0</v>
      </c>
      <c r="R38" s="1">
        <f t="shared" si="5"/>
        <v>1.8590866877829994E-3</v>
      </c>
      <c r="S38" s="1">
        <f t="shared" si="6"/>
        <v>1.3057870783237734E-2</v>
      </c>
      <c r="T38" s="73">
        <v>1.1816248933012121</v>
      </c>
      <c r="U38" s="74">
        <f t="shared" si="7"/>
        <v>0.1726984601206375</v>
      </c>
      <c r="V38" s="73">
        <f t="shared" si="8"/>
        <v>132.99666314478648</v>
      </c>
      <c r="W38" s="72">
        <v>0</v>
      </c>
      <c r="X38" s="1">
        <f t="shared" si="9"/>
        <v>134.17828803808769</v>
      </c>
      <c r="Y38" s="1">
        <f t="shared" si="10"/>
        <v>1.1816248933012048</v>
      </c>
      <c r="Z38" s="1">
        <f t="shared" si="11"/>
        <v>0</v>
      </c>
      <c r="AA38" s="1">
        <f t="shared" si="12"/>
        <v>1.5366006865190529E-3</v>
      </c>
      <c r="AB38" s="1">
        <f t="shared" si="13"/>
        <v>1.0792790536264777E-2</v>
      </c>
      <c r="AC38" s="1">
        <v>0.44760427057652341</v>
      </c>
      <c r="AD38" s="64">
        <f t="shared" si="14"/>
        <v>0.62119597080761069</v>
      </c>
      <c r="AE38" s="12">
        <f t="shared" si="15"/>
        <v>133.73068376751115</v>
      </c>
      <c r="AF38" s="72">
        <v>0</v>
      </c>
      <c r="AG38" s="1">
        <f t="shared" si="16"/>
        <v>134.17828803808769</v>
      </c>
      <c r="AH38" s="1">
        <f t="shared" si="17"/>
        <v>0.44760427057653374</v>
      </c>
      <c r="AI38" s="1">
        <f t="shared" si="18"/>
        <v>0</v>
      </c>
      <c r="AJ38" s="1">
        <f t="shared" si="19"/>
        <v>5.8047252199084894E-4</v>
      </c>
      <c r="AK38" s="1">
        <f t="shared" si="20"/>
        <v>4.0771284282690575E-3</v>
      </c>
      <c r="AL38" s="1">
        <v>0.4406989895634994</v>
      </c>
      <c r="AM38" s="64">
        <f t="shared" si="21"/>
        <v>1.5427200915978823E-2</v>
      </c>
      <c r="AN38" s="12">
        <f t="shared" si="22"/>
        <v>133.7375890485242</v>
      </c>
      <c r="AO38" s="72">
        <v>0</v>
      </c>
      <c r="AP38" s="1">
        <f t="shared" si="23"/>
        <v>134.17828803808769</v>
      </c>
      <c r="AQ38" s="1">
        <f t="shared" si="24"/>
        <v>0.44069898956348652</v>
      </c>
      <c r="AR38" s="1">
        <f t="shared" si="25"/>
        <v>0</v>
      </c>
      <c r="AS38" s="1">
        <f t="shared" si="26"/>
        <v>5.715027091332751E-4</v>
      </c>
      <c r="AT38" s="1">
        <f t="shared" si="27"/>
        <v>4.0141261712932415E-3</v>
      </c>
      <c r="AU38" s="1">
        <v>0.43393780958271966</v>
      </c>
      <c r="AV38" s="64">
        <f t="shared" si="28"/>
        <v>1.5341945729133277E-2</v>
      </c>
      <c r="AW38" s="12">
        <f t="shared" si="29"/>
        <v>133.74435022850497</v>
      </c>
      <c r="AX38" s="72">
        <v>0</v>
      </c>
      <c r="AY38" s="1">
        <f t="shared" si="30"/>
        <v>134.17828803808769</v>
      </c>
      <c r="AZ38" s="1">
        <f t="shared" si="31"/>
        <v>0.43393780958271577</v>
      </c>
      <c r="BA38" s="1">
        <f t="shared" si="32"/>
        <v>0</v>
      </c>
      <c r="BB38" s="1">
        <f t="shared" si="33"/>
        <v>5.6272052917641434E-4</v>
      </c>
      <c r="BC38" s="1">
        <f t="shared" si="34"/>
        <v>3.9524418120724346E-3</v>
      </c>
      <c r="BD38" s="1">
        <v>0.42731567133411702</v>
      </c>
      <c r="BE38" s="64">
        <f t="shared" si="35"/>
        <v>1.5260569838260296E-2</v>
      </c>
      <c r="BF38" s="12">
        <f t="shared" si="36"/>
        <v>133.75097236675356</v>
      </c>
      <c r="BG38" s="72">
        <v>0</v>
      </c>
      <c r="BH38" s="1">
        <f t="shared" si="37"/>
        <v>134.17828803808769</v>
      </c>
      <c r="BI38" s="1">
        <f t="shared" si="38"/>
        <v>0.42731567133412796</v>
      </c>
      <c r="BJ38" s="1">
        <f t="shared" si="39"/>
        <v>0</v>
      </c>
      <c r="BK38" s="1">
        <f t="shared" si="40"/>
        <v>5.5411938259203016E-4</v>
      </c>
      <c r="BL38" s="1">
        <f t="shared" si="41"/>
        <v>3.8920289967773543E-3</v>
      </c>
      <c r="BM38" s="1">
        <v>0.42082779549842003</v>
      </c>
      <c r="BN38" s="64">
        <f t="shared" si="42"/>
        <v>1.5182864263910689E-2</v>
      </c>
    </row>
    <row r="39" spans="2:66" x14ac:dyDescent="0.3">
      <c r="B39" s="79">
        <f t="shared" si="43"/>
        <v>30</v>
      </c>
      <c r="C39" s="78">
        <f t="shared" si="44"/>
        <v>15.25</v>
      </c>
      <c r="D39" s="77">
        <v>1.1000000000000001</v>
      </c>
      <c r="E39" s="72">
        <v>0.13</v>
      </c>
      <c r="F39" s="72">
        <v>0.4</v>
      </c>
      <c r="G39" s="72">
        <v>2.0999999999999999E-3</v>
      </c>
      <c r="H39" s="72">
        <v>19</v>
      </c>
      <c r="I39" s="72" t="b">
        <v>0</v>
      </c>
      <c r="J39" s="76">
        <v>2</v>
      </c>
      <c r="K39" s="1">
        <f t="shared" si="45"/>
        <v>289.75</v>
      </c>
      <c r="L39" s="1">
        <f t="shared" si="0"/>
        <v>152.5</v>
      </c>
      <c r="M39" s="1">
        <f t="shared" si="46"/>
        <v>134.75</v>
      </c>
      <c r="N39">
        <f t="shared" si="1"/>
        <v>137.25</v>
      </c>
      <c r="O39" s="75">
        <f t="shared" si="2"/>
        <v>1.3510977669356352</v>
      </c>
      <c r="P39" s="1">
        <f t="shared" si="3"/>
        <v>138.60109776693562</v>
      </c>
      <c r="Q39" s="1">
        <f t="shared" si="4"/>
        <v>0</v>
      </c>
      <c r="R39" s="1">
        <f t="shared" si="5"/>
        <v>1.7017267697881197E-3</v>
      </c>
      <c r="S39" s="1">
        <f t="shared" si="6"/>
        <v>1.2357777732985156E-2</v>
      </c>
      <c r="T39" s="73">
        <v>1.2150874572135528</v>
      </c>
      <c r="U39" s="74">
        <f t="shared" si="7"/>
        <v>0.10066651951513572</v>
      </c>
      <c r="V39" s="73">
        <f t="shared" si="8"/>
        <v>137.38601030972208</v>
      </c>
      <c r="W39" s="72">
        <v>0</v>
      </c>
      <c r="X39" s="1">
        <f t="shared" si="9"/>
        <v>138.60109776693562</v>
      </c>
      <c r="Y39" s="1">
        <f t="shared" si="10"/>
        <v>1.2150874572135422</v>
      </c>
      <c r="Z39" s="1">
        <f t="shared" si="11"/>
        <v>0</v>
      </c>
      <c r="AA39" s="1">
        <f t="shared" si="12"/>
        <v>1.5296632978298618E-3</v>
      </c>
      <c r="AB39" s="1">
        <f t="shared" si="13"/>
        <v>1.1108269186621614E-2</v>
      </c>
      <c r="AC39" s="1">
        <v>0.50212123081786331</v>
      </c>
      <c r="AD39" s="64">
        <f t="shared" si="14"/>
        <v>0.58676124270977525</v>
      </c>
      <c r="AE39" s="12">
        <f t="shared" si="15"/>
        <v>138.09897653611776</v>
      </c>
      <c r="AF39" s="72">
        <v>0</v>
      </c>
      <c r="AG39" s="1">
        <f t="shared" si="16"/>
        <v>138.60109776693562</v>
      </c>
      <c r="AH39" s="1">
        <f t="shared" si="17"/>
        <v>0.50212123081786331</v>
      </c>
      <c r="AI39" s="1">
        <f t="shared" si="18"/>
        <v>0</v>
      </c>
      <c r="AJ39" s="1">
        <f t="shared" si="19"/>
        <v>6.3048402053584056E-4</v>
      </c>
      <c r="AK39" s="1">
        <f t="shared" si="20"/>
        <v>4.5785149110340803E-3</v>
      </c>
      <c r="AL39" s="1">
        <v>0.49450656635504731</v>
      </c>
      <c r="AM39" s="64">
        <f t="shared" si="21"/>
        <v>1.5164992028743995E-2</v>
      </c>
      <c r="AN39" s="12">
        <f t="shared" si="22"/>
        <v>138.10659120058057</v>
      </c>
      <c r="AO39" s="72">
        <v>0</v>
      </c>
      <c r="AP39" s="1">
        <f t="shared" si="23"/>
        <v>138.60109776693562</v>
      </c>
      <c r="AQ39" s="1">
        <f t="shared" si="24"/>
        <v>0.49450656635505652</v>
      </c>
      <c r="AR39" s="1">
        <f t="shared" si="25"/>
        <v>0</v>
      </c>
      <c r="AS39" s="1">
        <f t="shared" si="26"/>
        <v>6.2090562778820341E-4</v>
      </c>
      <c r="AT39" s="1">
        <f t="shared" si="27"/>
        <v>4.5089575351286194E-3</v>
      </c>
      <c r="AU39" s="1">
        <v>0.48704324617326405</v>
      </c>
      <c r="AV39" s="64">
        <f t="shared" si="28"/>
        <v>1.509245921000324E-2</v>
      </c>
      <c r="AW39" s="12">
        <f t="shared" si="29"/>
        <v>138.11405452076235</v>
      </c>
      <c r="AX39" s="72">
        <v>0</v>
      </c>
      <c r="AY39" s="1">
        <f t="shared" si="30"/>
        <v>138.60109776693562</v>
      </c>
      <c r="AZ39" s="1">
        <f t="shared" si="31"/>
        <v>0.48704324617327188</v>
      </c>
      <c r="BA39" s="1">
        <f t="shared" si="32"/>
        <v>0</v>
      </c>
      <c r="BB39" s="1">
        <f t="shared" si="33"/>
        <v>6.1151812161116766E-4</v>
      </c>
      <c r="BC39" s="1">
        <f t="shared" si="34"/>
        <v>4.4407863593191928E-3</v>
      </c>
      <c r="BD39" s="1">
        <v>0.47972636971262778</v>
      </c>
      <c r="BE39" s="64">
        <f t="shared" si="35"/>
        <v>1.502305291805861E-2</v>
      </c>
      <c r="BF39" s="12">
        <f t="shared" si="36"/>
        <v>138.12137139722299</v>
      </c>
      <c r="BG39" s="72">
        <v>0</v>
      </c>
      <c r="BH39" s="1">
        <f t="shared" si="37"/>
        <v>138.60109776693562</v>
      </c>
      <c r="BI39" s="1">
        <f t="shared" si="38"/>
        <v>0.47972636971263682</v>
      </c>
      <c r="BJ39" s="1">
        <f t="shared" si="39"/>
        <v>0</v>
      </c>
      <c r="BK39" s="1">
        <f t="shared" si="40"/>
        <v>6.0231530756426005E-4</v>
      </c>
      <c r="BL39" s="1">
        <f t="shared" si="41"/>
        <v>4.3739564001690307E-3</v>
      </c>
      <c r="BM39" s="1">
        <v>0.47255128494775062</v>
      </c>
      <c r="BN39" s="64">
        <f t="shared" si="42"/>
        <v>1.4956619477024313E-2</v>
      </c>
    </row>
    <row r="40" spans="2:66" x14ac:dyDescent="0.3">
      <c r="B40" s="79">
        <f t="shared" si="43"/>
        <v>31</v>
      </c>
      <c r="C40" s="78">
        <f t="shared" si="44"/>
        <v>15.75</v>
      </c>
      <c r="D40" s="77">
        <v>1.1000000000000001</v>
      </c>
      <c r="E40" s="72">
        <v>0.13</v>
      </c>
      <c r="F40" s="72">
        <v>0.4</v>
      </c>
      <c r="G40" s="72">
        <v>2.0999999999999999E-3</v>
      </c>
      <c r="H40" s="72">
        <v>19</v>
      </c>
      <c r="I40" s="72" t="b">
        <v>0</v>
      </c>
      <c r="J40" s="76">
        <v>2</v>
      </c>
      <c r="K40" s="1">
        <f t="shared" si="45"/>
        <v>299.25</v>
      </c>
      <c r="L40" s="1">
        <f t="shared" si="0"/>
        <v>157.5</v>
      </c>
      <c r="M40" s="1">
        <f t="shared" si="46"/>
        <v>139.25</v>
      </c>
      <c r="N40">
        <f t="shared" si="1"/>
        <v>141.75</v>
      </c>
      <c r="O40" s="75">
        <f t="shared" si="2"/>
        <v>1.28</v>
      </c>
      <c r="P40" s="1">
        <f t="shared" si="3"/>
        <v>143.03</v>
      </c>
      <c r="Q40" s="1">
        <f t="shared" si="4"/>
        <v>0</v>
      </c>
      <c r="R40" s="1">
        <f t="shared" si="5"/>
        <v>1.5616284299414696E-3</v>
      </c>
      <c r="S40" s="1">
        <f t="shared" si="6"/>
        <v>1.1712213224561022E-2</v>
      </c>
      <c r="T40" s="73">
        <v>1.2159739211025327</v>
      </c>
      <c r="U40" s="74">
        <f t="shared" si="7"/>
        <v>5.0020374138646351E-2</v>
      </c>
      <c r="V40" s="73">
        <f t="shared" si="8"/>
        <v>141.81402607889746</v>
      </c>
      <c r="W40" s="72">
        <v>0</v>
      </c>
      <c r="X40" s="1">
        <f t="shared" si="9"/>
        <v>143.03</v>
      </c>
      <c r="Y40" s="1">
        <f t="shared" si="10"/>
        <v>1.2159739211025453</v>
      </c>
      <c r="Z40" s="1">
        <f t="shared" si="11"/>
        <v>0</v>
      </c>
      <c r="AA40" s="1">
        <f t="shared" si="12"/>
        <v>1.4831807548393553E-3</v>
      </c>
      <c r="AB40" s="1">
        <f t="shared" si="13"/>
        <v>1.1123855661295163E-2</v>
      </c>
      <c r="AC40" s="1">
        <v>0.54830577094175359</v>
      </c>
      <c r="AD40" s="64">
        <f t="shared" si="14"/>
        <v>0.5490809782790449</v>
      </c>
      <c r="AE40" s="12">
        <f t="shared" si="15"/>
        <v>142.48169422905823</v>
      </c>
      <c r="AF40" s="72">
        <v>0</v>
      </c>
      <c r="AG40" s="1">
        <f t="shared" si="16"/>
        <v>143.03</v>
      </c>
      <c r="AH40" s="1">
        <f t="shared" si="17"/>
        <v>0.54830577094176647</v>
      </c>
      <c r="AI40" s="1">
        <f t="shared" si="18"/>
        <v>0</v>
      </c>
      <c r="AJ40" s="1">
        <f t="shared" si="19"/>
        <v>6.6722720861004433E-4</v>
      </c>
      <c r="AK40" s="1">
        <f t="shared" si="20"/>
        <v>5.004204064575332E-3</v>
      </c>
      <c r="AL40" s="1">
        <v>0.54014851631805605</v>
      </c>
      <c r="AM40" s="64">
        <f t="shared" si="21"/>
        <v>1.4877200015056546E-2</v>
      </c>
      <c r="AN40" s="12">
        <f t="shared" si="22"/>
        <v>142.48985148368195</v>
      </c>
      <c r="AO40" s="72">
        <v>0</v>
      </c>
      <c r="AP40" s="1">
        <f t="shared" si="23"/>
        <v>143.03</v>
      </c>
      <c r="AQ40" s="1">
        <f t="shared" si="24"/>
        <v>0.54014851631805527</v>
      </c>
      <c r="AR40" s="1">
        <f t="shared" si="25"/>
        <v>0</v>
      </c>
      <c r="AS40" s="1">
        <f t="shared" si="26"/>
        <v>6.5728193309092615E-4</v>
      </c>
      <c r="AT40" s="1">
        <f t="shared" si="27"/>
        <v>4.9296144981819459E-3</v>
      </c>
      <c r="AU40" s="1">
        <v>0.53214439161693716</v>
      </c>
      <c r="AV40" s="64">
        <f t="shared" si="28"/>
        <v>1.481837764857441E-2</v>
      </c>
      <c r="AW40" s="12">
        <f t="shared" si="29"/>
        <v>142.49785560838308</v>
      </c>
      <c r="AX40" s="72">
        <v>0</v>
      </c>
      <c r="AY40" s="1">
        <f t="shared" si="30"/>
        <v>143.03</v>
      </c>
      <c r="AZ40" s="1">
        <f t="shared" si="31"/>
        <v>0.53214439161692439</v>
      </c>
      <c r="BA40" s="1">
        <f t="shared" si="32"/>
        <v>0</v>
      </c>
      <c r="BB40" s="1">
        <f t="shared" si="33"/>
        <v>6.4752390604742806E-4</v>
      </c>
      <c r="BC40" s="1">
        <f t="shared" si="34"/>
        <v>4.8564292953557102E-3</v>
      </c>
      <c r="BD40" s="1">
        <v>0.52428893434070367</v>
      </c>
      <c r="BE40" s="64">
        <f t="shared" si="35"/>
        <v>1.4761890569497282E-2</v>
      </c>
      <c r="BF40" s="12">
        <f t="shared" si="36"/>
        <v>142.50571106565928</v>
      </c>
      <c r="BG40" s="72">
        <v>0</v>
      </c>
      <c r="BH40" s="1">
        <f t="shared" si="37"/>
        <v>143.03</v>
      </c>
      <c r="BI40" s="1">
        <f t="shared" si="38"/>
        <v>0.52428893434071711</v>
      </c>
      <c r="BJ40" s="1">
        <f t="shared" si="39"/>
        <v>0</v>
      </c>
      <c r="BK40" s="1">
        <f t="shared" si="40"/>
        <v>6.3794765606978296E-4</v>
      </c>
      <c r="BL40" s="1">
        <f t="shared" si="41"/>
        <v>4.7846074205233719E-3</v>
      </c>
      <c r="BM40" s="1">
        <v>0.51657788035153274</v>
      </c>
      <c r="BN40" s="64">
        <f t="shared" si="42"/>
        <v>1.4707642073126803E-2</v>
      </c>
    </row>
    <row r="41" spans="2:66" x14ac:dyDescent="0.3">
      <c r="B41" s="79">
        <f t="shared" si="43"/>
        <v>32</v>
      </c>
      <c r="C41" s="78">
        <f t="shared" si="44"/>
        <v>16.25</v>
      </c>
      <c r="D41" s="77">
        <v>1.1000000000000001</v>
      </c>
      <c r="E41" s="72">
        <v>0.13</v>
      </c>
      <c r="F41" s="72">
        <v>0.4</v>
      </c>
      <c r="G41" s="72">
        <v>2.0999999999999999E-3</v>
      </c>
      <c r="H41" s="72">
        <v>19</v>
      </c>
      <c r="I41" s="72" t="b">
        <v>0</v>
      </c>
      <c r="J41" s="76">
        <v>2</v>
      </c>
      <c r="K41" s="1">
        <f t="shared" si="45"/>
        <v>308.75</v>
      </c>
      <c r="L41" s="1">
        <f t="shared" ref="L41:L59" si="47">IFERROR(IF(C41&lt;E$3,0,C41*E$4),"")</f>
        <v>162.5</v>
      </c>
      <c r="M41" s="1">
        <f t="shared" si="46"/>
        <v>143.75</v>
      </c>
      <c r="N41">
        <f t="shared" ref="N41:N58" si="48">IFERROR(K41-L41,"")</f>
        <v>146.25</v>
      </c>
      <c r="O41" s="75">
        <f t="shared" ref="O41:O58" si="49">50*9/(3+C41)/(3+C41)</f>
        <v>1.2143700455388768</v>
      </c>
      <c r="P41" s="1">
        <f t="shared" ref="P41:P72" si="50">IF($B41&lt;J$2+1,N41+O41,"")</f>
        <v>147.46437004553889</v>
      </c>
      <c r="Q41" s="1">
        <f t="shared" ref="Q41:Q72" si="51">IF($B41&lt;J$2+1,IFERROR($E41*LOG(MIN($M41,P41)/MIN(N41,$M41),10),0),"")</f>
        <v>0</v>
      </c>
      <c r="R41" s="1">
        <f t="shared" ref="R41:R59" si="52">IF($B41&lt;$J$2+1,$F41*LOG(MAX($M41,P41)/MAX(N41,$M41),10),"")</f>
        <v>1.4364900562754681E-3</v>
      </c>
      <c r="S41" s="1">
        <f t="shared" ref="S41:S72" si="53">IF($B41&lt;$J$2+1,(Q41+R41)*$C41/(1+$D41),"")</f>
        <v>1.1115696864036359E-2</v>
      </c>
      <c r="T41" s="73">
        <v>1.194245481442372</v>
      </c>
      <c r="U41" s="74">
        <f t="shared" ref="U41:U72" si="54">IFERROR(1-T41/O41,"")</f>
        <v>1.6572019517802405E-2</v>
      </c>
      <c r="V41" s="73">
        <f t="shared" ref="V41:V58" si="55">P41-T41</f>
        <v>146.27012456409651</v>
      </c>
      <c r="W41" s="72">
        <v>0</v>
      </c>
      <c r="X41" s="1">
        <f t="shared" ref="X41:X72" si="56">IF($B41&lt;$J$2+1,V41+W41+T41,"")</f>
        <v>147.46437004553889</v>
      </c>
      <c r="Y41" s="1">
        <f t="shared" ref="Y41:Y72" si="57">IFERROR(X41-V41,"")</f>
        <v>1.1942454814423797</v>
      </c>
      <c r="Z41" s="1">
        <f t="shared" ref="Z41:Z59" si="58">IF($B41&lt;$J$2+1,IFERROR($E41*LOG(MIN($M41,X41)/MIN(V41,$M41),10),0),"")</f>
        <v>0</v>
      </c>
      <c r="AA41" s="1">
        <f t="shared" ref="AA41:AA59" si="59">IF($B41&lt;$J$2+1,$F41*LOG(MAX($M41,X41)/MAX(V41,$M41),10),"")</f>
        <v>1.4125874624566458E-3</v>
      </c>
      <c r="AB41" s="1">
        <f t="shared" ref="AB41:AB72" si="60">IF($B41&lt;$J$2+1,(Z41+AA41)*$C41/(1+$D41),"")</f>
        <v>1.0930736316628806E-2</v>
      </c>
      <c r="AC41" s="1">
        <v>0.58556981577725442</v>
      </c>
      <c r="AD41" s="64">
        <f t="shared" ref="AD41:AD72" si="61">IF(B41="","",IFERROR(1-AC41/Y41,1))</f>
        <v>0.50967382763716396</v>
      </c>
      <c r="AE41" s="12">
        <f t="shared" ref="AE41:AE58" si="62">X41-AC41</f>
        <v>146.87880022976162</v>
      </c>
      <c r="AF41" s="72">
        <v>0</v>
      </c>
      <c r="AG41" s="1">
        <f t="shared" ref="AG41:AG72" si="63">IF($B41&lt;$J$2+1,AE41+AF41+AC41,"")</f>
        <v>147.46437004553889</v>
      </c>
      <c r="AH41" s="1">
        <f t="shared" ref="AH41:AH72" si="64">IFERROR(AG41-AE41,"")</f>
        <v>0.58556981577726219</v>
      </c>
      <c r="AI41" s="1">
        <f t="shared" ref="AI41:AI59" si="65">IF($B41&lt;$J$2+1,IFERROR($E41*LOG(MIN($M41,AG41)/MIN(AE41,$M41),10),0),"")</f>
        <v>0</v>
      </c>
      <c r="AJ41" s="1">
        <f t="shared" ref="AJ41:AJ59" si="66">IF($B41&lt;$J$2+1,$F41*LOG(MAX($M41,AG41)/MAX(AE41,$M41),10),"")</f>
        <v>6.9119341216054939E-4</v>
      </c>
      <c r="AK41" s="1">
        <f t="shared" ref="AK41:AK72" si="67">IF($B41&lt;$J$2+1,(AI41+AJ41)*$C41/(1+$D41),"")</f>
        <v>5.3485204512423463E-3</v>
      </c>
      <c r="AL41" s="1">
        <v>0.57703841569101821</v>
      </c>
      <c r="AM41" s="64">
        <f t="shared" ref="AM41:AM72" si="68">IF(K41="","",IFERROR(1-AL41/AH41,1))</f>
        <v>1.4569398654744048E-2</v>
      </c>
      <c r="AN41" s="12">
        <f t="shared" ref="AN41:AN58" si="69">AG41-AL41</f>
        <v>146.88733162984786</v>
      </c>
      <c r="AO41" s="72">
        <v>0</v>
      </c>
      <c r="AP41" s="1">
        <f t="shared" ref="AP41:AP72" si="70">IF($B41&lt;$J$2+1,AN41+AO41+AL41,"")</f>
        <v>147.46437004553889</v>
      </c>
      <c r="AQ41" s="1">
        <f t="shared" ref="AQ41:AQ72" si="71">IFERROR(AP41-AN41,"")</f>
        <v>0.5770384156910211</v>
      </c>
      <c r="AR41" s="1">
        <f t="shared" ref="AR41:AR59" si="72">IF($B41&lt;$J$2+1,IFERROR($E41*LOG(MIN($M41,AP41)/MIN(AN41,$M41),10),0),"")</f>
        <v>0</v>
      </c>
      <c r="AS41" s="1">
        <f t="shared" ref="AS41:AS59" si="73">IF($B41&lt;$J$2+1,$F41*LOG(MAX($M41,AP41)/MAX(AN41,$M41),10),"")</f>
        <v>6.8110337228305601E-4</v>
      </c>
      <c r="AT41" s="1">
        <f t="shared" ref="AT41:AT72" si="74">IF($B41&lt;$J$2+1,(AR41+AS41)*$C41/(1+$D41),"")</f>
        <v>5.2704427617141234E-3</v>
      </c>
      <c r="AU41" s="1">
        <v>0.56865697967208784</v>
      </c>
      <c r="AV41" s="64">
        <f t="shared" ref="AV41:AV72" si="75">IF(T41="","",IFERROR(1-AU41/AQ41,1))</f>
        <v>1.4524918603376236E-2</v>
      </c>
      <c r="AW41" s="12">
        <f t="shared" ref="AW41:AW58" si="76">AP41-AU41</f>
        <v>146.8957130658668</v>
      </c>
      <c r="AX41" s="72">
        <v>0</v>
      </c>
      <c r="AY41" s="1">
        <f t="shared" ref="AY41:AY72" si="77">IF($B41&lt;$J$2+1,AW41+AX41+AU41,"")</f>
        <v>147.46437004553889</v>
      </c>
      <c r="AZ41" s="1">
        <f t="shared" ref="AZ41:AZ72" si="78">IFERROR(AY41-AW41,"")</f>
        <v>0.56865697967208462</v>
      </c>
      <c r="BA41" s="1">
        <f t="shared" ref="BA41:BA59" si="79">IF($B41&lt;$J$2+1,IFERROR($E41*LOG(MIN($M41,AY41)/MIN(AW41,$M41),10),0),"")</f>
        <v>0</v>
      </c>
      <c r="BB41" s="1">
        <f t="shared" ref="BB41:BB59" si="80">IF($B41&lt;$J$2+1,$F41*LOG(MAX($M41,AY41)/MAX(AW41,$M41),10),"")</f>
        <v>6.7119126474610255E-4</v>
      </c>
      <c r="BC41" s="1">
        <f t="shared" ref="BC41:BC72" si="81">IF($B41&lt;$J$2+1,(BA41+BB41)*$C41/(1+$D41),"")</f>
        <v>5.1937419295829358E-3</v>
      </c>
      <c r="BD41" s="1">
        <v>0.5604217048953567</v>
      </c>
      <c r="BE41" s="64">
        <f t="shared" ref="BE41:BE72" si="82">IF(AC41="","",IFERROR(1-BD41/AZ41,1))</f>
        <v>1.448197256187167E-2</v>
      </c>
      <c r="BF41" s="12">
        <f t="shared" ref="BF41:BF58" si="83">AY41-BD41</f>
        <v>146.90394834064352</v>
      </c>
      <c r="BG41" s="72">
        <v>0</v>
      </c>
      <c r="BH41" s="1">
        <f t="shared" ref="BH41:BH72" si="84">IF($B41&lt;$J$2+1,BF41+BG41+BD41,"")</f>
        <v>147.46437004553889</v>
      </c>
      <c r="BI41" s="1">
        <f t="shared" ref="BI41:BI72" si="85">IFERROR(BH41-BF41,"")</f>
        <v>0.56042170489536147</v>
      </c>
      <c r="BJ41" s="1">
        <f t="shared" ref="BJ41:BJ59" si="86">IF($B41&lt;$J$2+1,IFERROR($E41*LOG(MIN($M41,BH41)/MIN(BF41,$M41),10),0),"")</f>
        <v>0</v>
      </c>
      <c r="BK41" s="1">
        <f t="shared" ref="BK41:BK59" si="87">IF($B41&lt;$J$2+1,$F41*LOG(MAX($M41,BH41)/MAX(BF41,$M41),10),"")</f>
        <v>6.6145256218588366E-4</v>
      </c>
      <c r="BL41" s="1">
        <f t="shared" ref="BL41:BL72" si="88">IF($B41&lt;$J$2+1,(BJ41+BK41)*$C41/(1+$D41),"")</f>
        <v>5.1183829216764802E-3</v>
      </c>
      <c r="BM41" s="1">
        <v>0.55232892413443657</v>
      </c>
      <c r="BN41" s="64">
        <f t="shared" ref="BN41:BN72" si="89">IF(AL41="","",IFERROR(1-BM41/BI41,1))</f>
        <v>1.4440519862513046E-2</v>
      </c>
    </row>
    <row r="42" spans="2:66" x14ac:dyDescent="0.3">
      <c r="B42" s="79">
        <f t="shared" ref="B42:B59" si="90">IF(B41&lt;J$2-1,B41+1,"")</f>
        <v>33</v>
      </c>
      <c r="C42" s="78">
        <f t="shared" ref="C42:C73" si="91">IF(B42&lt;J$2+1, C41+O$2,"")</f>
        <v>16.75</v>
      </c>
      <c r="D42" s="77">
        <v>1.1000000000000001</v>
      </c>
      <c r="E42" s="72">
        <v>0.13</v>
      </c>
      <c r="F42" s="72">
        <v>0.4</v>
      </c>
      <c r="G42" s="72">
        <v>2.0999999999999999E-3</v>
      </c>
      <c r="H42" s="72">
        <v>19</v>
      </c>
      <c r="I42" s="72" t="b">
        <v>0</v>
      </c>
      <c r="J42" s="76">
        <v>2</v>
      </c>
      <c r="K42" s="1">
        <f t="shared" ref="K42:K73" si="92">IF(B42&lt;J$2,0.5*(H41+H42)*O$2+K41,"")</f>
        <v>318.25</v>
      </c>
      <c r="L42" s="1">
        <f t="shared" si="47"/>
        <v>167.5</v>
      </c>
      <c r="M42" s="1">
        <f t="shared" ref="M42:M58" si="93">IF(B41&lt;J$2+1,J41+N41,"")</f>
        <v>148.25</v>
      </c>
      <c r="N42">
        <f t="shared" si="48"/>
        <v>150.75</v>
      </c>
      <c r="O42" s="75">
        <f t="shared" si="49"/>
        <v>1.1536612722320141</v>
      </c>
      <c r="P42" s="1">
        <f t="shared" si="50"/>
        <v>151.903661272232</v>
      </c>
      <c r="Q42" s="1">
        <f t="shared" si="51"/>
        <v>0</v>
      </c>
      <c r="R42" s="1">
        <f t="shared" si="52"/>
        <v>1.3243683200797648E-3</v>
      </c>
      <c r="S42" s="1">
        <f t="shared" si="53"/>
        <v>1.0563413981588599E-2</v>
      </c>
      <c r="T42" s="73">
        <v>1.1583867517953055</v>
      </c>
      <c r="U42" s="74">
        <f t="shared" si="54"/>
        <v>-4.0960719381251121E-3</v>
      </c>
      <c r="V42" s="73">
        <f t="shared" si="55"/>
        <v>150.74527452043668</v>
      </c>
      <c r="W42" s="72">
        <v>0</v>
      </c>
      <c r="X42" s="1">
        <f t="shared" si="56"/>
        <v>151.903661272232</v>
      </c>
      <c r="Y42" s="1">
        <f t="shared" si="57"/>
        <v>1.1583867517953195</v>
      </c>
      <c r="Z42" s="1">
        <f t="shared" si="58"/>
        <v>0</v>
      </c>
      <c r="AA42" s="1">
        <f t="shared" si="59"/>
        <v>1.3298138440990051E-3</v>
      </c>
      <c r="AB42" s="1">
        <f t="shared" si="60"/>
        <v>1.0606848518408731E-2</v>
      </c>
      <c r="AC42" s="1">
        <v>0.61351060797707557</v>
      </c>
      <c r="AD42" s="64">
        <f t="shared" si="61"/>
        <v>0.4703749788002759</v>
      </c>
      <c r="AE42" s="12">
        <f t="shared" si="62"/>
        <v>151.29015066425492</v>
      </c>
      <c r="AF42" s="72">
        <v>0</v>
      </c>
      <c r="AG42" s="1">
        <f t="shared" si="63"/>
        <v>151.903661272232</v>
      </c>
      <c r="AH42" s="1">
        <f t="shared" si="64"/>
        <v>0.61351060797707646</v>
      </c>
      <c r="AI42" s="1">
        <f t="shared" si="65"/>
        <v>0</v>
      </c>
      <c r="AJ42" s="1">
        <f t="shared" si="66"/>
        <v>7.0303449423820153E-4</v>
      </c>
      <c r="AK42" s="1">
        <f t="shared" si="67"/>
        <v>5.6075370373761309E-3</v>
      </c>
      <c r="AL42" s="1">
        <v>0.60476966349916184</v>
      </c>
      <c r="AM42" s="64">
        <f t="shared" si="68"/>
        <v>1.4247421909681535E-2</v>
      </c>
      <c r="AN42" s="12">
        <f t="shared" si="69"/>
        <v>151.29889160873284</v>
      </c>
      <c r="AO42" s="72">
        <v>0</v>
      </c>
      <c r="AP42" s="1">
        <f t="shared" si="70"/>
        <v>151.903661272232</v>
      </c>
      <c r="AQ42" s="1">
        <f t="shared" si="71"/>
        <v>0.60476966349915529</v>
      </c>
      <c r="AR42" s="1">
        <f t="shared" si="72"/>
        <v>0</v>
      </c>
      <c r="AS42" s="1">
        <f t="shared" si="73"/>
        <v>6.9299805953873669E-4</v>
      </c>
      <c r="AT42" s="1">
        <f t="shared" si="74"/>
        <v>5.5274845225113519E-3</v>
      </c>
      <c r="AU42" s="1">
        <v>0.59617131946954049</v>
      </c>
      <c r="AV42" s="64">
        <f t="shared" si="75"/>
        <v>1.4217551819423857E-2</v>
      </c>
      <c r="AW42" s="12">
        <f t="shared" si="76"/>
        <v>151.30748995276247</v>
      </c>
      <c r="AX42" s="72">
        <v>0</v>
      </c>
      <c r="AY42" s="1">
        <f t="shared" si="77"/>
        <v>151.903661272232</v>
      </c>
      <c r="AZ42" s="1">
        <f t="shared" si="78"/>
        <v>0.5961713194695335</v>
      </c>
      <c r="BA42" s="1">
        <f t="shared" si="79"/>
        <v>0</v>
      </c>
      <c r="BB42" s="1">
        <f t="shared" si="80"/>
        <v>6.8312592571971272E-4</v>
      </c>
      <c r="BC42" s="1">
        <f t="shared" si="81"/>
        <v>5.4487425027643756E-3</v>
      </c>
      <c r="BD42" s="1">
        <v>0.58771258250675273</v>
      </c>
      <c r="BE42" s="64">
        <f t="shared" si="82"/>
        <v>1.4188433234774256E-2</v>
      </c>
      <c r="BF42" s="12">
        <f t="shared" si="83"/>
        <v>151.31594868972525</v>
      </c>
      <c r="BG42" s="72">
        <v>0</v>
      </c>
      <c r="BH42" s="1">
        <f t="shared" si="84"/>
        <v>151.903661272232</v>
      </c>
      <c r="BI42" s="1">
        <f t="shared" si="85"/>
        <v>0.58771258250675373</v>
      </c>
      <c r="BJ42" s="1">
        <f t="shared" si="86"/>
        <v>0</v>
      </c>
      <c r="BK42" s="1">
        <f t="shared" si="87"/>
        <v>6.7341462826241551E-4</v>
      </c>
      <c r="BL42" s="1">
        <f t="shared" si="88"/>
        <v>5.3712833444740284E-3</v>
      </c>
      <c r="BM42" s="1">
        <v>0.57939052653997569</v>
      </c>
      <c r="BN42" s="64">
        <f t="shared" si="89"/>
        <v>1.4160077926666514E-2</v>
      </c>
    </row>
    <row r="43" spans="2:66" x14ac:dyDescent="0.3">
      <c r="B43" s="79">
        <f t="shared" si="90"/>
        <v>34</v>
      </c>
      <c r="C43" s="78">
        <f t="shared" si="91"/>
        <v>17.25</v>
      </c>
      <c r="D43" s="77">
        <v>1.1000000000000001</v>
      </c>
      <c r="E43" s="72">
        <v>0.13</v>
      </c>
      <c r="F43" s="72">
        <v>0.4</v>
      </c>
      <c r="G43" s="72">
        <v>2.0999999999999999E-3</v>
      </c>
      <c r="H43" s="72">
        <v>19</v>
      </c>
      <c r="I43" s="72" t="b">
        <v>0</v>
      </c>
      <c r="J43" s="76">
        <v>2</v>
      </c>
      <c r="K43" s="1">
        <f t="shared" si="92"/>
        <v>327.75</v>
      </c>
      <c r="L43" s="1">
        <f t="shared" si="47"/>
        <v>172.5</v>
      </c>
      <c r="M43" s="1">
        <f t="shared" si="93"/>
        <v>152.75</v>
      </c>
      <c r="N43">
        <f t="shared" si="48"/>
        <v>155.25</v>
      </c>
      <c r="O43" s="75">
        <f t="shared" si="49"/>
        <v>1.0973936899862826</v>
      </c>
      <c r="P43" s="1">
        <f t="shared" si="50"/>
        <v>156.34739368998629</v>
      </c>
      <c r="Q43" s="1">
        <f t="shared" si="51"/>
        <v>0</v>
      </c>
      <c r="R43" s="1">
        <f t="shared" si="52"/>
        <v>1.2236148418197498E-3</v>
      </c>
      <c r="S43" s="1">
        <f t="shared" si="53"/>
        <v>1.0051121914947945E-2</v>
      </c>
      <c r="T43" s="73">
        <v>1.1148300210039095</v>
      </c>
      <c r="U43" s="74">
        <f t="shared" si="54"/>
        <v>-1.5888856639812543E-2</v>
      </c>
      <c r="V43" s="73">
        <f t="shared" si="55"/>
        <v>155.23256366898238</v>
      </c>
      <c r="W43" s="72">
        <v>0</v>
      </c>
      <c r="X43" s="1">
        <f t="shared" si="56"/>
        <v>156.34739368998629</v>
      </c>
      <c r="Y43" s="1">
        <f t="shared" si="57"/>
        <v>1.114830021003911</v>
      </c>
      <c r="Z43" s="1">
        <f t="shared" si="58"/>
        <v>0</v>
      </c>
      <c r="AA43" s="1">
        <f t="shared" si="59"/>
        <v>1.2431264105573158E-3</v>
      </c>
      <c r="AB43" s="1">
        <f t="shared" si="60"/>
        <v>1.0211395515292236E-2</v>
      </c>
      <c r="AC43" s="1">
        <v>0.6319060712888368</v>
      </c>
      <c r="AD43" s="64">
        <f t="shared" si="61"/>
        <v>0.43318168744702301</v>
      </c>
      <c r="AE43" s="12">
        <f t="shared" si="62"/>
        <v>155.71548761869747</v>
      </c>
      <c r="AF43" s="72">
        <v>0</v>
      </c>
      <c r="AG43" s="1">
        <f t="shared" si="63"/>
        <v>156.34739368998629</v>
      </c>
      <c r="AH43" s="1">
        <f t="shared" si="64"/>
        <v>0.63190607128882448</v>
      </c>
      <c r="AI43" s="1">
        <f t="shared" si="65"/>
        <v>0</v>
      </c>
      <c r="AJ43" s="1">
        <f t="shared" si="66"/>
        <v>7.0353434867419891E-4</v>
      </c>
      <c r="AK43" s="1">
        <f t="shared" si="67"/>
        <v>5.7790321498237766E-3</v>
      </c>
      <c r="AL43" s="1">
        <v>0.62311170612784617</v>
      </c>
      <c r="AM43" s="64">
        <f t="shared" si="68"/>
        <v>1.3917203142298495E-2</v>
      </c>
      <c r="AN43" s="12">
        <f t="shared" si="69"/>
        <v>155.72428198385845</v>
      </c>
      <c r="AO43" s="72">
        <v>0</v>
      </c>
      <c r="AP43" s="1">
        <f t="shared" si="70"/>
        <v>156.34739368998629</v>
      </c>
      <c r="AQ43" s="1">
        <f t="shared" si="71"/>
        <v>0.62311170612784395</v>
      </c>
      <c r="AR43" s="1">
        <f t="shared" si="72"/>
        <v>0</v>
      </c>
      <c r="AS43" s="1">
        <f t="shared" si="73"/>
        <v>6.9372354187288785E-4</v>
      </c>
      <c r="AT43" s="1">
        <f t="shared" si="74"/>
        <v>5.6984433796701504E-3</v>
      </c>
      <c r="AU43" s="1">
        <v>0.61444929913655699</v>
      </c>
      <c r="AV43" s="64">
        <f t="shared" si="75"/>
        <v>1.3901852438493068E-2</v>
      </c>
      <c r="AW43" s="12">
        <f t="shared" si="76"/>
        <v>155.73294439084972</v>
      </c>
      <c r="AX43" s="72">
        <v>0</v>
      </c>
      <c r="AY43" s="1">
        <f t="shared" si="77"/>
        <v>156.34739368998629</v>
      </c>
      <c r="AZ43" s="1">
        <f t="shared" si="78"/>
        <v>0.61444929913656665</v>
      </c>
      <c r="BA43" s="1">
        <f t="shared" si="79"/>
        <v>0</v>
      </c>
      <c r="BB43" s="1">
        <f t="shared" si="80"/>
        <v>6.8406048643229799E-4</v>
      </c>
      <c r="BC43" s="1">
        <f t="shared" si="81"/>
        <v>5.6190682814081612E-3</v>
      </c>
      <c r="BD43" s="1">
        <v>0.60591673829913439</v>
      </c>
      <c r="BE43" s="64">
        <f t="shared" si="82"/>
        <v>1.3886517324411152E-2</v>
      </c>
      <c r="BF43" s="12">
        <f t="shared" si="83"/>
        <v>155.74147695168716</v>
      </c>
      <c r="BG43" s="72">
        <v>0</v>
      </c>
      <c r="BH43" s="1">
        <f t="shared" si="84"/>
        <v>156.34739368998629</v>
      </c>
      <c r="BI43" s="1">
        <f t="shared" si="85"/>
        <v>0.60591673829912907</v>
      </c>
      <c r="BJ43" s="1">
        <f t="shared" si="86"/>
        <v>0</v>
      </c>
      <c r="BK43" s="1">
        <f t="shared" si="87"/>
        <v>6.7454280193506944E-4</v>
      </c>
      <c r="BL43" s="1">
        <f t="shared" si="88"/>
        <v>5.5408873016094991E-3</v>
      </c>
      <c r="BM43" s="1">
        <v>0.59751191221240674</v>
      </c>
      <c r="BN43" s="64">
        <f t="shared" si="89"/>
        <v>1.3871255826857554E-2</v>
      </c>
    </row>
    <row r="44" spans="2:66" x14ac:dyDescent="0.3">
      <c r="B44" s="79">
        <f t="shared" si="90"/>
        <v>35</v>
      </c>
      <c r="C44" s="78">
        <f t="shared" si="91"/>
        <v>17.75</v>
      </c>
      <c r="D44" s="77">
        <v>1.1000000000000001</v>
      </c>
      <c r="E44" s="72">
        <v>0.13</v>
      </c>
      <c r="F44" s="72">
        <v>0.4</v>
      </c>
      <c r="G44" s="72">
        <v>2.0999999999999999E-3</v>
      </c>
      <c r="H44" s="72">
        <v>19</v>
      </c>
      <c r="I44" s="72" t="b">
        <v>0</v>
      </c>
      <c r="J44" s="76">
        <v>2</v>
      </c>
      <c r="K44" s="1">
        <f t="shared" si="92"/>
        <v>337.25</v>
      </c>
      <c r="L44" s="1">
        <f t="shared" si="47"/>
        <v>177.5</v>
      </c>
      <c r="M44" s="1">
        <f t="shared" si="93"/>
        <v>157.25</v>
      </c>
      <c r="N44">
        <f t="shared" si="48"/>
        <v>159.75</v>
      </c>
      <c r="O44" s="75">
        <f t="shared" si="49"/>
        <v>1.0451444331543041</v>
      </c>
      <c r="P44" s="1">
        <f t="shared" si="50"/>
        <v>160.79514443315429</v>
      </c>
      <c r="Q44" s="1">
        <f t="shared" si="51"/>
        <v>0</v>
      </c>
      <c r="R44" s="1">
        <f t="shared" si="52"/>
        <v>1.1328253170605298E-3</v>
      </c>
      <c r="S44" s="1">
        <f t="shared" si="53"/>
        <v>9.5750711322973355E-3</v>
      </c>
      <c r="T44" s="73">
        <v>1.0679575197654174</v>
      </c>
      <c r="U44" s="74">
        <f t="shared" si="54"/>
        <v>-2.1827688008883239E-2</v>
      </c>
      <c r="V44" s="73">
        <f t="shared" si="55"/>
        <v>159.72718691338886</v>
      </c>
      <c r="W44" s="72">
        <v>0</v>
      </c>
      <c r="X44" s="1">
        <f t="shared" si="56"/>
        <v>160.79514443315429</v>
      </c>
      <c r="Y44" s="1">
        <f t="shared" si="57"/>
        <v>1.0679575197654287</v>
      </c>
      <c r="Z44" s="1">
        <f t="shared" si="58"/>
        <v>0</v>
      </c>
      <c r="AA44" s="1">
        <f t="shared" si="59"/>
        <v>1.1576348447590924E-3</v>
      </c>
      <c r="AB44" s="1">
        <f t="shared" si="60"/>
        <v>9.7847707116542337E-3</v>
      </c>
      <c r="AC44" s="1">
        <v>0.64070505885993312</v>
      </c>
      <c r="AD44" s="64">
        <f t="shared" si="61"/>
        <v>0.40006503348498301</v>
      </c>
      <c r="AE44" s="12">
        <f t="shared" si="62"/>
        <v>160.15443937429436</v>
      </c>
      <c r="AF44" s="72">
        <v>0</v>
      </c>
      <c r="AG44" s="1">
        <f t="shared" si="63"/>
        <v>160.79514443315429</v>
      </c>
      <c r="AH44" s="1">
        <f t="shared" si="64"/>
        <v>0.64070505885993612</v>
      </c>
      <c r="AI44" s="1">
        <f t="shared" si="65"/>
        <v>0</v>
      </c>
      <c r="AJ44" s="1">
        <f t="shared" si="66"/>
        <v>6.9357944115076072E-4</v>
      </c>
      <c r="AK44" s="1">
        <f t="shared" si="67"/>
        <v>5.8623976573457153E-3</v>
      </c>
      <c r="AL44" s="1">
        <v>0.63200132946101184</v>
      </c>
      <c r="AM44" s="64">
        <f t="shared" si="68"/>
        <v>1.3584611637703636E-2</v>
      </c>
      <c r="AN44" s="12">
        <f t="shared" si="69"/>
        <v>160.16314310369327</v>
      </c>
      <c r="AO44" s="72">
        <v>0</v>
      </c>
      <c r="AP44" s="1">
        <f t="shared" si="70"/>
        <v>160.79514443315429</v>
      </c>
      <c r="AQ44" s="1">
        <f t="shared" si="71"/>
        <v>0.63200132946101917</v>
      </c>
      <c r="AR44" s="1">
        <f t="shared" si="72"/>
        <v>0</v>
      </c>
      <c r="AS44" s="1">
        <f t="shared" si="73"/>
        <v>6.8413885628714356E-4</v>
      </c>
      <c r="AT44" s="1">
        <f t="shared" si="74"/>
        <v>5.7826022376651414E-3</v>
      </c>
      <c r="AU44" s="1">
        <v>0.62341663299582672</v>
      </c>
      <c r="AV44" s="64">
        <f t="shared" si="75"/>
        <v>1.3583351909265184E-2</v>
      </c>
      <c r="AW44" s="12">
        <f t="shared" si="76"/>
        <v>160.17172780015846</v>
      </c>
      <c r="AX44" s="72">
        <v>0</v>
      </c>
      <c r="AY44" s="1">
        <f t="shared" si="77"/>
        <v>160.79514443315429</v>
      </c>
      <c r="AZ44" s="1">
        <f t="shared" si="78"/>
        <v>0.62341663299582706</v>
      </c>
      <c r="BA44" s="1">
        <f t="shared" si="79"/>
        <v>0</v>
      </c>
      <c r="BB44" s="1">
        <f t="shared" si="80"/>
        <v>6.7482788419341512E-4</v>
      </c>
      <c r="BC44" s="1">
        <f t="shared" si="81"/>
        <v>5.7039023544919604E-3</v>
      </c>
      <c r="BD44" s="1">
        <v>0.61494973503420292</v>
      </c>
      <c r="BE44" s="64">
        <f t="shared" si="82"/>
        <v>1.3581443794555947E-2</v>
      </c>
      <c r="BF44" s="12">
        <f t="shared" si="83"/>
        <v>160.18019469812009</v>
      </c>
      <c r="BG44" s="72">
        <v>0</v>
      </c>
      <c r="BH44" s="1">
        <f t="shared" si="84"/>
        <v>160.79514443315429</v>
      </c>
      <c r="BI44" s="1">
        <f t="shared" si="85"/>
        <v>0.61494973503420169</v>
      </c>
      <c r="BJ44" s="1">
        <f t="shared" si="86"/>
        <v>0</v>
      </c>
      <c r="BK44" s="1">
        <f t="shared" si="87"/>
        <v>6.6564516529914891E-4</v>
      </c>
      <c r="BL44" s="1">
        <f t="shared" si="88"/>
        <v>5.6262865162189967E-3</v>
      </c>
      <c r="BM44" s="1">
        <v>0.60659934300601259</v>
      </c>
      <c r="BN44" s="64">
        <f t="shared" si="89"/>
        <v>1.3578983049280735E-2</v>
      </c>
    </row>
    <row r="45" spans="2:66" x14ac:dyDescent="0.3">
      <c r="B45" s="79">
        <f t="shared" si="90"/>
        <v>36</v>
      </c>
      <c r="C45" s="78">
        <f t="shared" si="91"/>
        <v>18.25</v>
      </c>
      <c r="D45" s="77">
        <v>1.1000000000000001</v>
      </c>
      <c r="E45" s="72">
        <v>0.13</v>
      </c>
      <c r="F45" s="72">
        <v>0.4</v>
      </c>
      <c r="G45" s="72">
        <v>2.0999999999999999E-3</v>
      </c>
      <c r="H45" s="72">
        <v>19</v>
      </c>
      <c r="I45" s="72" t="b">
        <v>0</v>
      </c>
      <c r="J45" s="76">
        <v>2</v>
      </c>
      <c r="K45" s="1">
        <f t="shared" si="92"/>
        <v>346.75</v>
      </c>
      <c r="L45" s="1">
        <f t="shared" si="47"/>
        <v>182.5</v>
      </c>
      <c r="M45" s="1">
        <f t="shared" si="93"/>
        <v>161.75</v>
      </c>
      <c r="N45">
        <f t="shared" si="48"/>
        <v>164.25</v>
      </c>
      <c r="O45" s="75">
        <f t="shared" si="49"/>
        <v>0.9965397923875432</v>
      </c>
      <c r="P45" s="1">
        <f t="shared" si="50"/>
        <v>165.24653979238755</v>
      </c>
      <c r="Q45" s="1">
        <f t="shared" si="51"/>
        <v>0</v>
      </c>
      <c r="R45" s="1">
        <f t="shared" si="52"/>
        <v>1.0507984155946185E-3</v>
      </c>
      <c r="S45" s="1">
        <f t="shared" si="53"/>
        <v>9.131938611715136E-3</v>
      </c>
      <c r="T45" s="73">
        <v>1.0204096989814484</v>
      </c>
      <c r="U45" s="74">
        <f t="shared" si="54"/>
        <v>-2.3952788214022913E-2</v>
      </c>
      <c r="V45" s="73">
        <f t="shared" si="55"/>
        <v>164.22613009340611</v>
      </c>
      <c r="W45" s="72">
        <v>0</v>
      </c>
      <c r="X45" s="1">
        <f t="shared" si="56"/>
        <v>165.24653979238755</v>
      </c>
      <c r="Y45" s="1">
        <f t="shared" si="57"/>
        <v>1.0204096989814389</v>
      </c>
      <c r="Z45" s="1">
        <f t="shared" si="58"/>
        <v>0</v>
      </c>
      <c r="AA45" s="1">
        <f t="shared" si="59"/>
        <v>1.0760460796670546E-3</v>
      </c>
      <c r="AB45" s="1">
        <f t="shared" si="60"/>
        <v>9.351352835201783E-3</v>
      </c>
      <c r="AC45" s="1">
        <v>0.6400136723119102</v>
      </c>
      <c r="AD45" s="64">
        <f t="shared" si="61"/>
        <v>0.37278754509020795</v>
      </c>
      <c r="AE45" s="12">
        <f t="shared" si="62"/>
        <v>164.60652612007564</v>
      </c>
      <c r="AF45" s="72">
        <v>0</v>
      </c>
      <c r="AG45" s="1">
        <f t="shared" si="63"/>
        <v>165.24653979238755</v>
      </c>
      <c r="AH45" s="1">
        <f t="shared" si="64"/>
        <v>0.64001367231190898</v>
      </c>
      <c r="AI45" s="1">
        <f t="shared" si="65"/>
        <v>0</v>
      </c>
      <c r="AJ45" s="1">
        <f t="shared" si="66"/>
        <v>6.7412986875292852E-4</v>
      </c>
      <c r="AK45" s="1">
        <f t="shared" si="67"/>
        <v>5.8585095736861641E-3</v>
      </c>
      <c r="AL45" s="1">
        <v>0.63153010306319368</v>
      </c>
      <c r="AM45" s="64">
        <f t="shared" si="68"/>
        <v>1.3255293778444255E-2</v>
      </c>
      <c r="AN45" s="12">
        <f t="shared" si="69"/>
        <v>164.61500968932435</v>
      </c>
      <c r="AO45" s="72">
        <v>0</v>
      </c>
      <c r="AP45" s="1">
        <f t="shared" si="70"/>
        <v>165.24653979238755</v>
      </c>
      <c r="AQ45" s="1">
        <f t="shared" si="71"/>
        <v>0.63153010306319857</v>
      </c>
      <c r="AR45" s="1">
        <f t="shared" si="72"/>
        <v>0</v>
      </c>
      <c r="AS45" s="1">
        <f t="shared" si="73"/>
        <v>6.6517694942870987E-4</v>
      </c>
      <c r="AT45" s="1">
        <f t="shared" si="74"/>
        <v>5.7807044414637876E-3</v>
      </c>
      <c r="AU45" s="1">
        <v>0.62315134491121904</v>
      </c>
      <c r="AV45" s="64">
        <f t="shared" si="75"/>
        <v>1.3267393131917049E-2</v>
      </c>
      <c r="AW45" s="12">
        <f t="shared" si="76"/>
        <v>164.62338844747634</v>
      </c>
      <c r="AX45" s="72">
        <v>0</v>
      </c>
      <c r="AY45" s="1">
        <f t="shared" si="77"/>
        <v>165.24653979238755</v>
      </c>
      <c r="AZ45" s="1">
        <f t="shared" si="78"/>
        <v>0.62315134491120716</v>
      </c>
      <c r="BA45" s="1">
        <f t="shared" si="79"/>
        <v>0</v>
      </c>
      <c r="BB45" s="1">
        <f t="shared" si="80"/>
        <v>6.5633509270243218E-4</v>
      </c>
      <c r="BC45" s="1">
        <f t="shared" si="81"/>
        <v>5.7038644961044703E-3</v>
      </c>
      <c r="BD45" s="1">
        <v>0.61487697093015703</v>
      </c>
      <c r="BE45" s="64">
        <f t="shared" si="82"/>
        <v>1.3278273486241332E-2</v>
      </c>
      <c r="BF45" s="12">
        <f t="shared" si="83"/>
        <v>164.63166282145738</v>
      </c>
      <c r="BG45" s="72">
        <v>0</v>
      </c>
      <c r="BH45" s="1">
        <f t="shared" si="84"/>
        <v>165.24653979238755</v>
      </c>
      <c r="BI45" s="1">
        <f t="shared" si="85"/>
        <v>0.61487697093016891</v>
      </c>
      <c r="BJ45" s="1">
        <f t="shared" si="86"/>
        <v>0</v>
      </c>
      <c r="BK45" s="1">
        <f t="shared" si="87"/>
        <v>6.4760383115167967E-4</v>
      </c>
      <c r="BL45" s="1">
        <f t="shared" si="88"/>
        <v>5.627985675484835E-3</v>
      </c>
      <c r="BM45" s="1">
        <v>0.60670645016271763</v>
      </c>
      <c r="BN45" s="64">
        <f t="shared" si="89"/>
        <v>1.3288057861544522E-2</v>
      </c>
    </row>
    <row r="46" spans="2:66" x14ac:dyDescent="0.3">
      <c r="B46" s="79">
        <f t="shared" si="90"/>
        <v>37</v>
      </c>
      <c r="C46" s="78">
        <f t="shared" si="91"/>
        <v>18.75</v>
      </c>
      <c r="D46" s="77">
        <v>1.1000000000000001</v>
      </c>
      <c r="E46" s="72">
        <v>0.13</v>
      </c>
      <c r="F46" s="72">
        <v>0.4</v>
      </c>
      <c r="G46" s="72">
        <v>2.0999999999999999E-3</v>
      </c>
      <c r="H46" s="72">
        <v>19</v>
      </c>
      <c r="I46" s="72" t="b">
        <v>0</v>
      </c>
      <c r="J46" s="76">
        <v>2</v>
      </c>
      <c r="K46" s="1">
        <f t="shared" si="92"/>
        <v>356.25</v>
      </c>
      <c r="L46" s="1">
        <f t="shared" si="47"/>
        <v>187.5</v>
      </c>
      <c r="M46" s="1">
        <f t="shared" si="93"/>
        <v>166.25</v>
      </c>
      <c r="N46">
        <f t="shared" si="48"/>
        <v>168.75</v>
      </c>
      <c r="O46" s="75">
        <f t="shared" si="49"/>
        <v>0.95124851367419738</v>
      </c>
      <c r="P46" s="1">
        <f t="shared" si="50"/>
        <v>169.70124851367419</v>
      </c>
      <c r="Q46" s="1">
        <f t="shared" si="51"/>
        <v>0</v>
      </c>
      <c r="R46" s="1">
        <f t="shared" si="52"/>
        <v>9.7650239444797078E-4</v>
      </c>
      <c r="S46" s="1">
        <f t="shared" si="53"/>
        <v>8.718771378999738E-3</v>
      </c>
      <c r="T46" s="73">
        <v>0.97347085948444978</v>
      </c>
      <c r="U46" s="74">
        <f t="shared" si="54"/>
        <v>-2.3361241033027724E-2</v>
      </c>
      <c r="V46" s="73">
        <f t="shared" si="55"/>
        <v>168.72777765418974</v>
      </c>
      <c r="W46" s="72">
        <v>0</v>
      </c>
      <c r="X46" s="1">
        <f t="shared" si="56"/>
        <v>169.70124851367419</v>
      </c>
      <c r="Y46" s="1">
        <f t="shared" si="57"/>
        <v>0.97347085948445056</v>
      </c>
      <c r="Z46" s="1">
        <f t="shared" si="58"/>
        <v>0</v>
      </c>
      <c r="AA46" s="1">
        <f t="shared" si="59"/>
        <v>9.9938044524316896E-4</v>
      </c>
      <c r="AB46" s="1">
        <f t="shared" si="60"/>
        <v>8.9230396896711507E-3</v>
      </c>
      <c r="AC46" s="1">
        <v>0.63007892318646663</v>
      </c>
      <c r="AD46" s="64">
        <f t="shared" si="61"/>
        <v>0.35275009308429017</v>
      </c>
      <c r="AE46" s="12">
        <f t="shared" si="62"/>
        <v>169.07116959048773</v>
      </c>
      <c r="AF46" s="72">
        <v>0</v>
      </c>
      <c r="AG46" s="1">
        <f t="shared" si="63"/>
        <v>169.70124851367419</v>
      </c>
      <c r="AH46" s="1">
        <f t="shared" si="64"/>
        <v>0.63007892318645986</v>
      </c>
      <c r="AI46" s="1">
        <f t="shared" si="65"/>
        <v>0</v>
      </c>
      <c r="AJ46" s="1">
        <f t="shared" si="66"/>
        <v>6.461921937069413E-4</v>
      </c>
      <c r="AK46" s="1">
        <f t="shared" si="67"/>
        <v>5.7695731580976895E-3</v>
      </c>
      <c r="AL46" s="1">
        <v>0.62192915041043184</v>
      </c>
      <c r="AM46" s="64">
        <f t="shared" si="68"/>
        <v>1.293452689198471E-2</v>
      </c>
      <c r="AN46" s="12">
        <f t="shared" si="69"/>
        <v>169.07931936326375</v>
      </c>
      <c r="AO46" s="72">
        <v>0</v>
      </c>
      <c r="AP46" s="1">
        <f t="shared" si="70"/>
        <v>169.70124851367419</v>
      </c>
      <c r="AQ46" s="1">
        <f t="shared" si="71"/>
        <v>0.62192915041043761</v>
      </c>
      <c r="AR46" s="1">
        <f t="shared" si="72"/>
        <v>0</v>
      </c>
      <c r="AS46" s="1">
        <f t="shared" si="73"/>
        <v>6.3781864060156741E-4</v>
      </c>
      <c r="AT46" s="1">
        <f t="shared" si="74"/>
        <v>5.6948092910854235E-3</v>
      </c>
      <c r="AU46" s="1">
        <v>0.61386957246884633</v>
      </c>
      <c r="AV46" s="64">
        <f t="shared" si="75"/>
        <v>1.2958996915118703E-2</v>
      </c>
      <c r="AW46" s="12">
        <f t="shared" si="76"/>
        <v>169.08737894120534</v>
      </c>
      <c r="AX46" s="72">
        <v>0</v>
      </c>
      <c r="AY46" s="1">
        <f t="shared" si="77"/>
        <v>169.70124851367419</v>
      </c>
      <c r="AZ46" s="1">
        <f t="shared" si="78"/>
        <v>0.61386957246884322</v>
      </c>
      <c r="BA46" s="1">
        <f t="shared" si="79"/>
        <v>0</v>
      </c>
      <c r="BB46" s="1">
        <f t="shared" si="80"/>
        <v>6.2953815587089477E-4</v>
      </c>
      <c r="BC46" s="1">
        <f t="shared" si="81"/>
        <v>5.6208763917044175E-3</v>
      </c>
      <c r="BD46" s="1">
        <v>0.60590044853215719</v>
      </c>
      <c r="BE46" s="64">
        <f t="shared" si="82"/>
        <v>1.2981786838914378E-2</v>
      </c>
      <c r="BF46" s="12">
        <f t="shared" si="83"/>
        <v>169.09534806514202</v>
      </c>
      <c r="BG46" s="72">
        <v>0</v>
      </c>
      <c r="BH46" s="1">
        <f t="shared" si="84"/>
        <v>169.70124851367419</v>
      </c>
      <c r="BI46" s="1">
        <f t="shared" si="85"/>
        <v>0.60590044853216796</v>
      </c>
      <c r="BJ46" s="1">
        <f t="shared" si="86"/>
        <v>0</v>
      </c>
      <c r="BK46" s="1">
        <f t="shared" si="87"/>
        <v>6.2135099248125333E-4</v>
      </c>
      <c r="BL46" s="1">
        <f t="shared" si="88"/>
        <v>5.5477767185826187E-3</v>
      </c>
      <c r="BM46" s="1">
        <v>0.59802190372595732</v>
      </c>
      <c r="BN46" s="64">
        <f t="shared" si="89"/>
        <v>1.3003035111290862E-2</v>
      </c>
    </row>
    <row r="47" spans="2:66" x14ac:dyDescent="0.3">
      <c r="B47" s="79">
        <f t="shared" si="90"/>
        <v>38</v>
      </c>
      <c r="C47" s="78">
        <f t="shared" si="91"/>
        <v>19.25</v>
      </c>
      <c r="D47" s="77">
        <v>1.1000000000000001</v>
      </c>
      <c r="E47" s="72">
        <v>0.13</v>
      </c>
      <c r="F47" s="72">
        <v>0.4</v>
      </c>
      <c r="G47" s="72">
        <v>2.0999999999999999E-3</v>
      </c>
      <c r="H47" s="72">
        <v>19</v>
      </c>
      <c r="I47" s="72" t="b">
        <v>0</v>
      </c>
      <c r="J47" s="76">
        <v>2</v>
      </c>
      <c r="K47" s="1">
        <f t="shared" si="92"/>
        <v>365.75</v>
      </c>
      <c r="L47" s="1">
        <f t="shared" si="47"/>
        <v>192.5</v>
      </c>
      <c r="M47" s="1">
        <f t="shared" si="93"/>
        <v>170.75</v>
      </c>
      <c r="N47">
        <f t="shared" si="48"/>
        <v>173.25</v>
      </c>
      <c r="O47" s="75">
        <f t="shared" si="49"/>
        <v>0.90897613937634147</v>
      </c>
      <c r="P47" s="1">
        <f t="shared" si="50"/>
        <v>174.15897613937634</v>
      </c>
      <c r="Q47" s="1">
        <f t="shared" si="51"/>
        <v>0</v>
      </c>
      <c r="R47" s="1">
        <f t="shared" si="52"/>
        <v>9.0904783572212091E-4</v>
      </c>
      <c r="S47" s="1">
        <f t="shared" si="53"/>
        <v>8.3329384941194413E-3</v>
      </c>
      <c r="T47" s="73">
        <v>0.92739044480360588</v>
      </c>
      <c r="U47" s="74">
        <f t="shared" si="54"/>
        <v>-2.0258293512411374E-2</v>
      </c>
      <c r="V47" s="73">
        <f t="shared" si="55"/>
        <v>173.23158569457274</v>
      </c>
      <c r="W47" s="72">
        <v>0</v>
      </c>
      <c r="X47" s="1">
        <f t="shared" si="56"/>
        <v>174.15897613937634</v>
      </c>
      <c r="Y47" s="1">
        <f t="shared" si="57"/>
        <v>0.92739044480359212</v>
      </c>
      <c r="Z47" s="1">
        <f t="shared" si="58"/>
        <v>0</v>
      </c>
      <c r="AA47" s="1">
        <f t="shared" si="59"/>
        <v>9.2751284297875377E-4</v>
      </c>
      <c r="AB47" s="1">
        <f t="shared" si="60"/>
        <v>8.5022010606385767E-3</v>
      </c>
      <c r="AC47" s="1">
        <v>0.6112709833734199</v>
      </c>
      <c r="AD47" s="64">
        <f t="shared" si="61"/>
        <v>0.3408698711545618</v>
      </c>
      <c r="AE47" s="12">
        <f t="shared" si="62"/>
        <v>173.54770515600291</v>
      </c>
      <c r="AF47" s="72">
        <v>0</v>
      </c>
      <c r="AG47" s="1">
        <f t="shared" si="63"/>
        <v>174.15897613937634</v>
      </c>
      <c r="AH47" s="1">
        <f t="shared" si="64"/>
        <v>0.61127098337343</v>
      </c>
      <c r="AI47" s="1">
        <f t="shared" si="65"/>
        <v>0</v>
      </c>
      <c r="AJ47" s="1">
        <f t="shared" si="66"/>
        <v>6.1079502418804037E-4</v>
      </c>
      <c r="AK47" s="1">
        <f t="shared" si="67"/>
        <v>5.5989543883903699E-3</v>
      </c>
      <c r="AL47" s="1">
        <v>0.60355240729761994</v>
      </c>
      <c r="AM47" s="64">
        <f t="shared" si="68"/>
        <v>1.262709385159011E-2</v>
      </c>
      <c r="AN47" s="12">
        <f t="shared" si="69"/>
        <v>173.55542373207871</v>
      </c>
      <c r="AO47" s="72">
        <v>0</v>
      </c>
      <c r="AP47" s="1">
        <f t="shared" si="70"/>
        <v>174.15897613937634</v>
      </c>
      <c r="AQ47" s="1">
        <f t="shared" si="71"/>
        <v>0.60355240729762727</v>
      </c>
      <c r="AR47" s="1">
        <f t="shared" si="72"/>
        <v>0</v>
      </c>
      <c r="AS47" s="1">
        <f t="shared" si="73"/>
        <v>6.0306905523083469E-4</v>
      </c>
      <c r="AT47" s="1">
        <f t="shared" si="74"/>
        <v>5.5281330062826508E-3</v>
      </c>
      <c r="AU47" s="1">
        <v>0.59590977595907801</v>
      </c>
      <c r="AV47" s="64">
        <f t="shared" si="75"/>
        <v>1.2662746840442107E-2</v>
      </c>
      <c r="AW47" s="12">
        <f t="shared" si="76"/>
        <v>173.56306636341725</v>
      </c>
      <c r="AX47" s="72">
        <v>0</v>
      </c>
      <c r="AY47" s="1">
        <f t="shared" si="77"/>
        <v>174.15897613937634</v>
      </c>
      <c r="AZ47" s="1">
        <f t="shared" si="78"/>
        <v>0.59590977595908612</v>
      </c>
      <c r="BA47" s="1">
        <f t="shared" si="79"/>
        <v>0</v>
      </c>
      <c r="BB47" s="1">
        <f t="shared" si="80"/>
        <v>5.9541944228817291E-4</v>
      </c>
      <c r="BC47" s="1">
        <f t="shared" si="81"/>
        <v>5.4580115543082508E-3</v>
      </c>
      <c r="BD47" s="1">
        <v>0.58834388023713657</v>
      </c>
      <c r="BE47" s="64">
        <f t="shared" si="82"/>
        <v>1.2696377920252466E-2</v>
      </c>
      <c r="BF47" s="12">
        <f t="shared" si="83"/>
        <v>173.57063225913919</v>
      </c>
      <c r="BG47" s="72">
        <v>0</v>
      </c>
      <c r="BH47" s="1">
        <f t="shared" si="84"/>
        <v>174.15897613937634</v>
      </c>
      <c r="BI47" s="1">
        <f t="shared" si="85"/>
        <v>0.58834388023714723</v>
      </c>
      <c r="BJ47" s="1">
        <f t="shared" si="86"/>
        <v>0</v>
      </c>
      <c r="BK47" s="1">
        <f t="shared" si="87"/>
        <v>5.8784696683851414E-4</v>
      </c>
      <c r="BL47" s="1">
        <f t="shared" si="88"/>
        <v>5.3885971960197128E-3</v>
      </c>
      <c r="BM47" s="1">
        <v>0.58085536375310098</v>
      </c>
      <c r="BN47" s="64">
        <f t="shared" si="89"/>
        <v>1.2728128456146792E-2</v>
      </c>
    </row>
    <row r="48" spans="2:66" x14ac:dyDescent="0.3">
      <c r="B48" s="79">
        <f t="shared" si="90"/>
        <v>39</v>
      </c>
      <c r="C48" s="78">
        <f t="shared" si="91"/>
        <v>19.75</v>
      </c>
      <c r="D48" s="77">
        <v>1.1000000000000001</v>
      </c>
      <c r="E48" s="72">
        <v>0.13</v>
      </c>
      <c r="F48" s="72">
        <v>0.4</v>
      </c>
      <c r="G48" s="72">
        <v>2.0999999999999999E-3</v>
      </c>
      <c r="H48" s="72">
        <v>19</v>
      </c>
      <c r="I48" s="72" t="b">
        <v>0</v>
      </c>
      <c r="J48" s="76">
        <v>2</v>
      </c>
      <c r="K48" s="1">
        <f t="shared" si="92"/>
        <v>375.25</v>
      </c>
      <c r="L48" s="1">
        <f t="shared" si="47"/>
        <v>197.5</v>
      </c>
      <c r="M48" s="1">
        <f t="shared" si="93"/>
        <v>175.25</v>
      </c>
      <c r="N48">
        <f t="shared" si="48"/>
        <v>177.75</v>
      </c>
      <c r="O48" s="75">
        <f t="shared" si="49"/>
        <v>0.86946021011955077</v>
      </c>
      <c r="P48" s="1">
        <f t="shared" si="50"/>
        <v>178.61946021011954</v>
      </c>
      <c r="Q48" s="1">
        <f t="shared" si="51"/>
        <v>0</v>
      </c>
      <c r="R48" s="1">
        <f t="shared" si="52"/>
        <v>8.476652752289857E-4</v>
      </c>
      <c r="S48" s="1">
        <f t="shared" si="53"/>
        <v>7.97209008846308E-3</v>
      </c>
      <c r="T48" s="73">
        <v>0.88158408028536828</v>
      </c>
      <c r="U48" s="74">
        <f t="shared" si="54"/>
        <v>-1.3944134561546528E-2</v>
      </c>
      <c r="V48" s="73">
        <f t="shared" si="55"/>
        <v>177.73787612983418</v>
      </c>
      <c r="W48" s="72">
        <v>0</v>
      </c>
      <c r="X48" s="1">
        <f t="shared" si="56"/>
        <v>178.61946021011954</v>
      </c>
      <c r="Y48" s="1">
        <f t="shared" si="57"/>
        <v>0.88158408028536428</v>
      </c>
      <c r="Z48" s="1">
        <f t="shared" si="58"/>
        <v>0</v>
      </c>
      <c r="AA48" s="1">
        <f t="shared" si="59"/>
        <v>8.5951452302147425E-4</v>
      </c>
      <c r="AB48" s="1">
        <f t="shared" si="60"/>
        <v>8.0835294427019609E-3</v>
      </c>
      <c r="AC48" s="1">
        <v>0.58406515074656762</v>
      </c>
      <c r="AD48" s="64">
        <f t="shared" si="61"/>
        <v>0.33748219391903189</v>
      </c>
      <c r="AE48" s="12">
        <f t="shared" si="62"/>
        <v>178.03539505937297</v>
      </c>
      <c r="AF48" s="72">
        <v>0</v>
      </c>
      <c r="AG48" s="1">
        <f t="shared" si="63"/>
        <v>178.61946021011954</v>
      </c>
      <c r="AH48" s="1">
        <f t="shared" si="64"/>
        <v>0.58406515074656795</v>
      </c>
      <c r="AI48" s="1">
        <f t="shared" si="65"/>
        <v>0</v>
      </c>
      <c r="AJ48" s="1">
        <f t="shared" si="66"/>
        <v>5.689679981542437E-4</v>
      </c>
      <c r="AK48" s="1">
        <f t="shared" si="67"/>
        <v>5.3510085540696729E-3</v>
      </c>
      <c r="AL48" s="1">
        <v>0.57685943044770005</v>
      </c>
      <c r="AM48" s="64">
        <f t="shared" si="68"/>
        <v>1.2337185825343933E-2</v>
      </c>
      <c r="AN48" s="12">
        <f t="shared" si="69"/>
        <v>178.04260077967183</v>
      </c>
      <c r="AO48" s="72">
        <v>0</v>
      </c>
      <c r="AP48" s="1">
        <f t="shared" si="70"/>
        <v>178.61946021011954</v>
      </c>
      <c r="AQ48" s="1">
        <f t="shared" si="71"/>
        <v>0.57685943044771193</v>
      </c>
      <c r="AR48" s="1">
        <f t="shared" si="72"/>
        <v>0</v>
      </c>
      <c r="AS48" s="1">
        <f t="shared" si="73"/>
        <v>5.619371687271672E-4</v>
      </c>
      <c r="AT48" s="1">
        <f t="shared" si="74"/>
        <v>5.2848852773150247E-3</v>
      </c>
      <c r="AU48" s="1">
        <v>0.56971635375364604</v>
      </c>
      <c r="AV48" s="64">
        <f t="shared" si="75"/>
        <v>1.2382699002635666E-2</v>
      </c>
      <c r="AW48" s="12">
        <f t="shared" si="76"/>
        <v>178.04974385636589</v>
      </c>
      <c r="AX48" s="72">
        <v>0</v>
      </c>
      <c r="AY48" s="1">
        <f t="shared" si="77"/>
        <v>178.61946021011954</v>
      </c>
      <c r="AZ48" s="1">
        <f t="shared" si="78"/>
        <v>0.56971635375364826</v>
      </c>
      <c r="BA48" s="1">
        <f t="shared" si="79"/>
        <v>0</v>
      </c>
      <c r="BB48" s="1">
        <f t="shared" si="80"/>
        <v>5.5496774332010508E-4</v>
      </c>
      <c r="BC48" s="1">
        <f t="shared" si="81"/>
        <v>5.2193394907486075E-3</v>
      </c>
      <c r="BD48" s="1">
        <v>0.56263707518817407</v>
      </c>
      <c r="BE48" s="64">
        <f t="shared" si="82"/>
        <v>1.2425970430428146E-2</v>
      </c>
      <c r="BF48" s="12">
        <f t="shared" si="83"/>
        <v>178.05682313493136</v>
      </c>
      <c r="BG48" s="72">
        <v>0</v>
      </c>
      <c r="BH48" s="1">
        <f t="shared" si="84"/>
        <v>178.61946021011954</v>
      </c>
      <c r="BI48" s="1">
        <f t="shared" si="85"/>
        <v>0.56263707518817796</v>
      </c>
      <c r="BJ48" s="1">
        <f t="shared" si="86"/>
        <v>0</v>
      </c>
      <c r="BK48" s="1">
        <f t="shared" si="87"/>
        <v>5.4806084094371577E-4</v>
      </c>
      <c r="BL48" s="1">
        <f t="shared" si="88"/>
        <v>5.1543817183992311E-3</v>
      </c>
      <c r="BM48" s="1">
        <v>0.55562260450666268</v>
      </c>
      <c r="BN48" s="64">
        <f t="shared" si="89"/>
        <v>1.2467131994757463E-2</v>
      </c>
    </row>
    <row r="49" spans="2:66" x14ac:dyDescent="0.3">
      <c r="B49" s="79">
        <f t="shared" si="90"/>
        <v>40</v>
      </c>
      <c r="C49" s="78">
        <f t="shared" si="91"/>
        <v>20.25</v>
      </c>
      <c r="D49" s="77">
        <v>1.1000000000000001</v>
      </c>
      <c r="E49" s="72">
        <v>0.13</v>
      </c>
      <c r="F49" s="72">
        <v>0.4</v>
      </c>
      <c r="G49" s="72">
        <v>2.0999999999999999E-3</v>
      </c>
      <c r="H49" s="72">
        <v>19</v>
      </c>
      <c r="I49" s="72" t="b">
        <v>0</v>
      </c>
      <c r="J49" s="76">
        <v>2</v>
      </c>
      <c r="K49" s="1">
        <f t="shared" si="92"/>
        <v>384.75</v>
      </c>
      <c r="L49" s="1">
        <f t="shared" si="47"/>
        <v>202.5</v>
      </c>
      <c r="M49" s="1">
        <f t="shared" si="93"/>
        <v>179.75</v>
      </c>
      <c r="N49">
        <f t="shared" si="48"/>
        <v>182.25</v>
      </c>
      <c r="O49" s="75">
        <f t="shared" si="49"/>
        <v>0.83246618106139436</v>
      </c>
      <c r="P49" s="1">
        <f t="shared" si="50"/>
        <v>183.08246618106139</v>
      </c>
      <c r="Q49" s="1">
        <f t="shared" si="51"/>
        <v>0</v>
      </c>
      <c r="R49" s="1">
        <f t="shared" si="52"/>
        <v>7.9168675768960224E-4</v>
      </c>
      <c r="S49" s="1">
        <f t="shared" si="53"/>
        <v>7.6341223062925921E-3</v>
      </c>
      <c r="T49" s="73">
        <v>0.83472510365801267</v>
      </c>
      <c r="U49" s="74">
        <f t="shared" si="54"/>
        <v>-2.7135307691876775E-3</v>
      </c>
      <c r="V49" s="73">
        <f t="shared" si="55"/>
        <v>182.24774107740339</v>
      </c>
      <c r="W49" s="72">
        <v>0</v>
      </c>
      <c r="X49" s="1">
        <f t="shared" si="56"/>
        <v>183.08246618106139</v>
      </c>
      <c r="Y49" s="1">
        <f t="shared" si="57"/>
        <v>0.8347251036580019</v>
      </c>
      <c r="Z49" s="1">
        <f t="shared" si="58"/>
        <v>0</v>
      </c>
      <c r="AA49" s="1">
        <f t="shared" si="59"/>
        <v>7.9383994001848565E-4</v>
      </c>
      <c r="AB49" s="1">
        <f t="shared" si="60"/>
        <v>7.6548851358925396E-3</v>
      </c>
      <c r="AC49" s="1">
        <v>0.54902446405114247</v>
      </c>
      <c r="AD49" s="64">
        <f t="shared" si="61"/>
        <v>0.34226913549722926</v>
      </c>
      <c r="AE49" s="12">
        <f t="shared" si="62"/>
        <v>182.53344171701025</v>
      </c>
      <c r="AF49" s="72">
        <v>0</v>
      </c>
      <c r="AG49" s="1">
        <f t="shared" si="63"/>
        <v>183.08246618106139</v>
      </c>
      <c r="AH49" s="1">
        <f t="shared" si="64"/>
        <v>0.54902446405114347</v>
      </c>
      <c r="AI49" s="1">
        <f t="shared" si="65"/>
        <v>0</v>
      </c>
      <c r="AJ49" s="1">
        <f t="shared" si="66"/>
        <v>5.21724507577267E-4</v>
      </c>
      <c r="AK49" s="1">
        <f t="shared" si="67"/>
        <v>5.0309148944950744E-3</v>
      </c>
      <c r="AL49" s="1">
        <v>0.54239865065860993</v>
      </c>
      <c r="AM49" s="64">
        <f t="shared" si="68"/>
        <v>1.206833907480731E-2</v>
      </c>
      <c r="AN49" s="12">
        <f t="shared" si="69"/>
        <v>182.54006753040278</v>
      </c>
      <c r="AO49" s="72">
        <v>0</v>
      </c>
      <c r="AP49" s="1">
        <f t="shared" si="70"/>
        <v>183.08246618106139</v>
      </c>
      <c r="AQ49" s="1">
        <f t="shared" si="71"/>
        <v>0.54239865065861181</v>
      </c>
      <c r="AR49" s="1">
        <f t="shared" si="72"/>
        <v>0</v>
      </c>
      <c r="AS49" s="1">
        <f t="shared" si="73"/>
        <v>5.1541880941636945E-4</v>
      </c>
      <c r="AT49" s="1">
        <f t="shared" si="74"/>
        <v>4.9701099479435625E-3</v>
      </c>
      <c r="AU49" s="1">
        <v>0.53582351968424646</v>
      </c>
      <c r="AV49" s="64">
        <f t="shared" si="75"/>
        <v>1.2122321776393497E-2</v>
      </c>
      <c r="AW49" s="12">
        <f t="shared" si="76"/>
        <v>182.54664266137715</v>
      </c>
      <c r="AX49" s="72">
        <v>0</v>
      </c>
      <c r="AY49" s="1">
        <f t="shared" si="77"/>
        <v>183.08246618106139</v>
      </c>
      <c r="AZ49" s="1">
        <f t="shared" si="78"/>
        <v>0.53582351968424291</v>
      </c>
      <c r="BA49" s="1">
        <f t="shared" si="79"/>
        <v>0</v>
      </c>
      <c r="BB49" s="1">
        <f t="shared" si="80"/>
        <v>5.0916157129611279E-4</v>
      </c>
      <c r="BC49" s="1">
        <f t="shared" si="81"/>
        <v>4.9097722946410873E-3</v>
      </c>
      <c r="BD49" s="1">
        <v>0.52930042549010325</v>
      </c>
      <c r="BE49" s="64">
        <f t="shared" si="82"/>
        <v>1.2173960183725518E-2</v>
      </c>
      <c r="BF49" s="12">
        <f t="shared" si="83"/>
        <v>182.55316575557129</v>
      </c>
      <c r="BG49" s="72">
        <v>0</v>
      </c>
      <c r="BH49" s="1">
        <f t="shared" si="84"/>
        <v>183.08246618106139</v>
      </c>
      <c r="BI49" s="1">
        <f t="shared" si="85"/>
        <v>0.52930042549010636</v>
      </c>
      <c r="BJ49" s="1">
        <f t="shared" si="86"/>
        <v>0</v>
      </c>
      <c r="BK49" s="1">
        <f t="shared" si="87"/>
        <v>5.0295407680075988E-4</v>
      </c>
      <c r="BL49" s="1">
        <f t="shared" si="88"/>
        <v>4.8499143120073265E-3</v>
      </c>
      <c r="BM49" s="1">
        <v>0.52283059306614466</v>
      </c>
      <c r="BN49" s="64">
        <f t="shared" si="89"/>
        <v>1.2223365242850392E-2</v>
      </c>
    </row>
    <row r="50" spans="2:66" x14ac:dyDescent="0.3">
      <c r="B50" s="79">
        <f t="shared" si="90"/>
        <v>41</v>
      </c>
      <c r="C50" s="78">
        <f t="shared" si="91"/>
        <v>20.75</v>
      </c>
      <c r="D50" s="77">
        <v>1.1000000000000001</v>
      </c>
      <c r="E50" s="72">
        <v>0.13</v>
      </c>
      <c r="F50" s="72">
        <v>0.4</v>
      </c>
      <c r="G50" s="72">
        <v>2.0999999999999999E-3</v>
      </c>
      <c r="H50" s="72">
        <v>19</v>
      </c>
      <c r="I50" s="72" t="b">
        <v>0</v>
      </c>
      <c r="J50" s="76">
        <v>2</v>
      </c>
      <c r="K50" s="1">
        <f t="shared" si="92"/>
        <v>394.25</v>
      </c>
      <c r="L50" s="1">
        <f t="shared" si="47"/>
        <v>207.5</v>
      </c>
      <c r="M50" s="1">
        <f t="shared" si="93"/>
        <v>184.25</v>
      </c>
      <c r="N50">
        <f t="shared" si="48"/>
        <v>186.75</v>
      </c>
      <c r="O50" s="75">
        <f t="shared" si="49"/>
        <v>0.79778393351800547</v>
      </c>
      <c r="P50" s="1">
        <f t="shared" si="50"/>
        <v>187.54778393351802</v>
      </c>
      <c r="Q50" s="1">
        <f t="shared" si="51"/>
        <v>0</v>
      </c>
      <c r="R50" s="1">
        <f t="shared" si="52"/>
        <v>7.4053056068043512E-4</v>
      </c>
      <c r="S50" s="1">
        <f t="shared" si="53"/>
        <v>7.3171472067233463E-3</v>
      </c>
      <c r="T50" s="73">
        <v>0.78478439346681139</v>
      </c>
      <c r="U50" s="74">
        <f t="shared" si="54"/>
        <v>1.6294562355837039E-2</v>
      </c>
      <c r="V50" s="73">
        <f t="shared" si="55"/>
        <v>186.7629995400512</v>
      </c>
      <c r="W50" s="72">
        <v>0</v>
      </c>
      <c r="X50" s="1">
        <f t="shared" si="56"/>
        <v>187.54778393351802</v>
      </c>
      <c r="Y50" s="1">
        <f t="shared" si="57"/>
        <v>0.78478439346682194</v>
      </c>
      <c r="Z50" s="1">
        <f t="shared" si="58"/>
        <v>0</v>
      </c>
      <c r="AA50" s="1">
        <f t="shared" si="59"/>
        <v>7.2843860453273982E-4</v>
      </c>
      <c r="AB50" s="1">
        <f t="shared" si="60"/>
        <v>7.1976671638354049E-3</v>
      </c>
      <c r="AC50" s="1">
        <v>0.50678366540242514</v>
      </c>
      <c r="AD50" s="64">
        <f t="shared" si="61"/>
        <v>0.35423834925706854</v>
      </c>
      <c r="AE50" s="12">
        <f t="shared" si="62"/>
        <v>187.0410002681156</v>
      </c>
      <c r="AF50" s="72">
        <v>0</v>
      </c>
      <c r="AG50" s="1">
        <f t="shared" si="63"/>
        <v>187.54778393351802</v>
      </c>
      <c r="AH50" s="1">
        <f t="shared" si="64"/>
        <v>0.50678366540242337</v>
      </c>
      <c r="AI50" s="1">
        <f t="shared" si="65"/>
        <v>0</v>
      </c>
      <c r="AJ50" s="1">
        <f t="shared" si="66"/>
        <v>4.7004820852885096E-4</v>
      </c>
      <c r="AK50" s="1">
        <f t="shared" si="67"/>
        <v>4.6445239652255516E-3</v>
      </c>
      <c r="AL50" s="1">
        <v>0.50079175462175385</v>
      </c>
      <c r="AM50" s="64">
        <f t="shared" si="68"/>
        <v>1.1823409454035039E-2</v>
      </c>
      <c r="AN50" s="12">
        <f t="shared" si="69"/>
        <v>187.04699217889626</v>
      </c>
      <c r="AO50" s="72">
        <v>0</v>
      </c>
      <c r="AP50" s="1">
        <f t="shared" si="70"/>
        <v>187.54778393351802</v>
      </c>
      <c r="AQ50" s="1">
        <f t="shared" si="71"/>
        <v>0.5007917546217584</v>
      </c>
      <c r="AR50" s="1">
        <f t="shared" si="72"/>
        <v>0</v>
      </c>
      <c r="AS50" s="1">
        <f t="shared" si="73"/>
        <v>4.6448319956652316E-4</v>
      </c>
      <c r="AT50" s="1">
        <f t="shared" si="74"/>
        <v>4.5895363766692166E-3</v>
      </c>
      <c r="AU50" s="1">
        <v>0.49484011064019484</v>
      </c>
      <c r="AV50" s="64">
        <f t="shared" si="75"/>
        <v>1.1884468796932834E-2</v>
      </c>
      <c r="AW50" s="12">
        <f t="shared" si="76"/>
        <v>187.05294382287784</v>
      </c>
      <c r="AX50" s="72">
        <v>0</v>
      </c>
      <c r="AY50" s="1">
        <f t="shared" si="77"/>
        <v>187.54778393351802</v>
      </c>
      <c r="AZ50" s="1">
        <f t="shared" si="78"/>
        <v>0.49484011064018318</v>
      </c>
      <c r="BA50" s="1">
        <f t="shared" si="79"/>
        <v>0</v>
      </c>
      <c r="BB50" s="1">
        <f t="shared" si="80"/>
        <v>4.5895576501568626E-4</v>
      </c>
      <c r="BC50" s="1">
        <f t="shared" si="81"/>
        <v>4.5349200590835666E-3</v>
      </c>
      <c r="BD50" s="1">
        <v>0.48893014273533736</v>
      </c>
      <c r="BE50" s="64">
        <f t="shared" si="82"/>
        <v>1.194318685524498E-2</v>
      </c>
      <c r="BF50" s="12">
        <f t="shared" si="83"/>
        <v>187.05885379078268</v>
      </c>
      <c r="BG50" s="72">
        <v>0</v>
      </c>
      <c r="BH50" s="1">
        <f t="shared" si="84"/>
        <v>187.54778393351802</v>
      </c>
      <c r="BI50" s="1">
        <f t="shared" si="85"/>
        <v>0.48893014273534163</v>
      </c>
      <c r="BJ50" s="1">
        <f t="shared" si="86"/>
        <v>0</v>
      </c>
      <c r="BK50" s="1">
        <f t="shared" si="87"/>
        <v>4.5346721006311094E-4</v>
      </c>
      <c r="BL50" s="1">
        <f t="shared" si="88"/>
        <v>4.4806879089569294E-3</v>
      </c>
      <c r="BM50" s="1">
        <v>0.48306315513109499</v>
      </c>
      <c r="BN50" s="64">
        <f t="shared" si="89"/>
        <v>1.1999643898867651E-2</v>
      </c>
    </row>
    <row r="51" spans="2:66" x14ac:dyDescent="0.3">
      <c r="B51" s="79">
        <f t="shared" si="90"/>
        <v>42</v>
      </c>
      <c r="C51" s="78">
        <f t="shared" si="91"/>
        <v>21.25</v>
      </c>
      <c r="D51" s="77">
        <v>1.1000000000000001</v>
      </c>
      <c r="E51" s="72">
        <v>0.13</v>
      </c>
      <c r="F51" s="72">
        <v>0.4</v>
      </c>
      <c r="G51" s="72">
        <v>2.0999999999999999E-3</v>
      </c>
      <c r="H51" s="72">
        <v>19</v>
      </c>
      <c r="I51" s="72" t="b">
        <v>0</v>
      </c>
      <c r="J51" s="76">
        <v>2</v>
      </c>
      <c r="K51" s="1">
        <f t="shared" si="92"/>
        <v>403.75</v>
      </c>
      <c r="L51" s="1">
        <f t="shared" si="47"/>
        <v>212.5</v>
      </c>
      <c r="M51" s="1">
        <f t="shared" si="93"/>
        <v>188.75</v>
      </c>
      <c r="N51">
        <f t="shared" si="48"/>
        <v>191.25</v>
      </c>
      <c r="O51" s="75">
        <f t="shared" si="49"/>
        <v>0.76522478478052935</v>
      </c>
      <c r="P51" s="1">
        <f t="shared" si="50"/>
        <v>192.01522478478054</v>
      </c>
      <c r="Q51" s="1">
        <f t="shared" si="51"/>
        <v>0</v>
      </c>
      <c r="R51" s="1">
        <f t="shared" si="52"/>
        <v>6.9368848840539515E-4</v>
      </c>
      <c r="S51" s="1">
        <f t="shared" si="53"/>
        <v>7.0194668469593553E-3</v>
      </c>
      <c r="T51" s="73">
        <v>0.72910641423747424</v>
      </c>
      <c r="U51" s="74">
        <f t="shared" si="54"/>
        <v>4.7199687283278502E-2</v>
      </c>
      <c r="V51" s="73">
        <f t="shared" si="55"/>
        <v>191.28611837054308</v>
      </c>
      <c r="W51" s="72">
        <v>0</v>
      </c>
      <c r="X51" s="1">
        <f t="shared" si="56"/>
        <v>192.01522478478054</v>
      </c>
      <c r="Y51" s="1">
        <f t="shared" si="57"/>
        <v>0.7291064142374637</v>
      </c>
      <c r="Z51" s="1">
        <f t="shared" si="58"/>
        <v>0</v>
      </c>
      <c r="AA51" s="1">
        <f t="shared" si="59"/>
        <v>6.6088424678630985E-4</v>
      </c>
      <c r="AB51" s="1">
        <f t="shared" si="60"/>
        <v>6.6875191639090871E-3</v>
      </c>
      <c r="AC51" s="1">
        <v>0.45803495884856815</v>
      </c>
      <c r="AD51" s="64">
        <f t="shared" si="61"/>
        <v>0.37178586019215831</v>
      </c>
      <c r="AE51" s="12">
        <f t="shared" si="62"/>
        <v>191.55718982593197</v>
      </c>
      <c r="AF51" s="72">
        <v>0</v>
      </c>
      <c r="AG51" s="1">
        <f t="shared" si="63"/>
        <v>192.01522478478054</v>
      </c>
      <c r="AH51" s="1">
        <f t="shared" si="64"/>
        <v>0.4580349588485717</v>
      </c>
      <c r="AI51" s="1">
        <f t="shared" si="65"/>
        <v>0</v>
      </c>
      <c r="AJ51" s="1">
        <f t="shared" si="66"/>
        <v>4.1488311905695657E-4</v>
      </c>
      <c r="AK51" s="1">
        <f t="shared" si="67"/>
        <v>4.1982220380763465E-3</v>
      </c>
      <c r="AL51" s="1">
        <v>0.45271965304297246</v>
      </c>
      <c r="AM51" s="64">
        <f t="shared" si="68"/>
        <v>1.1604585420643687E-2</v>
      </c>
      <c r="AN51" s="12">
        <f t="shared" si="69"/>
        <v>191.56250513173757</v>
      </c>
      <c r="AO51" s="72">
        <v>0</v>
      </c>
      <c r="AP51" s="1">
        <f t="shared" si="70"/>
        <v>192.01522478478054</v>
      </c>
      <c r="AQ51" s="1">
        <f t="shared" si="71"/>
        <v>0.45271965304297623</v>
      </c>
      <c r="AR51" s="1">
        <f t="shared" si="72"/>
        <v>0</v>
      </c>
      <c r="AS51" s="1">
        <f t="shared" si="73"/>
        <v>4.100628855653913E-4</v>
      </c>
      <c r="AT51" s="1">
        <f t="shared" si="74"/>
        <v>4.1494458658402691E-3</v>
      </c>
      <c r="AU51" s="1">
        <v>0.44743578728027944</v>
      </c>
      <c r="AV51" s="64">
        <f t="shared" si="75"/>
        <v>1.1671385872429108E-2</v>
      </c>
      <c r="AW51" s="12">
        <f t="shared" si="76"/>
        <v>191.56778899750026</v>
      </c>
      <c r="AX51" s="72">
        <v>0</v>
      </c>
      <c r="AY51" s="1">
        <f t="shared" si="77"/>
        <v>192.01522478478054</v>
      </c>
      <c r="AZ51" s="1">
        <f t="shared" si="78"/>
        <v>0.4474357872802841</v>
      </c>
      <c r="BA51" s="1">
        <f t="shared" si="79"/>
        <v>0</v>
      </c>
      <c r="BB51" s="1">
        <f t="shared" si="80"/>
        <v>4.0527129632452114E-4</v>
      </c>
      <c r="BC51" s="1">
        <f t="shared" si="81"/>
        <v>4.1009595461409878E-3</v>
      </c>
      <c r="BD51" s="1">
        <v>0.44218470968031737</v>
      </c>
      <c r="BE51" s="64">
        <f t="shared" si="82"/>
        <v>1.1735935634217265E-2</v>
      </c>
      <c r="BF51" s="12">
        <f t="shared" si="83"/>
        <v>191.57304007510024</v>
      </c>
      <c r="BG51" s="72">
        <v>0</v>
      </c>
      <c r="BH51" s="1">
        <f t="shared" si="84"/>
        <v>192.01522478478054</v>
      </c>
      <c r="BI51" s="1">
        <f t="shared" si="85"/>
        <v>0.44218470968030488</v>
      </c>
      <c r="BJ51" s="1">
        <f t="shared" si="86"/>
        <v>0</v>
      </c>
      <c r="BK51" s="1">
        <f t="shared" si="87"/>
        <v>4.0050957143839352E-4</v>
      </c>
      <c r="BL51" s="1">
        <f t="shared" si="88"/>
        <v>4.0527754252694583E-3</v>
      </c>
      <c r="BM51" s="1">
        <v>0.4369676920005704</v>
      </c>
      <c r="BN51" s="64">
        <f t="shared" si="89"/>
        <v>1.1798276976845989E-2</v>
      </c>
    </row>
    <row r="52" spans="2:66" x14ac:dyDescent="0.3">
      <c r="B52" s="79">
        <f t="shared" si="90"/>
        <v>43</v>
      </c>
      <c r="C52" s="78">
        <f t="shared" si="91"/>
        <v>21.75</v>
      </c>
      <c r="D52" s="77">
        <v>1.1000000000000001</v>
      </c>
      <c r="E52" s="72">
        <v>0.13</v>
      </c>
      <c r="F52" s="72">
        <v>0.4</v>
      </c>
      <c r="G52" s="72">
        <v>2.0999999999999999E-3</v>
      </c>
      <c r="H52" s="72">
        <v>19</v>
      </c>
      <c r="I52" s="72" t="b">
        <v>0</v>
      </c>
      <c r="J52" s="76">
        <v>2</v>
      </c>
      <c r="K52" s="1">
        <f t="shared" si="92"/>
        <v>413.25</v>
      </c>
      <c r="L52" s="1">
        <f t="shared" si="47"/>
        <v>217.5</v>
      </c>
      <c r="M52" s="1">
        <f t="shared" si="93"/>
        <v>193.25</v>
      </c>
      <c r="N52">
        <f t="shared" si="48"/>
        <v>195.75</v>
      </c>
      <c r="O52" s="75">
        <f t="shared" si="49"/>
        <v>0.73461891643709831</v>
      </c>
      <c r="P52" s="1">
        <f t="shared" si="50"/>
        <v>196.48461891643709</v>
      </c>
      <c r="Q52" s="1">
        <f t="shared" si="51"/>
        <v>0</v>
      </c>
      <c r="R52" s="1">
        <f t="shared" si="52"/>
        <v>6.5071525942172949E-4</v>
      </c>
      <c r="S52" s="1">
        <f t="shared" si="53"/>
        <v>6.7395509011536261E-3</v>
      </c>
      <c r="T52" s="73">
        <v>0.66461827784158223</v>
      </c>
      <c r="U52" s="74">
        <f t="shared" si="54"/>
        <v>9.5288369288146213E-2</v>
      </c>
      <c r="V52" s="73">
        <f t="shared" si="55"/>
        <v>195.8200006385955</v>
      </c>
      <c r="W52" s="72">
        <v>0</v>
      </c>
      <c r="X52" s="1">
        <f t="shared" si="56"/>
        <v>196.48461891643709</v>
      </c>
      <c r="Y52" s="1">
        <f t="shared" si="57"/>
        <v>0.66461827784158345</v>
      </c>
      <c r="Z52" s="1">
        <f t="shared" si="58"/>
        <v>0</v>
      </c>
      <c r="AA52" s="1">
        <f t="shared" si="59"/>
        <v>5.8860449231289461E-4</v>
      </c>
      <c r="AB52" s="1">
        <f t="shared" si="60"/>
        <v>6.0962608132406945E-3</v>
      </c>
      <c r="AC52" s="1">
        <v>0.40351577605886518</v>
      </c>
      <c r="AD52" s="64">
        <f t="shared" si="61"/>
        <v>0.39286085033754359</v>
      </c>
      <c r="AE52" s="12">
        <f t="shared" si="62"/>
        <v>196.08110314037822</v>
      </c>
      <c r="AF52" s="72">
        <v>0</v>
      </c>
      <c r="AG52" s="1">
        <f t="shared" si="63"/>
        <v>196.48461891643709</v>
      </c>
      <c r="AH52" s="1">
        <f t="shared" si="64"/>
        <v>0.40351577605886746</v>
      </c>
      <c r="AI52" s="1">
        <f t="shared" si="65"/>
        <v>0</v>
      </c>
      <c r="AJ52" s="1">
        <f t="shared" si="66"/>
        <v>3.5712692530418514E-4</v>
      </c>
      <c r="AK52" s="1">
        <f t="shared" si="67"/>
        <v>3.6988145835076319E-3</v>
      </c>
      <c r="AL52" s="1">
        <v>0.39891027408750462</v>
      </c>
      <c r="AM52" s="64">
        <f t="shared" si="68"/>
        <v>1.1413437205218369E-2</v>
      </c>
      <c r="AN52" s="12">
        <f t="shared" si="69"/>
        <v>196.08570864234957</v>
      </c>
      <c r="AO52" s="72">
        <v>0</v>
      </c>
      <c r="AP52" s="1">
        <f t="shared" si="70"/>
        <v>196.48461891643709</v>
      </c>
      <c r="AQ52" s="1">
        <f t="shared" si="71"/>
        <v>0.39891027408751256</v>
      </c>
      <c r="AR52" s="1">
        <f t="shared" si="72"/>
        <v>0</v>
      </c>
      <c r="AS52" s="1">
        <f t="shared" si="73"/>
        <v>3.5304673486980399E-4</v>
      </c>
      <c r="AT52" s="1">
        <f t="shared" si="74"/>
        <v>3.6565554682943982E-3</v>
      </c>
      <c r="AU52" s="1">
        <v>0.39432888939654331</v>
      </c>
      <c r="AV52" s="64">
        <f t="shared" si="75"/>
        <v>1.1484749801064731E-2</v>
      </c>
      <c r="AW52" s="12">
        <f t="shared" si="76"/>
        <v>196.09029002704054</v>
      </c>
      <c r="AX52" s="72">
        <v>0</v>
      </c>
      <c r="AY52" s="1">
        <f t="shared" si="77"/>
        <v>196.48461891643709</v>
      </c>
      <c r="AZ52" s="1">
        <f t="shared" si="78"/>
        <v>0.39432888939654731</v>
      </c>
      <c r="BA52" s="1">
        <f t="shared" si="79"/>
        <v>0</v>
      </c>
      <c r="BB52" s="1">
        <f t="shared" si="80"/>
        <v>3.4898800593663589E-4</v>
      </c>
      <c r="BC52" s="1">
        <f t="shared" si="81"/>
        <v>3.6145186329151575E-3</v>
      </c>
      <c r="BD52" s="1">
        <v>0.38977282640526423</v>
      </c>
      <c r="BE52" s="64">
        <f t="shared" si="82"/>
        <v>1.1553967040698887E-2</v>
      </c>
      <c r="BF52" s="12">
        <f t="shared" si="83"/>
        <v>196.09484609003181</v>
      </c>
      <c r="BG52" s="72">
        <v>0</v>
      </c>
      <c r="BH52" s="1">
        <f t="shared" si="84"/>
        <v>196.48461891643709</v>
      </c>
      <c r="BI52" s="1">
        <f t="shared" si="85"/>
        <v>0.38977282640527733</v>
      </c>
      <c r="BJ52" s="1">
        <f t="shared" si="86"/>
        <v>0</v>
      </c>
      <c r="BK52" s="1">
        <f t="shared" si="87"/>
        <v>3.4495180398162886E-4</v>
      </c>
      <c r="BL52" s="1">
        <f t="shared" si="88"/>
        <v>3.5727151126668704E-3</v>
      </c>
      <c r="BM52" s="1">
        <v>0.38524324177223729</v>
      </c>
      <c r="BN52" s="64">
        <f t="shared" si="89"/>
        <v>1.1621088814257829E-2</v>
      </c>
    </row>
    <row r="53" spans="2:66" x14ac:dyDescent="0.3">
      <c r="B53" s="79">
        <f t="shared" si="90"/>
        <v>44</v>
      </c>
      <c r="C53" s="78">
        <f t="shared" si="91"/>
        <v>22.25</v>
      </c>
      <c r="D53" s="77">
        <v>1.1000000000000001</v>
      </c>
      <c r="E53" s="72">
        <v>0.13</v>
      </c>
      <c r="F53" s="72">
        <v>0.4</v>
      </c>
      <c r="G53" s="72">
        <v>2.0999999999999999E-3</v>
      </c>
      <c r="H53" s="72">
        <v>19</v>
      </c>
      <c r="I53" s="72" t="b">
        <v>0</v>
      </c>
      <c r="J53" s="76">
        <v>2</v>
      </c>
      <c r="K53" s="1">
        <f t="shared" si="92"/>
        <v>422.75</v>
      </c>
      <c r="L53" s="1">
        <f t="shared" si="47"/>
        <v>222.5</v>
      </c>
      <c r="M53" s="1">
        <f t="shared" si="93"/>
        <v>197.75</v>
      </c>
      <c r="N53">
        <f t="shared" si="48"/>
        <v>200.25</v>
      </c>
      <c r="O53" s="75">
        <f t="shared" si="49"/>
        <v>0.70581315557298308</v>
      </c>
      <c r="P53" s="1">
        <f t="shared" si="50"/>
        <v>200.955813155573</v>
      </c>
      <c r="Q53" s="1">
        <f t="shared" si="51"/>
        <v>0</v>
      </c>
      <c r="R53" s="1">
        <f t="shared" si="52"/>
        <v>6.1121960828220616E-4</v>
      </c>
      <c r="S53" s="1">
        <f t="shared" si="53"/>
        <v>6.4760172782281364E-3</v>
      </c>
      <c r="T53" s="73">
        <v>0.58824408102674319</v>
      </c>
      <c r="U53" s="74">
        <f t="shared" si="54"/>
        <v>0.16657251797863792</v>
      </c>
      <c r="V53" s="73">
        <f t="shared" si="55"/>
        <v>200.36756907454625</v>
      </c>
      <c r="W53" s="72">
        <v>0</v>
      </c>
      <c r="X53" s="1">
        <f t="shared" si="56"/>
        <v>200.955813155573</v>
      </c>
      <c r="Y53" s="1">
        <f t="shared" si="57"/>
        <v>0.58824408102674397</v>
      </c>
      <c r="Z53" s="1">
        <f t="shared" si="58"/>
        <v>0</v>
      </c>
      <c r="AA53" s="1">
        <f t="shared" si="59"/>
        <v>5.0925782582381552E-4</v>
      </c>
      <c r="AB53" s="1">
        <f t="shared" si="60"/>
        <v>5.3957079164666166E-3</v>
      </c>
      <c r="AC53" s="1">
        <v>0.34399855660816275</v>
      </c>
      <c r="AD53" s="64">
        <f t="shared" si="61"/>
        <v>0.41521118919252975</v>
      </c>
      <c r="AE53" s="12">
        <f t="shared" si="62"/>
        <v>200.61181459896483</v>
      </c>
      <c r="AF53" s="72">
        <v>0</v>
      </c>
      <c r="AG53" s="1">
        <f t="shared" si="63"/>
        <v>200.955813155573</v>
      </c>
      <c r="AH53" s="1">
        <f t="shared" si="64"/>
        <v>0.34399855660817025</v>
      </c>
      <c r="AI53" s="1">
        <f t="shared" si="65"/>
        <v>0</v>
      </c>
      <c r="AJ53" s="1">
        <f t="shared" si="66"/>
        <v>2.9762700205086801E-4</v>
      </c>
      <c r="AK53" s="1">
        <f t="shared" si="67"/>
        <v>3.1534289503008634E-3</v>
      </c>
      <c r="AL53" s="1">
        <v>0.3401282300049881</v>
      </c>
      <c r="AM53" s="64">
        <f t="shared" si="68"/>
        <v>1.1250996635984833E-2</v>
      </c>
      <c r="AN53" s="12">
        <f t="shared" si="69"/>
        <v>200.61568492556802</v>
      </c>
      <c r="AO53" s="72">
        <v>0</v>
      </c>
      <c r="AP53" s="1">
        <f t="shared" si="70"/>
        <v>200.955813155573</v>
      </c>
      <c r="AQ53" s="1">
        <f t="shared" si="71"/>
        <v>0.3401282300049786</v>
      </c>
      <c r="AR53" s="1">
        <f t="shared" si="72"/>
        <v>0</v>
      </c>
      <c r="AS53" s="1">
        <f t="shared" si="73"/>
        <v>2.9427556379905701E-4</v>
      </c>
      <c r="AT53" s="1">
        <f t="shared" si="74"/>
        <v>3.1179196640614372E-3</v>
      </c>
      <c r="AU53" s="1">
        <v>0.33627602803432166</v>
      </c>
      <c r="AV53" s="64">
        <f t="shared" si="75"/>
        <v>1.1325734328492931E-2</v>
      </c>
      <c r="AW53" s="12">
        <f t="shared" si="76"/>
        <v>200.61953712753868</v>
      </c>
      <c r="AX53" s="72">
        <v>0</v>
      </c>
      <c r="AY53" s="1">
        <f t="shared" si="77"/>
        <v>200.955813155573</v>
      </c>
      <c r="AZ53" s="1">
        <f t="shared" si="78"/>
        <v>0.33627602803431955</v>
      </c>
      <c r="BA53" s="1">
        <f t="shared" si="79"/>
        <v>0</v>
      </c>
      <c r="BB53" s="1">
        <f t="shared" si="80"/>
        <v>2.909398844426472E-4</v>
      </c>
      <c r="BC53" s="1">
        <f t="shared" si="81"/>
        <v>3.082577347070905E-3</v>
      </c>
      <c r="BD53" s="1">
        <v>0.33244296192451178</v>
      </c>
      <c r="BE53" s="64">
        <f t="shared" si="82"/>
        <v>1.1398570787854556E-2</v>
      </c>
      <c r="BF53" s="12">
        <f t="shared" si="83"/>
        <v>200.6233701936485</v>
      </c>
      <c r="BG53" s="72">
        <v>0</v>
      </c>
      <c r="BH53" s="1">
        <f t="shared" si="84"/>
        <v>200.955813155573</v>
      </c>
      <c r="BI53" s="1">
        <f t="shared" si="85"/>
        <v>0.33244296192449951</v>
      </c>
      <c r="BJ53" s="1">
        <f t="shared" si="86"/>
        <v>0</v>
      </c>
      <c r="BK53" s="1">
        <f t="shared" si="87"/>
        <v>2.876208386877045E-4</v>
      </c>
      <c r="BL53" s="1">
        <f t="shared" si="88"/>
        <v>3.0474112670482978E-3</v>
      </c>
      <c r="BM53" s="1">
        <v>0.32863001987292528</v>
      </c>
      <c r="BN53" s="64">
        <f t="shared" si="89"/>
        <v>1.1469462398906782E-2</v>
      </c>
    </row>
    <row r="54" spans="2:66" x14ac:dyDescent="0.3">
      <c r="B54" s="79">
        <f t="shared" si="90"/>
        <v>45</v>
      </c>
      <c r="C54" s="78">
        <f t="shared" si="91"/>
        <v>22.75</v>
      </c>
      <c r="D54" s="77">
        <v>1.1000000000000001</v>
      </c>
      <c r="E54" s="72">
        <v>0.13</v>
      </c>
      <c r="F54" s="72">
        <v>0.4</v>
      </c>
      <c r="G54" s="72">
        <v>2.0999999999999999E-3</v>
      </c>
      <c r="H54" s="72">
        <v>19</v>
      </c>
      <c r="I54" s="72" t="b">
        <v>0</v>
      </c>
      <c r="J54" s="76">
        <v>2</v>
      </c>
      <c r="K54" s="1">
        <f t="shared" si="92"/>
        <v>432.25</v>
      </c>
      <c r="L54" s="1">
        <f t="shared" si="47"/>
        <v>227.5</v>
      </c>
      <c r="M54" s="1">
        <f t="shared" si="93"/>
        <v>202.25</v>
      </c>
      <c r="N54">
        <f t="shared" si="48"/>
        <v>204.75</v>
      </c>
      <c r="O54" s="75">
        <f t="shared" si="49"/>
        <v>0.67866905457630311</v>
      </c>
      <c r="P54" s="1">
        <f t="shared" si="50"/>
        <v>205.42866905457629</v>
      </c>
      <c r="Q54" s="1">
        <f t="shared" si="51"/>
        <v>0</v>
      </c>
      <c r="R54" s="1">
        <f t="shared" si="52"/>
        <v>5.7485679610373307E-4</v>
      </c>
      <c r="S54" s="1">
        <f t="shared" si="53"/>
        <v>6.2276152911237741E-3</v>
      </c>
      <c r="T54" s="73">
        <v>0.49752822765989047</v>
      </c>
      <c r="U54" s="74">
        <f t="shared" si="54"/>
        <v>0.26690597677169747</v>
      </c>
      <c r="V54" s="73">
        <f t="shared" si="55"/>
        <v>204.93114082691639</v>
      </c>
      <c r="W54" s="72">
        <v>0</v>
      </c>
      <c r="X54" s="1">
        <f t="shared" si="56"/>
        <v>205.42866905457629</v>
      </c>
      <c r="Y54" s="1">
        <f t="shared" si="57"/>
        <v>0.4975282276598989</v>
      </c>
      <c r="Z54" s="1">
        <f t="shared" si="58"/>
        <v>0</v>
      </c>
      <c r="AA54" s="1">
        <f t="shared" si="59"/>
        <v>4.2123787863071168E-4</v>
      </c>
      <c r="AB54" s="1">
        <f t="shared" si="60"/>
        <v>4.5634103518327092E-3</v>
      </c>
      <c r="AC54" s="1">
        <v>0.28028239440616254</v>
      </c>
      <c r="AD54" s="64">
        <f t="shared" si="61"/>
        <v>0.43665026661008188</v>
      </c>
      <c r="AE54" s="12">
        <f t="shared" si="62"/>
        <v>205.14838666017013</v>
      </c>
      <c r="AF54" s="72">
        <v>0</v>
      </c>
      <c r="AG54" s="1">
        <f t="shared" si="63"/>
        <v>205.42866905457629</v>
      </c>
      <c r="AH54" s="1">
        <f t="shared" si="64"/>
        <v>0.28028239440615721</v>
      </c>
      <c r="AI54" s="1">
        <f t="shared" si="65"/>
        <v>0</v>
      </c>
      <c r="AJ54" s="1">
        <f t="shared" si="66"/>
        <v>2.3717860407374946E-4</v>
      </c>
      <c r="AK54" s="1">
        <f t="shared" si="67"/>
        <v>2.569434877465619E-3</v>
      </c>
      <c r="AL54" s="1">
        <v>0.27716625417020163</v>
      </c>
      <c r="AM54" s="64">
        <f t="shared" si="68"/>
        <v>1.1117859338107383E-2</v>
      </c>
      <c r="AN54" s="12">
        <f t="shared" si="69"/>
        <v>205.15150280040609</v>
      </c>
      <c r="AO54" s="72">
        <v>0</v>
      </c>
      <c r="AP54" s="1">
        <f t="shared" si="70"/>
        <v>205.42866905457629</v>
      </c>
      <c r="AQ54" s="1">
        <f t="shared" si="71"/>
        <v>0.27716625417019713</v>
      </c>
      <c r="AR54" s="1">
        <f t="shared" si="72"/>
        <v>0</v>
      </c>
      <c r="AS54" s="1">
        <f t="shared" si="73"/>
        <v>2.3453990483132439E-4</v>
      </c>
      <c r="AT54" s="1">
        <f t="shared" si="74"/>
        <v>2.5408489690060144E-3</v>
      </c>
      <c r="AU54" s="1">
        <v>0.27406335132861492</v>
      </c>
      <c r="AV54" s="64">
        <f t="shared" si="75"/>
        <v>1.119509606561564E-2</v>
      </c>
      <c r="AW54" s="12">
        <f t="shared" si="76"/>
        <v>205.15460570324768</v>
      </c>
      <c r="AX54" s="72">
        <v>0</v>
      </c>
      <c r="AY54" s="1">
        <f t="shared" si="77"/>
        <v>205.42866905457629</v>
      </c>
      <c r="AZ54" s="1">
        <f t="shared" si="78"/>
        <v>0.27406335132860704</v>
      </c>
      <c r="BA54" s="1">
        <f t="shared" si="79"/>
        <v>0</v>
      </c>
      <c r="BB54" s="1">
        <f t="shared" si="80"/>
        <v>2.3191245463435834E-4</v>
      </c>
      <c r="BC54" s="1">
        <f t="shared" si="81"/>
        <v>2.5123849252055488E-3</v>
      </c>
      <c r="BD54" s="1">
        <v>0.27097448265249457</v>
      </c>
      <c r="BE54" s="64">
        <f t="shared" si="82"/>
        <v>1.1270637468082545E-2</v>
      </c>
      <c r="BF54" s="12">
        <f t="shared" si="83"/>
        <v>205.1576945719238</v>
      </c>
      <c r="BG54" s="72">
        <v>0</v>
      </c>
      <c r="BH54" s="1">
        <f t="shared" si="84"/>
        <v>205.42866905457629</v>
      </c>
      <c r="BI54" s="1">
        <f t="shared" si="85"/>
        <v>0.27097448265249113</v>
      </c>
      <c r="BJ54" s="1">
        <f t="shared" si="86"/>
        <v>0</v>
      </c>
      <c r="BK54" s="1">
        <f t="shared" si="87"/>
        <v>2.2929692764092686E-4</v>
      </c>
      <c r="BL54" s="1">
        <f t="shared" si="88"/>
        <v>2.4840500494433741E-3</v>
      </c>
      <c r="BM54" s="1">
        <v>0.26790044010162262</v>
      </c>
      <c r="BN54" s="64">
        <f t="shared" si="89"/>
        <v>1.1344398634061781E-2</v>
      </c>
    </row>
    <row r="55" spans="2:66" x14ac:dyDescent="0.3">
      <c r="B55" s="79">
        <f t="shared" si="90"/>
        <v>46</v>
      </c>
      <c r="C55" s="78">
        <f t="shared" si="91"/>
        <v>23.25</v>
      </c>
      <c r="D55" s="77">
        <v>1.1000000000000001</v>
      </c>
      <c r="E55" s="72">
        <v>0.13</v>
      </c>
      <c r="F55" s="72">
        <v>0.4</v>
      </c>
      <c r="G55" s="72">
        <v>2.0999999999999999E-3</v>
      </c>
      <c r="H55" s="72">
        <v>19</v>
      </c>
      <c r="I55" s="72" t="b">
        <v>0</v>
      </c>
      <c r="J55" s="76">
        <v>2</v>
      </c>
      <c r="K55" s="1">
        <f t="shared" si="92"/>
        <v>441.75</v>
      </c>
      <c r="L55" s="1">
        <f t="shared" si="47"/>
        <v>232.5</v>
      </c>
      <c r="M55" s="1">
        <f t="shared" si="93"/>
        <v>206.75</v>
      </c>
      <c r="N55">
        <f t="shared" si="48"/>
        <v>209.25</v>
      </c>
      <c r="O55" s="75">
        <f t="shared" si="49"/>
        <v>0.65306122448979587</v>
      </c>
      <c r="P55" s="1">
        <f t="shared" si="50"/>
        <v>209.90306122448979</v>
      </c>
      <c r="Q55" s="1">
        <f t="shared" si="51"/>
        <v>0</v>
      </c>
      <c r="R55" s="1">
        <f t="shared" si="52"/>
        <v>5.4132228415266776E-4</v>
      </c>
      <c r="S55" s="1">
        <f t="shared" si="53"/>
        <v>5.9932110031188221E-3</v>
      </c>
      <c r="T55" s="73">
        <v>0.39136602635039397</v>
      </c>
      <c r="U55" s="74">
        <f t="shared" si="54"/>
        <v>0.40072077215095914</v>
      </c>
      <c r="V55" s="73">
        <f t="shared" si="55"/>
        <v>209.51169519813939</v>
      </c>
      <c r="W55" s="72">
        <v>0</v>
      </c>
      <c r="X55" s="1">
        <f t="shared" si="56"/>
        <v>209.90306122448979</v>
      </c>
      <c r="Y55" s="1">
        <f t="shared" si="57"/>
        <v>0.39136602635039708</v>
      </c>
      <c r="Z55" s="1">
        <f t="shared" si="58"/>
        <v>0</v>
      </c>
      <c r="AA55" s="1">
        <f t="shared" si="59"/>
        <v>3.2420061979643045E-4</v>
      </c>
      <c r="AB55" s="1">
        <f t="shared" si="60"/>
        <v>3.5893640048890512E-3</v>
      </c>
      <c r="AC55" s="1">
        <v>0.21318629916938736</v>
      </c>
      <c r="AD55" s="64">
        <f t="shared" si="61"/>
        <v>0.45527642969571969</v>
      </c>
      <c r="AE55" s="12">
        <f t="shared" si="62"/>
        <v>209.6898749253204</v>
      </c>
      <c r="AF55" s="72">
        <v>0</v>
      </c>
      <c r="AG55" s="1">
        <f t="shared" si="63"/>
        <v>209.90306122448979</v>
      </c>
      <c r="AH55" s="1">
        <f t="shared" si="64"/>
        <v>0.21318629916939358</v>
      </c>
      <c r="AI55" s="1">
        <f t="shared" si="65"/>
        <v>0</v>
      </c>
      <c r="AJ55" s="1">
        <f t="shared" si="66"/>
        <v>1.7652469016858649E-4</v>
      </c>
      <c r="AK55" s="1">
        <f t="shared" si="67"/>
        <v>1.9543804982950644E-3</v>
      </c>
      <c r="AL55" s="1">
        <v>0.21083820153701049</v>
      </c>
      <c r="AM55" s="64">
        <f t="shared" si="68"/>
        <v>1.1014298956038115E-2</v>
      </c>
      <c r="AN55" s="12">
        <f t="shared" si="69"/>
        <v>209.69222302295279</v>
      </c>
      <c r="AO55" s="72">
        <v>0</v>
      </c>
      <c r="AP55" s="1">
        <f t="shared" si="70"/>
        <v>209.90306122448979</v>
      </c>
      <c r="AQ55" s="1">
        <f t="shared" si="71"/>
        <v>0.21083820153700117</v>
      </c>
      <c r="AR55" s="1">
        <f t="shared" si="72"/>
        <v>0</v>
      </c>
      <c r="AS55" s="1">
        <f t="shared" si="73"/>
        <v>1.7457941715913971E-4</v>
      </c>
      <c r="AT55" s="1">
        <f t="shared" si="74"/>
        <v>1.9328435471190467E-3</v>
      </c>
      <c r="AU55" s="1">
        <v>0.20849931615154421</v>
      </c>
      <c r="AV55" s="64">
        <f t="shared" si="75"/>
        <v>1.1093271373055713E-2</v>
      </c>
      <c r="AW55" s="12">
        <f t="shared" si="76"/>
        <v>209.69456190833824</v>
      </c>
      <c r="AX55" s="72">
        <v>0</v>
      </c>
      <c r="AY55" s="1">
        <f t="shared" si="77"/>
        <v>209.90306122448979</v>
      </c>
      <c r="AZ55" s="1">
        <f t="shared" si="78"/>
        <v>0.2084993161515456</v>
      </c>
      <c r="BA55" s="1">
        <f t="shared" si="79"/>
        <v>0</v>
      </c>
      <c r="BB55" s="1">
        <f t="shared" si="80"/>
        <v>1.7264179765710052E-4</v>
      </c>
      <c r="BC55" s="1">
        <f t="shared" si="81"/>
        <v>1.9113913312036126E-3</v>
      </c>
      <c r="BD55" s="1">
        <v>0.20617022444631705</v>
      </c>
      <c r="BE55" s="64">
        <f t="shared" si="82"/>
        <v>1.1170740260537215E-2</v>
      </c>
      <c r="BF55" s="12">
        <f t="shared" si="83"/>
        <v>209.69689100004348</v>
      </c>
      <c r="BG55" s="72">
        <v>0</v>
      </c>
      <c r="BH55" s="1">
        <f t="shared" si="84"/>
        <v>209.90306122448979</v>
      </c>
      <c r="BI55" s="1">
        <f t="shared" si="85"/>
        <v>0.20617022444631061</v>
      </c>
      <c r="BJ55" s="1">
        <f t="shared" si="86"/>
        <v>0</v>
      </c>
      <c r="BK55" s="1">
        <f t="shared" si="87"/>
        <v>1.7071231307952175E-4</v>
      </c>
      <c r="BL55" s="1">
        <f t="shared" si="88"/>
        <v>1.8900291805232763E-3</v>
      </c>
      <c r="BM55" s="1">
        <v>0.20385151353861197</v>
      </c>
      <c r="BN55" s="64">
        <f t="shared" si="89"/>
        <v>1.1246584776854918E-2</v>
      </c>
    </row>
    <row r="56" spans="2:66" x14ac:dyDescent="0.3">
      <c r="B56" s="79">
        <f t="shared" si="90"/>
        <v>47</v>
      </c>
      <c r="C56" s="78">
        <f t="shared" si="91"/>
        <v>23.75</v>
      </c>
      <c r="D56" s="77">
        <v>1.1000000000000001</v>
      </c>
      <c r="E56" s="72">
        <v>0.13</v>
      </c>
      <c r="F56" s="72">
        <v>0.4</v>
      </c>
      <c r="G56" s="72">
        <v>2.0999999999999999E-3</v>
      </c>
      <c r="H56" s="72">
        <v>19</v>
      </c>
      <c r="I56" s="72" t="b">
        <v>0</v>
      </c>
      <c r="J56" s="76">
        <v>2</v>
      </c>
      <c r="K56" s="1">
        <f t="shared" si="92"/>
        <v>451.25</v>
      </c>
      <c r="L56" s="1">
        <f t="shared" si="47"/>
        <v>237.5</v>
      </c>
      <c r="M56" s="1">
        <f t="shared" si="93"/>
        <v>211.25</v>
      </c>
      <c r="N56">
        <f t="shared" si="48"/>
        <v>213.75</v>
      </c>
      <c r="O56" s="75">
        <f t="shared" si="49"/>
        <v>0.62887588435671238</v>
      </c>
      <c r="P56" s="1">
        <f t="shared" si="50"/>
        <v>214.37887588435672</v>
      </c>
      <c r="Q56" s="1">
        <f t="shared" si="51"/>
        <v>0</v>
      </c>
      <c r="R56" s="1">
        <f t="shared" si="52"/>
        <v>5.103463712784372E-4</v>
      </c>
      <c r="S56" s="1">
        <f t="shared" si="53"/>
        <v>5.7717744370775637E-3</v>
      </c>
      <c r="T56" s="73">
        <v>0.27063433181191965</v>
      </c>
      <c r="U56" s="74">
        <f t="shared" si="54"/>
        <v>0.56965382431740719</v>
      </c>
      <c r="V56" s="73">
        <f t="shared" si="55"/>
        <v>214.1082415525448</v>
      </c>
      <c r="W56" s="72">
        <v>0</v>
      </c>
      <c r="X56" s="1">
        <f t="shared" si="56"/>
        <v>214.37887588435672</v>
      </c>
      <c r="Y56" s="1">
        <f t="shared" si="57"/>
        <v>0.27063433181191954</v>
      </c>
      <c r="Z56" s="1">
        <f t="shared" si="58"/>
        <v>0</v>
      </c>
      <c r="AA56" s="1">
        <f t="shared" si="59"/>
        <v>2.1944186000594104E-4</v>
      </c>
      <c r="AB56" s="1">
        <f t="shared" si="60"/>
        <v>2.4817829405433807E-3</v>
      </c>
      <c r="AC56" s="1">
        <v>0.1435437700993854</v>
      </c>
      <c r="AD56" s="64">
        <f t="shared" si="61"/>
        <v>0.46960251074448744</v>
      </c>
      <c r="AE56" s="12">
        <f t="shared" si="62"/>
        <v>214.23533211425732</v>
      </c>
      <c r="AF56" s="72">
        <v>0</v>
      </c>
      <c r="AG56" s="1">
        <f t="shared" si="63"/>
        <v>214.37887588435672</v>
      </c>
      <c r="AH56" s="1">
        <f t="shared" si="64"/>
        <v>0.14354377009939867</v>
      </c>
      <c r="AI56" s="1">
        <f t="shared" si="65"/>
        <v>0</v>
      </c>
      <c r="AJ56" s="1">
        <f t="shared" si="66"/>
        <v>1.1635688865756168E-4</v>
      </c>
      <c r="AK56" s="1">
        <f t="shared" si="67"/>
        <v>1.3159410026748045E-3</v>
      </c>
      <c r="AL56" s="1">
        <v>0.14197334643048545</v>
      </c>
      <c r="AM56" s="64">
        <f t="shared" si="68"/>
        <v>1.0940381932463938E-2</v>
      </c>
      <c r="AN56" s="12">
        <f t="shared" si="69"/>
        <v>214.23690253792623</v>
      </c>
      <c r="AO56" s="72">
        <v>0</v>
      </c>
      <c r="AP56" s="1">
        <f t="shared" si="70"/>
        <v>214.37887588435672</v>
      </c>
      <c r="AQ56" s="1">
        <f t="shared" si="71"/>
        <v>0.14197334643048976</v>
      </c>
      <c r="AR56" s="1">
        <f t="shared" si="72"/>
        <v>0</v>
      </c>
      <c r="AS56" s="1">
        <f t="shared" si="73"/>
        <v>1.1508347810073607E-4</v>
      </c>
      <c r="AT56" s="1">
        <f t="shared" si="74"/>
        <v>1.3015393356630863E-3</v>
      </c>
      <c r="AU56" s="1">
        <v>0.14040873282367702</v>
      </c>
      <c r="AV56" s="64">
        <f t="shared" si="75"/>
        <v>1.1020474237949829E-2</v>
      </c>
      <c r="AW56" s="12">
        <f t="shared" si="76"/>
        <v>214.23846715153303</v>
      </c>
      <c r="AX56" s="72">
        <v>0</v>
      </c>
      <c r="AY56" s="1">
        <f t="shared" si="77"/>
        <v>214.37887588435672</v>
      </c>
      <c r="AZ56" s="1">
        <f t="shared" si="78"/>
        <v>0.14040873282368693</v>
      </c>
      <c r="BA56" s="1">
        <f t="shared" si="79"/>
        <v>0</v>
      </c>
      <c r="BB56" s="1">
        <f t="shared" si="80"/>
        <v>1.1381478803577976E-4</v>
      </c>
      <c r="BC56" s="1">
        <f t="shared" si="81"/>
        <v>1.2871910551665567E-3</v>
      </c>
      <c r="BD56" s="1">
        <v>0.13885030569023327</v>
      </c>
      <c r="BE56" s="64">
        <f t="shared" si="82"/>
        <v>1.1099217991024868E-2</v>
      </c>
      <c r="BF56" s="12">
        <f t="shared" si="83"/>
        <v>214.24002557866649</v>
      </c>
      <c r="BG56" s="72">
        <v>0</v>
      </c>
      <c r="BH56" s="1">
        <f t="shared" si="84"/>
        <v>214.37887588435672</v>
      </c>
      <c r="BI56" s="1">
        <f t="shared" si="85"/>
        <v>0.13885030569022661</v>
      </c>
      <c r="BJ56" s="1">
        <f t="shared" si="86"/>
        <v>0</v>
      </c>
      <c r="BK56" s="1">
        <f t="shared" si="87"/>
        <v>1.1255112357467911E-4</v>
      </c>
      <c r="BL56" s="1">
        <f t="shared" si="88"/>
        <v>1.27289961185649E-3</v>
      </c>
      <c r="BM56" s="1">
        <v>0.13729845017368078</v>
      </c>
      <c r="BN56" s="64">
        <f t="shared" si="89"/>
        <v>1.1176464530139318E-2</v>
      </c>
    </row>
    <row r="57" spans="2:66" x14ac:dyDescent="0.3">
      <c r="B57" s="79">
        <f t="shared" si="90"/>
        <v>48</v>
      </c>
      <c r="C57" s="78">
        <f t="shared" si="91"/>
        <v>24.25</v>
      </c>
      <c r="D57" s="77">
        <v>1.1000000000000001</v>
      </c>
      <c r="E57" s="72">
        <v>0.13</v>
      </c>
      <c r="F57" s="72">
        <v>0.4</v>
      </c>
      <c r="G57" s="72">
        <v>2.0999999999999999E-3</v>
      </c>
      <c r="H57" s="72">
        <v>19</v>
      </c>
      <c r="I57" s="72" t="b">
        <v>0</v>
      </c>
      <c r="J57" s="76">
        <v>2</v>
      </c>
      <c r="K57" s="1">
        <f t="shared" si="92"/>
        <v>460.75</v>
      </c>
      <c r="L57" s="1">
        <f t="shared" si="47"/>
        <v>242.5</v>
      </c>
      <c r="M57" s="1">
        <f t="shared" si="93"/>
        <v>215.75</v>
      </c>
      <c r="N57">
        <f t="shared" si="48"/>
        <v>218.25</v>
      </c>
      <c r="O57" s="75">
        <f t="shared" si="49"/>
        <v>0.60600959515192321</v>
      </c>
      <c r="P57" s="1">
        <f t="shared" si="50"/>
        <v>218.85600959515193</v>
      </c>
      <c r="Q57" s="1">
        <f t="shared" si="51"/>
        <v>0</v>
      </c>
      <c r="R57" s="1">
        <f t="shared" si="52"/>
        <v>4.8168963318755484E-4</v>
      </c>
      <c r="S57" s="1">
        <f t="shared" si="53"/>
        <v>5.5623683832372404E-3</v>
      </c>
      <c r="T57" s="73">
        <v>0.13846896841696424</v>
      </c>
      <c r="U57" s="74">
        <f t="shared" si="54"/>
        <v>0.77150697031083992</v>
      </c>
      <c r="V57" s="73">
        <f t="shared" si="55"/>
        <v>218.71754062673497</v>
      </c>
      <c r="W57" s="72">
        <v>0</v>
      </c>
      <c r="X57" s="1">
        <f t="shared" si="56"/>
        <v>218.85600959515193</v>
      </c>
      <c r="Y57" s="1">
        <f t="shared" si="57"/>
        <v>0.13846896841695866</v>
      </c>
      <c r="Z57" s="1">
        <f t="shared" si="58"/>
        <v>0</v>
      </c>
      <c r="AA57" s="1">
        <f t="shared" si="59"/>
        <v>1.0994505655132962E-4</v>
      </c>
      <c r="AB57" s="1">
        <f t="shared" si="60"/>
        <v>1.2696036292236873E-3</v>
      </c>
      <c r="AC57" s="1">
        <v>7.2198369149099134E-2</v>
      </c>
      <c r="AD57" s="64">
        <f t="shared" si="61"/>
        <v>0.47859531291014656</v>
      </c>
      <c r="AE57" s="12">
        <f t="shared" si="62"/>
        <v>218.78381122600283</v>
      </c>
      <c r="AF57" s="72">
        <v>0</v>
      </c>
      <c r="AG57" s="1">
        <f t="shared" si="63"/>
        <v>218.85600959515193</v>
      </c>
      <c r="AH57" s="1">
        <f t="shared" si="64"/>
        <v>7.2198369149106156E-2</v>
      </c>
      <c r="AI57" s="1">
        <f t="shared" si="65"/>
        <v>0</v>
      </c>
      <c r="AJ57" s="1">
        <f t="shared" si="66"/>
        <v>5.7317185715865985E-5</v>
      </c>
      <c r="AK57" s="1">
        <f t="shared" si="67"/>
        <v>6.6187702552845246E-4</v>
      </c>
      <c r="AL57" s="1">
        <v>7.1411690565983399E-2</v>
      </c>
      <c r="AM57" s="64">
        <f t="shared" si="68"/>
        <v>1.0896071371059413E-2</v>
      </c>
      <c r="AN57" s="12">
        <f t="shared" si="69"/>
        <v>218.78459790458595</v>
      </c>
      <c r="AO57" s="72">
        <v>0</v>
      </c>
      <c r="AP57" s="1">
        <f t="shared" si="70"/>
        <v>218.85600959515193</v>
      </c>
      <c r="AQ57" s="1">
        <f t="shared" si="71"/>
        <v>7.1411690565980734E-2</v>
      </c>
      <c r="AR57" s="1">
        <f t="shared" si="72"/>
        <v>0</v>
      </c>
      <c r="AS57" s="1">
        <f t="shared" si="73"/>
        <v>5.6692551650767369E-5</v>
      </c>
      <c r="AT57" s="1">
        <f t="shared" si="74"/>
        <v>6.5466398930052799E-4</v>
      </c>
      <c r="AU57" s="1">
        <v>7.0627819782031989E-2</v>
      </c>
      <c r="AV57" s="64">
        <f t="shared" si="75"/>
        <v>1.0976785141705747E-2</v>
      </c>
      <c r="AW57" s="12">
        <f t="shared" si="76"/>
        <v>218.7853817753699</v>
      </c>
      <c r="AX57" s="72">
        <v>0</v>
      </c>
      <c r="AY57" s="1">
        <f t="shared" si="77"/>
        <v>218.85600959515193</v>
      </c>
      <c r="AZ57" s="1">
        <f t="shared" si="78"/>
        <v>7.0627819782032475E-2</v>
      </c>
      <c r="BA57" s="1">
        <f t="shared" si="79"/>
        <v>0</v>
      </c>
      <c r="BB57" s="1">
        <f t="shared" si="80"/>
        <v>5.6070149252420465E-5</v>
      </c>
      <c r="BC57" s="1">
        <f t="shared" si="81"/>
        <v>6.4747672351009344E-4</v>
      </c>
      <c r="BD57" s="1">
        <v>6.9846940890032627E-2</v>
      </c>
      <c r="BE57" s="64">
        <f t="shared" si="82"/>
        <v>1.1056250842936266E-2</v>
      </c>
      <c r="BF57" s="12">
        <f t="shared" si="83"/>
        <v>218.78616265426189</v>
      </c>
      <c r="BG57" s="72">
        <v>0</v>
      </c>
      <c r="BH57" s="1">
        <f t="shared" si="84"/>
        <v>218.85600959515193</v>
      </c>
      <c r="BI57" s="1">
        <f t="shared" si="85"/>
        <v>6.9846940890045062E-2</v>
      </c>
      <c r="BJ57" s="1">
        <f t="shared" si="86"/>
        <v>0</v>
      </c>
      <c r="BK57" s="1">
        <f t="shared" si="87"/>
        <v>5.5450124667842631E-5</v>
      </c>
      <c r="BL57" s="1">
        <f t="shared" si="88"/>
        <v>6.4031691580723044E-4</v>
      </c>
      <c r="BM57" s="1">
        <v>6.9069243940646036E-2</v>
      </c>
      <c r="BN57" s="64">
        <f t="shared" si="89"/>
        <v>1.1134302225537684E-2</v>
      </c>
    </row>
    <row r="58" spans="2:66" x14ac:dyDescent="0.3">
      <c r="B58" s="79">
        <f t="shared" si="90"/>
        <v>49</v>
      </c>
      <c r="C58" s="78">
        <f t="shared" si="91"/>
        <v>24.75</v>
      </c>
      <c r="D58" s="77">
        <v>1.1000000000000001</v>
      </c>
      <c r="E58" s="72">
        <v>0.13</v>
      </c>
      <c r="F58" s="72">
        <v>0.4</v>
      </c>
      <c r="G58" s="72">
        <v>2.0999999999999999E-3</v>
      </c>
      <c r="H58" s="72">
        <v>19</v>
      </c>
      <c r="I58" s="72" t="b">
        <v>0</v>
      </c>
      <c r="J58" s="76">
        <v>2</v>
      </c>
      <c r="K58" s="1">
        <f t="shared" si="92"/>
        <v>470.25</v>
      </c>
      <c r="L58" s="1">
        <f t="shared" si="47"/>
        <v>247.5</v>
      </c>
      <c r="M58" s="1">
        <f t="shared" si="93"/>
        <v>220.25</v>
      </c>
      <c r="N58">
        <f t="shared" si="48"/>
        <v>222.75</v>
      </c>
      <c r="O58" s="75">
        <f t="shared" si="49"/>
        <v>0.58436815193571956</v>
      </c>
      <c r="P58" s="1">
        <f t="shared" si="50"/>
        <v>223.33436815193571</v>
      </c>
      <c r="Q58" s="1">
        <f t="shared" si="51"/>
        <v>0</v>
      </c>
      <c r="R58" s="1">
        <f t="shared" si="52"/>
        <v>4.5513903123066017E-4</v>
      </c>
      <c r="S58" s="1">
        <f t="shared" si="53"/>
        <v>5.3641385823613519E-3</v>
      </c>
      <c r="T58" s="73">
        <v>0</v>
      </c>
      <c r="U58" s="74">
        <f t="shared" si="54"/>
        <v>1</v>
      </c>
      <c r="V58" s="73">
        <f t="shared" si="55"/>
        <v>223.33436815193571</v>
      </c>
      <c r="W58" s="72">
        <v>0</v>
      </c>
      <c r="X58" s="1">
        <f t="shared" si="56"/>
        <v>223.33436815193571</v>
      </c>
      <c r="Y58" s="1">
        <f t="shared" si="57"/>
        <v>0</v>
      </c>
      <c r="Z58" s="1">
        <f t="shared" si="58"/>
        <v>0</v>
      </c>
      <c r="AA58" s="1">
        <f t="shared" si="59"/>
        <v>0</v>
      </c>
      <c r="AB58" s="1">
        <f t="shared" si="60"/>
        <v>0</v>
      </c>
      <c r="AC58" s="1">
        <v>0</v>
      </c>
      <c r="AD58" s="64">
        <f t="shared" si="61"/>
        <v>1</v>
      </c>
      <c r="AE58" s="12">
        <f t="shared" si="62"/>
        <v>223.33436815193571</v>
      </c>
      <c r="AF58" s="72">
        <v>0</v>
      </c>
      <c r="AG58" s="1">
        <f t="shared" si="63"/>
        <v>223.33436815193571</v>
      </c>
      <c r="AH58" s="1">
        <f t="shared" si="64"/>
        <v>0</v>
      </c>
      <c r="AI58" s="1">
        <f t="shared" si="65"/>
        <v>0</v>
      </c>
      <c r="AJ58" s="1">
        <f t="shared" si="66"/>
        <v>0</v>
      </c>
      <c r="AK58" s="1">
        <f t="shared" si="67"/>
        <v>0</v>
      </c>
      <c r="AL58" s="1">
        <v>0</v>
      </c>
      <c r="AM58" s="64">
        <f t="shared" si="68"/>
        <v>1</v>
      </c>
      <c r="AN58" s="12">
        <f t="shared" si="69"/>
        <v>223.33436815193571</v>
      </c>
      <c r="AO58" s="72">
        <v>0</v>
      </c>
      <c r="AP58" s="1">
        <f t="shared" si="70"/>
        <v>223.33436815193571</v>
      </c>
      <c r="AQ58" s="1">
        <f t="shared" si="71"/>
        <v>0</v>
      </c>
      <c r="AR58" s="1">
        <f t="shared" si="72"/>
        <v>0</v>
      </c>
      <c r="AS58" s="1">
        <f t="shared" si="73"/>
        <v>0</v>
      </c>
      <c r="AT58" s="1">
        <f t="shared" si="74"/>
        <v>0</v>
      </c>
      <c r="AU58" s="1">
        <v>0</v>
      </c>
      <c r="AV58" s="64">
        <f t="shared" si="75"/>
        <v>1</v>
      </c>
      <c r="AW58" s="12">
        <f t="shared" si="76"/>
        <v>223.33436815193571</v>
      </c>
      <c r="AX58" s="72">
        <v>0</v>
      </c>
      <c r="AY58" s="1">
        <f t="shared" si="77"/>
        <v>223.33436815193571</v>
      </c>
      <c r="AZ58" s="1">
        <f t="shared" si="78"/>
        <v>0</v>
      </c>
      <c r="BA58" s="1">
        <f t="shared" si="79"/>
        <v>0</v>
      </c>
      <c r="BB58" s="1">
        <f t="shared" si="80"/>
        <v>0</v>
      </c>
      <c r="BC58" s="1">
        <f t="shared" si="81"/>
        <v>0</v>
      </c>
      <c r="BD58" s="1">
        <v>0</v>
      </c>
      <c r="BE58" s="64">
        <f t="shared" si="82"/>
        <v>1</v>
      </c>
      <c r="BF58" s="12">
        <f t="shared" si="83"/>
        <v>223.33436815193571</v>
      </c>
      <c r="BG58" s="72">
        <v>0</v>
      </c>
      <c r="BH58" s="1">
        <f t="shared" si="84"/>
        <v>223.33436815193571</v>
      </c>
      <c r="BI58" s="1">
        <f t="shared" si="85"/>
        <v>0</v>
      </c>
      <c r="BJ58" s="1">
        <f t="shared" si="86"/>
        <v>0</v>
      </c>
      <c r="BK58" s="1">
        <f t="shared" si="87"/>
        <v>0</v>
      </c>
      <c r="BL58" s="1">
        <f t="shared" si="88"/>
        <v>0</v>
      </c>
      <c r="BM58" s="1">
        <v>0</v>
      </c>
      <c r="BN58" s="64">
        <f t="shared" si="89"/>
        <v>1</v>
      </c>
    </row>
    <row r="59" spans="2:66" ht="15" thickBot="1" x14ac:dyDescent="0.35">
      <c r="B59" s="71" t="str">
        <f t="shared" si="90"/>
        <v/>
      </c>
      <c r="C59" s="70" t="str">
        <f t="shared" si="91"/>
        <v/>
      </c>
      <c r="D59" s="69"/>
      <c r="E59" s="65"/>
      <c r="F59" s="65"/>
      <c r="G59" s="65"/>
      <c r="H59" s="65"/>
      <c r="I59" s="65"/>
      <c r="J59" s="68"/>
      <c r="K59" s="4" t="str">
        <f t="shared" si="92"/>
        <v/>
      </c>
      <c r="L59" s="4" t="str">
        <f t="shared" si="47"/>
        <v/>
      </c>
      <c r="M59" s="4"/>
      <c r="N59" s="44"/>
      <c r="O59" s="65"/>
      <c r="P59" s="4" t="str">
        <f t="shared" si="50"/>
        <v/>
      </c>
      <c r="Q59" s="4" t="str">
        <f t="shared" si="51"/>
        <v/>
      </c>
      <c r="R59" s="4" t="str">
        <f t="shared" si="52"/>
        <v/>
      </c>
      <c r="S59" s="4" t="str">
        <f t="shared" si="53"/>
        <v/>
      </c>
      <c r="T59" s="66"/>
      <c r="U59" s="67" t="str">
        <f t="shared" si="54"/>
        <v/>
      </c>
      <c r="V59" s="66"/>
      <c r="W59" s="65">
        <v>0</v>
      </c>
      <c r="X59" s="4" t="str">
        <f t="shared" si="56"/>
        <v/>
      </c>
      <c r="Y59" s="4"/>
      <c r="Z59" s="4" t="str">
        <f t="shared" si="58"/>
        <v/>
      </c>
      <c r="AA59" s="4" t="str">
        <f t="shared" si="59"/>
        <v/>
      </c>
      <c r="AB59" s="4" t="str">
        <f t="shared" si="60"/>
        <v/>
      </c>
      <c r="AC59" s="4"/>
      <c r="AD59" s="64" t="str">
        <f t="shared" si="61"/>
        <v/>
      </c>
      <c r="AE59" s="4"/>
      <c r="AF59" s="65">
        <v>0</v>
      </c>
      <c r="AG59" s="4" t="str">
        <f t="shared" si="63"/>
        <v/>
      </c>
      <c r="AH59" s="4"/>
      <c r="AI59" s="4" t="str">
        <f t="shared" si="65"/>
        <v/>
      </c>
      <c r="AJ59" s="4" t="str">
        <f t="shared" si="66"/>
        <v/>
      </c>
      <c r="AK59" s="4" t="str">
        <f t="shared" si="67"/>
        <v/>
      </c>
      <c r="AL59" s="4"/>
      <c r="AM59" s="64" t="str">
        <f t="shared" si="68"/>
        <v/>
      </c>
      <c r="AN59" s="4"/>
      <c r="AO59" s="65">
        <v>0</v>
      </c>
      <c r="AP59" s="4" t="str">
        <f t="shared" si="70"/>
        <v/>
      </c>
      <c r="AQ59" s="4"/>
      <c r="AR59" s="4" t="str">
        <f t="shared" si="72"/>
        <v/>
      </c>
      <c r="AS59" s="4" t="str">
        <f t="shared" si="73"/>
        <v/>
      </c>
      <c r="AT59" s="4" t="str">
        <f t="shared" si="74"/>
        <v/>
      </c>
      <c r="AU59" s="4"/>
      <c r="AV59" s="64" t="str">
        <f t="shared" si="75"/>
        <v/>
      </c>
      <c r="AW59" s="4"/>
      <c r="AX59" s="65">
        <v>0</v>
      </c>
      <c r="AY59" s="4" t="str">
        <f t="shared" si="77"/>
        <v/>
      </c>
      <c r="AZ59" s="4"/>
      <c r="BA59" s="4" t="str">
        <f t="shared" si="79"/>
        <v/>
      </c>
      <c r="BB59" s="4" t="str">
        <f t="shared" si="80"/>
        <v/>
      </c>
      <c r="BC59" s="4" t="str">
        <f t="shared" si="81"/>
        <v/>
      </c>
      <c r="BD59" s="4"/>
      <c r="BE59" s="64" t="str">
        <f t="shared" si="82"/>
        <v/>
      </c>
      <c r="BF59" s="4"/>
      <c r="BG59" s="65">
        <v>0</v>
      </c>
      <c r="BH59" s="4" t="str">
        <f t="shared" si="84"/>
        <v/>
      </c>
      <c r="BI59" s="4"/>
      <c r="BJ59" s="4" t="str">
        <f t="shared" si="86"/>
        <v/>
      </c>
      <c r="BK59" s="4" t="str">
        <f t="shared" si="87"/>
        <v/>
      </c>
      <c r="BL59" s="4" t="str">
        <f t="shared" si="88"/>
        <v/>
      </c>
      <c r="BM59" s="4"/>
      <c r="BN59" s="64" t="str">
        <f t="shared" si="89"/>
        <v/>
      </c>
    </row>
    <row r="60" spans="2:66" ht="15" thickBot="1" x14ac:dyDescent="0.35">
      <c r="N60" s="171" t="s">
        <v>59</v>
      </c>
      <c r="O60" s="172"/>
      <c r="P60" s="23"/>
      <c r="Q60" s="23"/>
      <c r="R60" s="23"/>
      <c r="S60" s="23">
        <f>SUM(S9:S59)</f>
        <v>0.98284102402264062</v>
      </c>
      <c r="T60" s="63"/>
      <c r="U60" s="62">
        <f>AVERAGE(U9:INDEX(U9:U59,J2))</f>
        <v>0.44349886718848935</v>
      </c>
      <c r="V60" s="61"/>
      <c r="W60" s="23"/>
      <c r="X60" s="23"/>
      <c r="Y60" s="23"/>
      <c r="Z60" s="23"/>
      <c r="AA60" s="23"/>
      <c r="AB60" s="23">
        <f>SUM(AB9:AB59)</f>
        <v>0.62078259334721619</v>
      </c>
      <c r="AC60" s="23"/>
      <c r="AD60" s="59">
        <f>AVERAGE(AD9:INDEX(AD9:AD59,J2))</f>
        <v>0.7107715778451632</v>
      </c>
      <c r="AE60" s="60"/>
      <c r="AF60" s="23"/>
      <c r="AG60" s="23"/>
      <c r="AH60" s="23"/>
      <c r="AI60" s="23"/>
      <c r="AJ60" s="23"/>
      <c r="AK60" s="23">
        <f>SUM(AK9:AK59)</f>
        <v>0.14759040285854735</v>
      </c>
      <c r="AL60" s="23"/>
      <c r="AM60" s="59">
        <f>AVERAGE(AM9:INDEX(AM9:AM59,J2))</f>
        <v>0.25844601656406974</v>
      </c>
      <c r="AN60" s="60"/>
      <c r="AO60" s="23"/>
      <c r="AP60" s="23"/>
      <c r="AQ60" s="23"/>
      <c r="AR60" s="23"/>
      <c r="AS60" s="23"/>
      <c r="AT60" s="23">
        <f>SUM(AT9:AT59)</f>
        <v>0.14397118223436892</v>
      </c>
      <c r="AU60" s="23"/>
      <c r="AV60" s="59">
        <f>AVERAGE(AV9:INDEX(AV9:AV59,J2))</f>
        <v>0.25844389629509051</v>
      </c>
      <c r="AW60" s="60"/>
      <c r="AX60" s="23"/>
      <c r="AY60" s="23"/>
      <c r="AZ60" s="23"/>
      <c r="BA60" s="23"/>
      <c r="BB60" s="23"/>
      <c r="BC60" s="23">
        <f>SUM(BC9:BC59)</f>
        <v>0.14047580766914178</v>
      </c>
      <c r="BD60" s="23"/>
      <c r="BE60" s="59">
        <f>AVERAGE(BE9:INDEX(BE9:BE59,J2))</f>
        <v>0.2584420704829965</v>
      </c>
      <c r="BF60" s="60"/>
      <c r="BG60" s="23"/>
      <c r="BH60" s="23"/>
      <c r="BI60" s="23"/>
      <c r="BJ60" s="23"/>
      <c r="BK60" s="23"/>
      <c r="BL60" s="23">
        <f>SUM(BL9:BL59)</f>
        <v>0.13709910960723676</v>
      </c>
      <c r="BM60" s="23"/>
      <c r="BN60" s="59">
        <f>AVERAGE(BN9:INDEX(BN9:BN59,J2))</f>
        <v>0.25844050329993873</v>
      </c>
    </row>
    <row r="61" spans="2:66" ht="15" thickBot="1" x14ac:dyDescent="0.35">
      <c r="I61" t="s">
        <v>58</v>
      </c>
      <c r="N61" s="169" t="s">
        <v>57</v>
      </c>
      <c r="O61" s="168"/>
      <c r="P61" s="168"/>
      <c r="Q61" s="168"/>
      <c r="R61" s="168"/>
      <c r="S61" s="168"/>
      <c r="T61" s="168"/>
      <c r="U61" s="58">
        <f>S60*U60</f>
        <v>0.43588888078041599</v>
      </c>
      <c r="V61" s="168" t="s">
        <v>57</v>
      </c>
      <c r="W61" s="168"/>
      <c r="X61" s="168"/>
      <c r="Y61" s="168"/>
      <c r="Z61" s="168"/>
      <c r="AA61" s="168"/>
      <c r="AB61" s="168"/>
      <c r="AC61" s="168"/>
      <c r="AD61" s="57">
        <f>AB60*AD60</f>
        <v>0.44123462337221314</v>
      </c>
      <c r="AE61" s="168" t="s">
        <v>57</v>
      </c>
      <c r="AF61" s="168"/>
      <c r="AG61" s="168"/>
      <c r="AH61" s="168"/>
      <c r="AI61" s="168"/>
      <c r="AJ61" s="168"/>
      <c r="AK61" s="168"/>
      <c r="AL61" s="168"/>
      <c r="AM61" s="57">
        <f>AK60*AM60</f>
        <v>3.8144151701877856E-2</v>
      </c>
      <c r="AN61" s="168" t="s">
        <v>57</v>
      </c>
      <c r="AO61" s="168"/>
      <c r="AP61" s="168"/>
      <c r="AQ61" s="168"/>
      <c r="AR61" s="168"/>
      <c r="AS61" s="168"/>
      <c r="AT61" s="168"/>
      <c r="AU61" s="168"/>
      <c r="AV61" s="57">
        <f>AT60*AV60</f>
        <v>3.720847329086082E-2</v>
      </c>
      <c r="AW61" s="168" t="s">
        <v>57</v>
      </c>
      <c r="AX61" s="168"/>
      <c r="AY61" s="168"/>
      <c r="AZ61" s="168"/>
      <c r="BA61" s="168"/>
      <c r="BB61" s="168"/>
      <c r="BC61" s="168"/>
      <c r="BD61" s="168"/>
      <c r="BE61" s="57">
        <f>BC60*BE60</f>
        <v>3.63048585867842E-2</v>
      </c>
      <c r="BF61" s="168" t="s">
        <v>57</v>
      </c>
      <c r="BG61" s="168"/>
      <c r="BH61" s="168"/>
      <c r="BI61" s="168"/>
      <c r="BJ61" s="168"/>
      <c r="BK61" s="168"/>
      <c r="BL61" s="168"/>
      <c r="BM61" s="168"/>
      <c r="BN61" s="57">
        <f>BL60*BN60</f>
        <v>3.5431962888867734E-2</v>
      </c>
    </row>
    <row r="62" spans="2:66" x14ac:dyDescent="0.3">
      <c r="I62" t="s">
        <v>56</v>
      </c>
      <c r="U62" s="55">
        <f>U61</f>
        <v>0.43588888078041599</v>
      </c>
      <c r="AD62" s="54"/>
      <c r="AL62" s="54"/>
      <c r="AT62" s="54"/>
      <c r="BB62" s="54"/>
      <c r="BJ62" s="54"/>
    </row>
  </sheetData>
  <protectedRanges>
    <protectedRange sqref="O9:O59 W9:W59 AF9:AF59 AO9:AO59 AX9:AX59 BG9:BG59" name="Range2"/>
    <protectedRange sqref="D9:J59" name="Range1"/>
    <protectedRange sqref="E2:E4 J4 O2:O4" name="Range3"/>
  </protectedRanges>
  <mergeCells count="27">
    <mergeCell ref="BF6:BN6"/>
    <mergeCell ref="BF7:BL7"/>
    <mergeCell ref="BM7:BN7"/>
    <mergeCell ref="BF61:BM61"/>
    <mergeCell ref="AW7:BC7"/>
    <mergeCell ref="BD7:BE7"/>
    <mergeCell ref="AE61:AL61"/>
    <mergeCell ref="N61:T61"/>
    <mergeCell ref="AE6:AM6"/>
    <mergeCell ref="AN6:AV6"/>
    <mergeCell ref="AW6:BE6"/>
    <mergeCell ref="AE7:AK7"/>
    <mergeCell ref="AC7:AD7"/>
    <mergeCell ref="N60:O60"/>
    <mergeCell ref="AN61:AU61"/>
    <mergeCell ref="AW61:BD61"/>
    <mergeCell ref="V61:AC61"/>
    <mergeCell ref="B6:C7"/>
    <mergeCell ref="T7:U7"/>
    <mergeCell ref="AL7:AM7"/>
    <mergeCell ref="AN7:AT7"/>
    <mergeCell ref="AU7:AV7"/>
    <mergeCell ref="D6:M7"/>
    <mergeCell ref="N6:U6"/>
    <mergeCell ref="N7:S7"/>
    <mergeCell ref="V6:AD6"/>
    <mergeCell ref="V7:A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Geostatic Loads</vt:lpstr>
      <vt:lpstr>Stress under uniform shapes</vt:lpstr>
      <vt:lpstr>Approximate Stress</vt:lpstr>
      <vt:lpstr>Stress under nonuniform shapes</vt:lpstr>
      <vt:lpstr>Geotechnical Design</vt:lpstr>
      <vt:lpstr>Consolidation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nour eldein</dc:creator>
  <cp:lastModifiedBy>mohammed nour eldein</cp:lastModifiedBy>
  <dcterms:created xsi:type="dcterms:W3CDTF">2023-10-26T14:04:36Z</dcterms:created>
  <dcterms:modified xsi:type="dcterms:W3CDTF">2023-10-26T14:15:43Z</dcterms:modified>
</cp:coreProperties>
</file>